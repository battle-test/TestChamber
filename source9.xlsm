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filterPrivacy="1" codeName="ЭтаКнига"/>
  <xr:revisionPtr revIDLastSave="0" documentId="13_ncr:1_{33A3B225-0F97-42FC-BB83-FE15BC740B73}" xr6:coauthVersionLast="45" xr6:coauthVersionMax="45" xr10:uidLastSave="{00000000-0000-0000-0000-000000000000}"/>
  <bookViews>
    <workbookView xWindow="-19320" yWindow="-120" windowWidth="19440" windowHeight="15000" tabRatio="900" activeTab="14" xr2:uid="{00000000-000D-0000-FFFF-FFFF00000000}"/>
  </bookViews>
  <sheets>
    <sheet name="document" sheetId="37" r:id="rId1"/>
    <sheet name="list_t" sheetId="31" r:id="rId2"/>
    <sheet name="indeter_t" sheetId="33" r:id="rId3"/>
    <sheet name="list_rh" sheetId="32" r:id="rId4"/>
    <sheet name="indeter_rh" sheetId="34" r:id="rId5"/>
    <sheet name="list_pr" sheetId="39" r:id="rId6"/>
    <sheet name="result_t" sheetId="7" r:id="rId7"/>
    <sheet name="result_rh" sheetId="9" r:id="rId8"/>
    <sheet name="result_pr" sheetId="40" r:id="rId9"/>
    <sheet name="info" sheetId="36" r:id="rId10"/>
    <sheet name="equip" sheetId="35" r:id="rId11"/>
    <sheet name="tool" sheetId="38" r:id="rId12"/>
    <sheet name="indeter_MI" sheetId="42" r:id="rId13"/>
    <sheet name="t1" sheetId="5" r:id="rId14"/>
    <sheet name="t2" sheetId="49" r:id="rId15"/>
    <sheet name="t3" sheetId="48" r:id="rId16"/>
    <sheet name="t4" sheetId="47" r:id="rId17"/>
    <sheet name="t5" sheetId="46" r:id="rId18"/>
    <sheet name="t6" sheetId="43" r:id="rId19"/>
    <sheet name="t7" sheetId="45" r:id="rId20"/>
    <sheet name="t8" sheetId="44" r:id="rId21"/>
    <sheet name="rh_t1" sheetId="6" r:id="rId22"/>
    <sheet name="rh_t2" sheetId="53" r:id="rId23"/>
    <sheet name="rh_t3" sheetId="52" r:id="rId24"/>
    <sheet name="rh_t4" sheetId="51" r:id="rId25"/>
    <sheet name="rh_t5" sheetId="50" r:id="rId26"/>
  </sheets>
  <definedNames>
    <definedName name="Список_оборудования" localSheetId="22">equip!$A$2:INDEX(Таблица[Камера],MATCH(REPT("я",255),Таблица[Камера]))</definedName>
    <definedName name="Список_оборудования" localSheetId="23">equip!$A$2:INDEX(Таблица[Камера],MATCH(REPT("я",255),Таблица[Камера]))</definedName>
    <definedName name="Список_оборудования" localSheetId="24">equip!$A$2:INDEX(Таблица[Камера],MATCH(REPT("я",255),Таблица[Камера]))</definedName>
    <definedName name="Список_оборудования" localSheetId="25">equip!$A$2:INDEX(Таблица[Камера],MATCH(REPT("я",255),Таблица[Камера]))</definedName>
    <definedName name="Список_оборудования" localSheetId="14">equip!$A$2:INDEX(Таблица[Камера],MATCH(REPT("я",255),Таблица[Камера]))</definedName>
    <definedName name="Список_оборудования" localSheetId="15">equip!$A$2:INDEX(Таблица[Камера],MATCH(REPT("я",255),Таблица[Камера]))</definedName>
    <definedName name="Список_оборудования" localSheetId="16">equip!$A$2:INDEX(Таблица[Камера],MATCH(REPT("я",255),Таблица[Камера]))</definedName>
    <definedName name="Список_оборудования" localSheetId="17">equip!$A$2:INDEX(Таблица[Камера],MATCH(REPT("я",255),Таблица[Камера]))</definedName>
    <definedName name="Список_оборудования" localSheetId="18">equip!$A$2:INDEX(Таблица[Камера],MATCH(REPT("я",255),Таблица[Камера]))</definedName>
    <definedName name="Список_оборудования" localSheetId="19">equip!$A$2:INDEX(Таблица[Камера],MATCH(REPT("я",255),Таблица[Камера]))</definedName>
    <definedName name="Список_оборудования" localSheetId="20">equip!$A$2:INDEX(Таблица[Камера],MATCH(REPT("я",255),Таблица[Камера]))</definedName>
    <definedName name="Список_оборудования">equip!$A$2:INDEX(Таблица[Камера],MATCH(REPT("я",255),Таблица[Камера]))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9" i="7" l="1"/>
  <c r="A172" i="37" l="1"/>
  <c r="A171" i="37"/>
  <c r="A209" i="37"/>
  <c r="A206" i="37"/>
  <c r="H209" i="37"/>
  <c r="H203" i="37"/>
  <c r="A173" i="33" l="1"/>
  <c r="A129" i="37"/>
  <c r="F129" i="37"/>
  <c r="H129" i="37"/>
  <c r="N129" i="37"/>
  <c r="A130" i="37"/>
  <c r="F130" i="37"/>
  <c r="H130" i="37"/>
  <c r="N130" i="37"/>
  <c r="A131" i="37"/>
  <c r="F131" i="37"/>
  <c r="H131" i="37"/>
  <c r="N131" i="37"/>
  <c r="B175" i="32"/>
  <c r="C175" i="32"/>
  <c r="D175" i="32"/>
  <c r="E175" i="32"/>
  <c r="F175" i="32"/>
  <c r="G175" i="32"/>
  <c r="H175" i="32"/>
  <c r="I175" i="32"/>
  <c r="J175" i="32"/>
  <c r="B175" i="31"/>
  <c r="C175" i="31"/>
  <c r="D175" i="31"/>
  <c r="E175" i="31"/>
  <c r="F175" i="31"/>
  <c r="G175" i="31"/>
  <c r="H175" i="31"/>
  <c r="I175" i="31"/>
  <c r="J175" i="31"/>
  <c r="A176" i="37"/>
  <c r="A273" i="34"/>
  <c r="D319" i="34"/>
  <c r="E319" i="34"/>
  <c r="E355" i="34"/>
  <c r="D355" i="34"/>
  <c r="A346" i="34"/>
  <c r="E340" i="34"/>
  <c r="D340" i="34"/>
  <c r="E339" i="34"/>
  <c r="D339" i="34"/>
  <c r="E338" i="34"/>
  <c r="D338" i="34"/>
  <c r="A329" i="34"/>
  <c r="A310" i="34"/>
  <c r="E304" i="34"/>
  <c r="D304" i="34"/>
  <c r="E303" i="34"/>
  <c r="D303" i="34"/>
  <c r="E302" i="34"/>
  <c r="D302" i="34"/>
  <c r="C301" i="34"/>
  <c r="A293" i="34"/>
  <c r="E282" i="34"/>
  <c r="D282" i="34"/>
  <c r="E267" i="34"/>
  <c r="D267" i="34"/>
  <c r="E266" i="34"/>
  <c r="D266" i="34"/>
  <c r="E265" i="34"/>
  <c r="D265" i="34"/>
  <c r="A256" i="34"/>
  <c r="E246" i="34"/>
  <c r="D246" i="34"/>
  <c r="A237" i="34"/>
  <c r="E231" i="34"/>
  <c r="D231" i="34"/>
  <c r="C231" i="34"/>
  <c r="E230" i="34"/>
  <c r="D230" i="34"/>
  <c r="C230" i="34"/>
  <c r="E229" i="34"/>
  <c r="D229" i="34"/>
  <c r="C229" i="34"/>
  <c r="C228" i="34"/>
  <c r="A220" i="34"/>
  <c r="E209" i="34"/>
  <c r="D209" i="34"/>
  <c r="A200" i="34"/>
  <c r="E194" i="34"/>
  <c r="D194" i="34"/>
  <c r="E193" i="34"/>
  <c r="D193" i="34"/>
  <c r="E192" i="34"/>
  <c r="D192" i="34"/>
  <c r="A183" i="34"/>
  <c r="E173" i="34"/>
  <c r="D173" i="34"/>
  <c r="A164" i="34"/>
  <c r="E158" i="34"/>
  <c r="D158" i="34"/>
  <c r="C158" i="34"/>
  <c r="E157" i="34"/>
  <c r="D157" i="34"/>
  <c r="C157" i="34"/>
  <c r="E156" i="34"/>
  <c r="D156" i="34"/>
  <c r="C156" i="34"/>
  <c r="C155" i="34"/>
  <c r="A147" i="34"/>
  <c r="E136" i="34"/>
  <c r="D136" i="34"/>
  <c r="A127" i="34"/>
  <c r="E121" i="34"/>
  <c r="D121" i="34"/>
  <c r="E120" i="34"/>
  <c r="D120" i="34"/>
  <c r="E119" i="34"/>
  <c r="D119" i="34"/>
  <c r="A110" i="34"/>
  <c r="E100" i="34"/>
  <c r="D100" i="34"/>
  <c r="A91" i="34"/>
  <c r="E85" i="34"/>
  <c r="D85" i="34"/>
  <c r="E84" i="34"/>
  <c r="D84" i="34"/>
  <c r="E83" i="34"/>
  <c r="D83" i="34"/>
  <c r="C83" i="34"/>
  <c r="C82" i="34"/>
  <c r="A74" i="34"/>
  <c r="G15" i="9"/>
  <c r="G4" i="9"/>
  <c r="F15" i="9"/>
  <c r="F4" i="9"/>
  <c r="E15" i="9"/>
  <c r="E4" i="9"/>
  <c r="D15" i="9"/>
  <c r="D4" i="9"/>
  <c r="C15" i="9"/>
  <c r="C4" i="9"/>
  <c r="E63" i="34"/>
  <c r="D63" i="34"/>
  <c r="A54" i="34"/>
  <c r="E48" i="34"/>
  <c r="D48" i="34"/>
  <c r="E47" i="34"/>
  <c r="D47" i="34"/>
  <c r="E46" i="34"/>
  <c r="D46" i="34"/>
  <c r="A37" i="34"/>
  <c r="E27" i="34"/>
  <c r="D27" i="34"/>
  <c r="A18" i="34"/>
  <c r="E12" i="34"/>
  <c r="D12" i="34"/>
  <c r="E11" i="34"/>
  <c r="D11" i="34"/>
  <c r="E10" i="34"/>
  <c r="D10" i="34"/>
  <c r="A1" i="34"/>
  <c r="J457" i="32"/>
  <c r="I457" i="32"/>
  <c r="H457" i="32"/>
  <c r="G457" i="32"/>
  <c r="F457" i="32"/>
  <c r="E457" i="32"/>
  <c r="D457" i="32"/>
  <c r="C457" i="32"/>
  <c r="B457" i="32"/>
  <c r="J456" i="32"/>
  <c r="I456" i="32"/>
  <c r="H456" i="32"/>
  <c r="G456" i="32"/>
  <c r="F456" i="32"/>
  <c r="E456" i="32"/>
  <c r="D456" i="32"/>
  <c r="C456" i="32"/>
  <c r="B456" i="32"/>
  <c r="J455" i="32"/>
  <c r="I455" i="32"/>
  <c r="H455" i="32"/>
  <c r="G455" i="32"/>
  <c r="F455" i="32"/>
  <c r="E455" i="32"/>
  <c r="D455" i="32"/>
  <c r="C455" i="32"/>
  <c r="B455" i="32"/>
  <c r="J454" i="32"/>
  <c r="I454" i="32"/>
  <c r="H454" i="32"/>
  <c r="G454" i="32"/>
  <c r="F454" i="32"/>
  <c r="E454" i="32"/>
  <c r="D454" i="32"/>
  <c r="C454" i="32"/>
  <c r="B454" i="32"/>
  <c r="J453" i="32"/>
  <c r="I453" i="32"/>
  <c r="H453" i="32"/>
  <c r="G453" i="32"/>
  <c r="F453" i="32"/>
  <c r="E453" i="32"/>
  <c r="D453" i="32"/>
  <c r="C453" i="32"/>
  <c r="B453" i="32"/>
  <c r="J452" i="32"/>
  <c r="I452" i="32"/>
  <c r="H452" i="32"/>
  <c r="G452" i="32"/>
  <c r="F452" i="32"/>
  <c r="E452" i="32"/>
  <c r="D452" i="32"/>
  <c r="C452" i="32"/>
  <c r="B452" i="32"/>
  <c r="J451" i="32"/>
  <c r="I451" i="32"/>
  <c r="H451" i="32"/>
  <c r="G451" i="32"/>
  <c r="F451" i="32"/>
  <c r="E451" i="32"/>
  <c r="D451" i="32"/>
  <c r="C451" i="32"/>
  <c r="B451" i="32"/>
  <c r="J450" i="32"/>
  <c r="I450" i="32"/>
  <c r="H450" i="32"/>
  <c r="G450" i="32"/>
  <c r="F450" i="32"/>
  <c r="E450" i="32"/>
  <c r="D450" i="32"/>
  <c r="C450" i="32"/>
  <c r="B450" i="32"/>
  <c r="J449" i="32"/>
  <c r="I449" i="32"/>
  <c r="H449" i="32"/>
  <c r="G449" i="32"/>
  <c r="F449" i="32"/>
  <c r="E449" i="32"/>
  <c r="D449" i="32"/>
  <c r="C449" i="32"/>
  <c r="B449" i="32"/>
  <c r="J448" i="32"/>
  <c r="I448" i="32"/>
  <c r="H448" i="32"/>
  <c r="G448" i="32"/>
  <c r="F448" i="32"/>
  <c r="E448" i="32"/>
  <c r="D448" i="32"/>
  <c r="C448" i="32"/>
  <c r="B448" i="32"/>
  <c r="J447" i="32"/>
  <c r="I447" i="32"/>
  <c r="H447" i="32"/>
  <c r="G447" i="32"/>
  <c r="F447" i="32"/>
  <c r="E447" i="32"/>
  <c r="D447" i="32"/>
  <c r="C447" i="32"/>
  <c r="B447" i="32"/>
  <c r="J446" i="32"/>
  <c r="I446" i="32"/>
  <c r="H446" i="32"/>
  <c r="G446" i="32"/>
  <c r="F446" i="32"/>
  <c r="E446" i="32"/>
  <c r="D446" i="32"/>
  <c r="C446" i="32"/>
  <c r="B446" i="32"/>
  <c r="J445" i="32"/>
  <c r="I445" i="32"/>
  <c r="H445" i="32"/>
  <c r="G445" i="32"/>
  <c r="F445" i="32"/>
  <c r="E445" i="32"/>
  <c r="D445" i="32"/>
  <c r="C445" i="32"/>
  <c r="B445" i="32"/>
  <c r="J444" i="32"/>
  <c r="I444" i="32"/>
  <c r="H444" i="32"/>
  <c r="G444" i="32"/>
  <c r="F444" i="32"/>
  <c r="E444" i="32"/>
  <c r="D444" i="32"/>
  <c r="C444" i="32"/>
  <c r="B444" i="32"/>
  <c r="J443" i="32"/>
  <c r="I443" i="32"/>
  <c r="H443" i="32"/>
  <c r="G443" i="32"/>
  <c r="F443" i="32"/>
  <c r="E443" i="32"/>
  <c r="D443" i="32"/>
  <c r="C443" i="32"/>
  <c r="B443" i="32"/>
  <c r="J442" i="32"/>
  <c r="I442" i="32"/>
  <c r="H442" i="32"/>
  <c r="G442" i="32"/>
  <c r="F442" i="32"/>
  <c r="E442" i="32"/>
  <c r="D442" i="32"/>
  <c r="C442" i="32"/>
  <c r="B442" i="32"/>
  <c r="J441" i="32"/>
  <c r="I441" i="32"/>
  <c r="H441" i="32"/>
  <c r="G441" i="32"/>
  <c r="F441" i="32"/>
  <c r="E441" i="32"/>
  <c r="D441" i="32"/>
  <c r="C441" i="32"/>
  <c r="B441" i="32"/>
  <c r="J440" i="32"/>
  <c r="I440" i="32"/>
  <c r="H440" i="32"/>
  <c r="G440" i="32"/>
  <c r="F440" i="32"/>
  <c r="E440" i="32"/>
  <c r="D440" i="32"/>
  <c r="C440" i="32"/>
  <c r="B440" i="32"/>
  <c r="J439" i="32"/>
  <c r="I439" i="32"/>
  <c r="H439" i="32"/>
  <c r="G439" i="32"/>
  <c r="F439" i="32"/>
  <c r="E439" i="32"/>
  <c r="D439" i="32"/>
  <c r="C439" i="32"/>
  <c r="B439" i="32"/>
  <c r="J438" i="32"/>
  <c r="I438" i="32"/>
  <c r="H438" i="32"/>
  <c r="G438" i="32"/>
  <c r="F438" i="32"/>
  <c r="E438" i="32"/>
  <c r="D438" i="32"/>
  <c r="C438" i="32"/>
  <c r="B438" i="32"/>
  <c r="J437" i="32"/>
  <c r="I437" i="32"/>
  <c r="H437" i="32"/>
  <c r="G437" i="32"/>
  <c r="F437" i="32"/>
  <c r="E437" i="32"/>
  <c r="D437" i="32"/>
  <c r="C437" i="32"/>
  <c r="B437" i="32"/>
  <c r="J436" i="32"/>
  <c r="I436" i="32"/>
  <c r="H436" i="32"/>
  <c r="G436" i="32"/>
  <c r="F436" i="32"/>
  <c r="E436" i="32"/>
  <c r="D436" i="32"/>
  <c r="C436" i="32"/>
  <c r="B436" i="32"/>
  <c r="J435" i="32"/>
  <c r="I435" i="32"/>
  <c r="H435" i="32"/>
  <c r="G435" i="32"/>
  <c r="F435" i="32"/>
  <c r="E435" i="32"/>
  <c r="D435" i="32"/>
  <c r="C435" i="32"/>
  <c r="B435" i="32"/>
  <c r="J434" i="32"/>
  <c r="I434" i="32"/>
  <c r="H434" i="32"/>
  <c r="G434" i="32"/>
  <c r="F434" i="32"/>
  <c r="E434" i="32"/>
  <c r="D434" i="32"/>
  <c r="C434" i="32"/>
  <c r="B434" i="32"/>
  <c r="J433" i="32"/>
  <c r="I433" i="32"/>
  <c r="H433" i="32"/>
  <c r="G433" i="32"/>
  <c r="F433" i="32"/>
  <c r="E433" i="32"/>
  <c r="D433" i="32"/>
  <c r="C433" i="32"/>
  <c r="B433" i="32"/>
  <c r="J432" i="32"/>
  <c r="I432" i="32"/>
  <c r="H432" i="32"/>
  <c r="G432" i="32"/>
  <c r="F432" i="32"/>
  <c r="E432" i="32"/>
  <c r="D432" i="32"/>
  <c r="C432" i="32"/>
  <c r="B432" i="32"/>
  <c r="J431" i="32"/>
  <c r="I431" i="32"/>
  <c r="H431" i="32"/>
  <c r="G431" i="32"/>
  <c r="F431" i="32"/>
  <c r="E431" i="32"/>
  <c r="D431" i="32"/>
  <c r="C431" i="32"/>
  <c r="B431" i="32"/>
  <c r="J430" i="32"/>
  <c r="I430" i="32"/>
  <c r="H430" i="32"/>
  <c r="G430" i="32"/>
  <c r="F430" i="32"/>
  <c r="E430" i="32"/>
  <c r="D430" i="32"/>
  <c r="C430" i="32"/>
  <c r="B430" i="32"/>
  <c r="J429" i="32"/>
  <c r="I429" i="32"/>
  <c r="H429" i="32"/>
  <c r="G429" i="32"/>
  <c r="F429" i="32"/>
  <c r="E429" i="32"/>
  <c r="D429" i="32"/>
  <c r="C429" i="32"/>
  <c r="B429" i="32"/>
  <c r="J428" i="32"/>
  <c r="I428" i="32"/>
  <c r="H428" i="32"/>
  <c r="G428" i="32"/>
  <c r="F428" i="32"/>
  <c r="E428" i="32"/>
  <c r="D428" i="32"/>
  <c r="C428" i="32"/>
  <c r="B428" i="32"/>
  <c r="A425" i="32"/>
  <c r="J410" i="32"/>
  <c r="I410" i="32"/>
  <c r="H410" i="32"/>
  <c r="G410" i="32"/>
  <c r="F410" i="32"/>
  <c r="E410" i="32"/>
  <c r="D410" i="32"/>
  <c r="C410" i="32"/>
  <c r="B410" i="32"/>
  <c r="J409" i="32"/>
  <c r="I409" i="32"/>
  <c r="H409" i="32"/>
  <c r="G409" i="32"/>
  <c r="F409" i="32"/>
  <c r="E409" i="32"/>
  <c r="D409" i="32"/>
  <c r="C409" i="32"/>
  <c r="B409" i="32"/>
  <c r="J408" i="32"/>
  <c r="I408" i="32"/>
  <c r="H408" i="32"/>
  <c r="G408" i="32"/>
  <c r="F408" i="32"/>
  <c r="E408" i="32"/>
  <c r="D408" i="32"/>
  <c r="C408" i="32"/>
  <c r="B408" i="32"/>
  <c r="J407" i="32"/>
  <c r="I407" i="32"/>
  <c r="H407" i="32"/>
  <c r="G407" i="32"/>
  <c r="F407" i="32"/>
  <c r="E407" i="32"/>
  <c r="D407" i="32"/>
  <c r="C407" i="32"/>
  <c r="B407" i="32"/>
  <c r="J406" i="32"/>
  <c r="I406" i="32"/>
  <c r="H406" i="32"/>
  <c r="G406" i="32"/>
  <c r="F406" i="32"/>
  <c r="E406" i="32"/>
  <c r="D406" i="32"/>
  <c r="C406" i="32"/>
  <c r="B406" i="32"/>
  <c r="J405" i="32"/>
  <c r="I405" i="32"/>
  <c r="H405" i="32"/>
  <c r="G405" i="32"/>
  <c r="F405" i="32"/>
  <c r="E405" i="32"/>
  <c r="D405" i="32"/>
  <c r="C405" i="32"/>
  <c r="B405" i="32"/>
  <c r="J404" i="32"/>
  <c r="I404" i="32"/>
  <c r="H404" i="32"/>
  <c r="G404" i="32"/>
  <c r="F404" i="32"/>
  <c r="E404" i="32"/>
  <c r="D404" i="32"/>
  <c r="C404" i="32"/>
  <c r="B404" i="32"/>
  <c r="J403" i="32"/>
  <c r="I403" i="32"/>
  <c r="H403" i="32"/>
  <c r="G403" i="32"/>
  <c r="F403" i="32"/>
  <c r="E403" i="32"/>
  <c r="D403" i="32"/>
  <c r="C403" i="32"/>
  <c r="B403" i="32"/>
  <c r="J402" i="32"/>
  <c r="I402" i="32"/>
  <c r="H402" i="32"/>
  <c r="G402" i="32"/>
  <c r="F402" i="32"/>
  <c r="E402" i="32"/>
  <c r="D402" i="32"/>
  <c r="C402" i="32"/>
  <c r="B402" i="32"/>
  <c r="J401" i="32"/>
  <c r="I401" i="32"/>
  <c r="H401" i="32"/>
  <c r="G401" i="32"/>
  <c r="F401" i="32"/>
  <c r="E401" i="32"/>
  <c r="D401" i="32"/>
  <c r="C401" i="32"/>
  <c r="B401" i="32"/>
  <c r="J400" i="32"/>
  <c r="I400" i="32"/>
  <c r="H400" i="32"/>
  <c r="G400" i="32"/>
  <c r="F400" i="32"/>
  <c r="E400" i="32"/>
  <c r="D400" i="32"/>
  <c r="C400" i="32"/>
  <c r="B400" i="32"/>
  <c r="J399" i="32"/>
  <c r="I399" i="32"/>
  <c r="H399" i="32"/>
  <c r="G399" i="32"/>
  <c r="F399" i="32"/>
  <c r="E399" i="32"/>
  <c r="D399" i="32"/>
  <c r="C399" i="32"/>
  <c r="B399" i="32"/>
  <c r="J398" i="32"/>
  <c r="I398" i="32"/>
  <c r="H398" i="32"/>
  <c r="G398" i="32"/>
  <c r="F398" i="32"/>
  <c r="E398" i="32"/>
  <c r="D398" i="32"/>
  <c r="C398" i="32"/>
  <c r="B398" i="32"/>
  <c r="J397" i="32"/>
  <c r="I397" i="32"/>
  <c r="H397" i="32"/>
  <c r="G397" i="32"/>
  <c r="F397" i="32"/>
  <c r="E397" i="32"/>
  <c r="D397" i="32"/>
  <c r="C397" i="32"/>
  <c r="B397" i="32"/>
  <c r="J396" i="32"/>
  <c r="I396" i="32"/>
  <c r="H396" i="32"/>
  <c r="G396" i="32"/>
  <c r="F396" i="32"/>
  <c r="E396" i="32"/>
  <c r="D396" i="32"/>
  <c r="C396" i="32"/>
  <c r="B396" i="32"/>
  <c r="J395" i="32"/>
  <c r="I395" i="32"/>
  <c r="H395" i="32"/>
  <c r="G395" i="32"/>
  <c r="F395" i="32"/>
  <c r="E395" i="32"/>
  <c r="D395" i="32"/>
  <c r="C395" i="32"/>
  <c r="B395" i="32"/>
  <c r="J394" i="32"/>
  <c r="I394" i="32"/>
  <c r="H394" i="32"/>
  <c r="G394" i="32"/>
  <c r="F394" i="32"/>
  <c r="E394" i="32"/>
  <c r="D394" i="32"/>
  <c r="C394" i="32"/>
  <c r="B394" i="32"/>
  <c r="J393" i="32"/>
  <c r="I393" i="32"/>
  <c r="H393" i="32"/>
  <c r="G393" i="32"/>
  <c r="F393" i="32"/>
  <c r="E393" i="32"/>
  <c r="D393" i="32"/>
  <c r="C393" i="32"/>
  <c r="B393" i="32"/>
  <c r="J392" i="32"/>
  <c r="I392" i="32"/>
  <c r="H392" i="32"/>
  <c r="G392" i="32"/>
  <c r="F392" i="32"/>
  <c r="E392" i="32"/>
  <c r="D392" i="32"/>
  <c r="C392" i="32"/>
  <c r="B392" i="32"/>
  <c r="J391" i="32"/>
  <c r="I391" i="32"/>
  <c r="H391" i="32"/>
  <c r="G391" i="32"/>
  <c r="F391" i="32"/>
  <c r="E391" i="32"/>
  <c r="D391" i="32"/>
  <c r="C391" i="32"/>
  <c r="B391" i="32"/>
  <c r="J390" i="32"/>
  <c r="I390" i="32"/>
  <c r="H390" i="32"/>
  <c r="G390" i="32"/>
  <c r="F390" i="32"/>
  <c r="E390" i="32"/>
  <c r="D390" i="32"/>
  <c r="C390" i="32"/>
  <c r="B390" i="32"/>
  <c r="J389" i="32"/>
  <c r="I389" i="32"/>
  <c r="H389" i="32"/>
  <c r="G389" i="32"/>
  <c r="F389" i="32"/>
  <c r="E389" i="32"/>
  <c r="D389" i="32"/>
  <c r="C389" i="32"/>
  <c r="B389" i="32"/>
  <c r="J388" i="32"/>
  <c r="I388" i="32"/>
  <c r="H388" i="32"/>
  <c r="G388" i="32"/>
  <c r="F388" i="32"/>
  <c r="E388" i="32"/>
  <c r="D388" i="32"/>
  <c r="C388" i="32"/>
  <c r="B388" i="32"/>
  <c r="J387" i="32"/>
  <c r="I387" i="32"/>
  <c r="H387" i="32"/>
  <c r="G387" i="32"/>
  <c r="F387" i="32"/>
  <c r="E387" i="32"/>
  <c r="D387" i="32"/>
  <c r="C387" i="32"/>
  <c r="B387" i="32"/>
  <c r="J386" i="32"/>
  <c r="I386" i="32"/>
  <c r="H386" i="32"/>
  <c r="G386" i="32"/>
  <c r="F386" i="32"/>
  <c r="E386" i="32"/>
  <c r="D386" i="32"/>
  <c r="C386" i="32"/>
  <c r="B386" i="32"/>
  <c r="J385" i="32"/>
  <c r="I385" i="32"/>
  <c r="H385" i="32"/>
  <c r="G385" i="32"/>
  <c r="F385" i="32"/>
  <c r="E385" i="32"/>
  <c r="D385" i="32"/>
  <c r="C385" i="32"/>
  <c r="B385" i="32"/>
  <c r="J384" i="32"/>
  <c r="I384" i="32"/>
  <c r="H384" i="32"/>
  <c r="G384" i="32"/>
  <c r="F384" i="32"/>
  <c r="E384" i="32"/>
  <c r="D384" i="32"/>
  <c r="C384" i="32"/>
  <c r="B384" i="32"/>
  <c r="J383" i="32"/>
  <c r="I383" i="32"/>
  <c r="H383" i="32"/>
  <c r="G383" i="32"/>
  <c r="F383" i="32"/>
  <c r="E383" i="32"/>
  <c r="D383" i="32"/>
  <c r="C383" i="32"/>
  <c r="B383" i="32"/>
  <c r="J382" i="32"/>
  <c r="I382" i="32"/>
  <c r="H382" i="32"/>
  <c r="G382" i="32"/>
  <c r="F382" i="32"/>
  <c r="E382" i="32"/>
  <c r="D382" i="32"/>
  <c r="C382" i="32"/>
  <c r="B382" i="32"/>
  <c r="J381" i="32"/>
  <c r="I381" i="32"/>
  <c r="H381" i="32"/>
  <c r="G381" i="32"/>
  <c r="F381" i="32"/>
  <c r="E381" i="32"/>
  <c r="D381" i="32"/>
  <c r="C381" i="32"/>
  <c r="B381" i="32"/>
  <c r="A378" i="32"/>
  <c r="J363" i="32"/>
  <c r="I363" i="32"/>
  <c r="H363" i="32"/>
  <c r="G363" i="32"/>
  <c r="F363" i="32"/>
  <c r="E363" i="32"/>
  <c r="D363" i="32"/>
  <c r="C363" i="32"/>
  <c r="B363" i="32"/>
  <c r="J362" i="32"/>
  <c r="I362" i="32"/>
  <c r="H362" i="32"/>
  <c r="G362" i="32"/>
  <c r="F362" i="32"/>
  <c r="E362" i="32"/>
  <c r="D362" i="32"/>
  <c r="C362" i="32"/>
  <c r="B362" i="32"/>
  <c r="J361" i="32"/>
  <c r="I361" i="32"/>
  <c r="H361" i="32"/>
  <c r="G361" i="32"/>
  <c r="F361" i="32"/>
  <c r="E361" i="32"/>
  <c r="D361" i="32"/>
  <c r="C361" i="32"/>
  <c r="B361" i="32"/>
  <c r="J360" i="32"/>
  <c r="I360" i="32"/>
  <c r="H360" i="32"/>
  <c r="G360" i="32"/>
  <c r="F360" i="32"/>
  <c r="E360" i="32"/>
  <c r="D360" i="32"/>
  <c r="C360" i="32"/>
  <c r="B360" i="32"/>
  <c r="J359" i="32"/>
  <c r="I359" i="32"/>
  <c r="H359" i="32"/>
  <c r="G359" i="32"/>
  <c r="F359" i="32"/>
  <c r="E359" i="32"/>
  <c r="D359" i="32"/>
  <c r="C359" i="32"/>
  <c r="B359" i="32"/>
  <c r="J358" i="32"/>
  <c r="I358" i="32"/>
  <c r="H358" i="32"/>
  <c r="G358" i="32"/>
  <c r="F358" i="32"/>
  <c r="E358" i="32"/>
  <c r="D358" i="32"/>
  <c r="C358" i="32"/>
  <c r="B358" i="32"/>
  <c r="J357" i="32"/>
  <c r="I357" i="32"/>
  <c r="H357" i="32"/>
  <c r="G357" i="32"/>
  <c r="F357" i="32"/>
  <c r="E357" i="32"/>
  <c r="D357" i="32"/>
  <c r="C357" i="32"/>
  <c r="B357" i="32"/>
  <c r="J356" i="32"/>
  <c r="I356" i="32"/>
  <c r="H356" i="32"/>
  <c r="G356" i="32"/>
  <c r="F356" i="32"/>
  <c r="E356" i="32"/>
  <c r="D356" i="32"/>
  <c r="C356" i="32"/>
  <c r="B356" i="32"/>
  <c r="J355" i="32"/>
  <c r="I355" i="32"/>
  <c r="H355" i="32"/>
  <c r="G355" i="32"/>
  <c r="F355" i="32"/>
  <c r="E355" i="32"/>
  <c r="D355" i="32"/>
  <c r="C355" i="32"/>
  <c r="B355" i="32"/>
  <c r="J354" i="32"/>
  <c r="I354" i="32"/>
  <c r="H354" i="32"/>
  <c r="G354" i="32"/>
  <c r="F354" i="32"/>
  <c r="E354" i="32"/>
  <c r="D354" i="32"/>
  <c r="C354" i="32"/>
  <c r="B354" i="32"/>
  <c r="J353" i="32"/>
  <c r="I353" i="32"/>
  <c r="H353" i="32"/>
  <c r="G353" i="32"/>
  <c r="F353" i="32"/>
  <c r="E353" i="32"/>
  <c r="D353" i="32"/>
  <c r="C353" i="32"/>
  <c r="B353" i="32"/>
  <c r="J352" i="32"/>
  <c r="I352" i="32"/>
  <c r="H352" i="32"/>
  <c r="G352" i="32"/>
  <c r="F352" i="32"/>
  <c r="E352" i="32"/>
  <c r="D352" i="32"/>
  <c r="C352" i="32"/>
  <c r="B352" i="32"/>
  <c r="J351" i="32"/>
  <c r="I351" i="32"/>
  <c r="H351" i="32"/>
  <c r="G351" i="32"/>
  <c r="F351" i="32"/>
  <c r="E351" i="32"/>
  <c r="D351" i="32"/>
  <c r="C351" i="32"/>
  <c r="B351" i="32"/>
  <c r="J350" i="32"/>
  <c r="I350" i="32"/>
  <c r="H350" i="32"/>
  <c r="G350" i="32"/>
  <c r="F350" i="32"/>
  <c r="E350" i="32"/>
  <c r="D350" i="32"/>
  <c r="C350" i="32"/>
  <c r="B350" i="32"/>
  <c r="J349" i="32"/>
  <c r="I349" i="32"/>
  <c r="H349" i="32"/>
  <c r="G349" i="32"/>
  <c r="F349" i="32"/>
  <c r="E349" i="32"/>
  <c r="D349" i="32"/>
  <c r="C349" i="32"/>
  <c r="B349" i="32"/>
  <c r="J348" i="32"/>
  <c r="I348" i="32"/>
  <c r="H348" i="32"/>
  <c r="G348" i="32"/>
  <c r="F348" i="32"/>
  <c r="E348" i="32"/>
  <c r="D348" i="32"/>
  <c r="C348" i="32"/>
  <c r="B348" i="32"/>
  <c r="J347" i="32"/>
  <c r="I347" i="32"/>
  <c r="H347" i="32"/>
  <c r="G347" i="32"/>
  <c r="F347" i="32"/>
  <c r="E347" i="32"/>
  <c r="D347" i="32"/>
  <c r="C347" i="32"/>
  <c r="B347" i="32"/>
  <c r="J346" i="32"/>
  <c r="I346" i="32"/>
  <c r="H346" i="32"/>
  <c r="G346" i="32"/>
  <c r="F346" i="32"/>
  <c r="E346" i="32"/>
  <c r="D346" i="32"/>
  <c r="C346" i="32"/>
  <c r="B346" i="32"/>
  <c r="J345" i="32"/>
  <c r="I345" i="32"/>
  <c r="H345" i="32"/>
  <c r="G345" i="32"/>
  <c r="F345" i="32"/>
  <c r="E345" i="32"/>
  <c r="D345" i="32"/>
  <c r="C345" i="32"/>
  <c r="B345" i="32"/>
  <c r="J344" i="32"/>
  <c r="I344" i="32"/>
  <c r="H344" i="32"/>
  <c r="G344" i="32"/>
  <c r="F344" i="32"/>
  <c r="E344" i="32"/>
  <c r="D344" i="32"/>
  <c r="C344" i="32"/>
  <c r="B344" i="32"/>
  <c r="J343" i="32"/>
  <c r="I343" i="32"/>
  <c r="H343" i="32"/>
  <c r="G343" i="32"/>
  <c r="F343" i="32"/>
  <c r="E343" i="32"/>
  <c r="D343" i="32"/>
  <c r="C343" i="32"/>
  <c r="B343" i="32"/>
  <c r="J342" i="32"/>
  <c r="I342" i="32"/>
  <c r="H342" i="32"/>
  <c r="G342" i="32"/>
  <c r="F342" i="32"/>
  <c r="E342" i="32"/>
  <c r="D342" i="32"/>
  <c r="C342" i="32"/>
  <c r="B342" i="32"/>
  <c r="J341" i="32"/>
  <c r="I341" i="32"/>
  <c r="H341" i="32"/>
  <c r="G341" i="32"/>
  <c r="F341" i="32"/>
  <c r="E341" i="32"/>
  <c r="D341" i="32"/>
  <c r="C341" i="32"/>
  <c r="B341" i="32"/>
  <c r="J340" i="32"/>
  <c r="I340" i="32"/>
  <c r="H340" i="32"/>
  <c r="G340" i="32"/>
  <c r="F340" i="32"/>
  <c r="E340" i="32"/>
  <c r="D340" i="32"/>
  <c r="C340" i="32"/>
  <c r="B340" i="32"/>
  <c r="J339" i="32"/>
  <c r="I339" i="32"/>
  <c r="H339" i="32"/>
  <c r="G339" i="32"/>
  <c r="F339" i="32"/>
  <c r="E339" i="32"/>
  <c r="D339" i="32"/>
  <c r="C339" i="32"/>
  <c r="B339" i="32"/>
  <c r="J338" i="32"/>
  <c r="I338" i="32"/>
  <c r="H338" i="32"/>
  <c r="G338" i="32"/>
  <c r="F338" i="32"/>
  <c r="E338" i="32"/>
  <c r="D338" i="32"/>
  <c r="C338" i="32"/>
  <c r="B338" i="32"/>
  <c r="J337" i="32"/>
  <c r="I337" i="32"/>
  <c r="H337" i="32"/>
  <c r="G337" i="32"/>
  <c r="F337" i="32"/>
  <c r="E337" i="32"/>
  <c r="D337" i="32"/>
  <c r="C337" i="32"/>
  <c r="B337" i="32"/>
  <c r="J336" i="32"/>
  <c r="I336" i="32"/>
  <c r="H336" i="32"/>
  <c r="G336" i="32"/>
  <c r="F336" i="32"/>
  <c r="E336" i="32"/>
  <c r="D336" i="32"/>
  <c r="C336" i="32"/>
  <c r="B336" i="32"/>
  <c r="J335" i="32"/>
  <c r="I335" i="32"/>
  <c r="H335" i="32"/>
  <c r="G335" i="32"/>
  <c r="F335" i="32"/>
  <c r="E335" i="32"/>
  <c r="D335" i="32"/>
  <c r="C335" i="32"/>
  <c r="B335" i="32"/>
  <c r="J334" i="32"/>
  <c r="I334" i="32"/>
  <c r="H334" i="32"/>
  <c r="G334" i="32"/>
  <c r="F334" i="32"/>
  <c r="E334" i="32"/>
  <c r="D334" i="32"/>
  <c r="C334" i="32"/>
  <c r="B334" i="32"/>
  <c r="A331" i="32"/>
  <c r="J316" i="32"/>
  <c r="I316" i="32"/>
  <c r="H316" i="32"/>
  <c r="G316" i="32"/>
  <c r="F316" i="32"/>
  <c r="E316" i="32"/>
  <c r="D316" i="32"/>
  <c r="C316" i="32"/>
  <c r="B316" i="32"/>
  <c r="J315" i="32"/>
  <c r="I315" i="32"/>
  <c r="H315" i="32"/>
  <c r="G315" i="32"/>
  <c r="F315" i="32"/>
  <c r="E315" i="32"/>
  <c r="D315" i="32"/>
  <c r="C315" i="32"/>
  <c r="B315" i="32"/>
  <c r="J314" i="32"/>
  <c r="I314" i="32"/>
  <c r="H314" i="32"/>
  <c r="G314" i="32"/>
  <c r="F314" i="32"/>
  <c r="E314" i="32"/>
  <c r="D314" i="32"/>
  <c r="C314" i="32"/>
  <c r="B314" i="32"/>
  <c r="J313" i="32"/>
  <c r="I313" i="32"/>
  <c r="H313" i="32"/>
  <c r="G313" i="32"/>
  <c r="F313" i="32"/>
  <c r="E313" i="32"/>
  <c r="D313" i="32"/>
  <c r="C313" i="32"/>
  <c r="B313" i="32"/>
  <c r="J312" i="32"/>
  <c r="I312" i="32"/>
  <c r="H312" i="32"/>
  <c r="G312" i="32"/>
  <c r="F312" i="32"/>
  <c r="E312" i="32"/>
  <c r="D312" i="32"/>
  <c r="C312" i="32"/>
  <c r="B312" i="32"/>
  <c r="J311" i="32"/>
  <c r="I311" i="32"/>
  <c r="H311" i="32"/>
  <c r="G311" i="32"/>
  <c r="F311" i="32"/>
  <c r="E311" i="32"/>
  <c r="D311" i="32"/>
  <c r="C311" i="32"/>
  <c r="B311" i="32"/>
  <c r="J310" i="32"/>
  <c r="I310" i="32"/>
  <c r="H310" i="32"/>
  <c r="G310" i="32"/>
  <c r="F310" i="32"/>
  <c r="E310" i="32"/>
  <c r="D310" i="32"/>
  <c r="C310" i="32"/>
  <c r="B310" i="32"/>
  <c r="J309" i="32"/>
  <c r="I309" i="32"/>
  <c r="H309" i="32"/>
  <c r="G309" i="32"/>
  <c r="F309" i="32"/>
  <c r="E309" i="32"/>
  <c r="D309" i="32"/>
  <c r="C309" i="32"/>
  <c r="B309" i="32"/>
  <c r="J308" i="32"/>
  <c r="I308" i="32"/>
  <c r="H308" i="32"/>
  <c r="G308" i="32"/>
  <c r="F308" i="32"/>
  <c r="E308" i="32"/>
  <c r="D308" i="32"/>
  <c r="C308" i="32"/>
  <c r="B308" i="32"/>
  <c r="J307" i="32"/>
  <c r="I307" i="32"/>
  <c r="H307" i="32"/>
  <c r="G307" i="32"/>
  <c r="F307" i="32"/>
  <c r="E307" i="32"/>
  <c r="D307" i="32"/>
  <c r="C307" i="32"/>
  <c r="B307" i="32"/>
  <c r="J306" i="32"/>
  <c r="I306" i="32"/>
  <c r="H306" i="32"/>
  <c r="G306" i="32"/>
  <c r="F306" i="32"/>
  <c r="E306" i="32"/>
  <c r="D306" i="32"/>
  <c r="C306" i="32"/>
  <c r="B306" i="32"/>
  <c r="J305" i="32"/>
  <c r="I305" i="32"/>
  <c r="H305" i="32"/>
  <c r="G305" i="32"/>
  <c r="F305" i="32"/>
  <c r="E305" i="32"/>
  <c r="D305" i="32"/>
  <c r="C305" i="32"/>
  <c r="B305" i="32"/>
  <c r="J304" i="32"/>
  <c r="I304" i="32"/>
  <c r="H304" i="32"/>
  <c r="G304" i="32"/>
  <c r="F304" i="32"/>
  <c r="E304" i="32"/>
  <c r="D304" i="32"/>
  <c r="C304" i="32"/>
  <c r="B304" i="32"/>
  <c r="J303" i="32"/>
  <c r="I303" i="32"/>
  <c r="H303" i="32"/>
  <c r="G303" i="32"/>
  <c r="F303" i="32"/>
  <c r="E303" i="32"/>
  <c r="D303" i="32"/>
  <c r="C303" i="32"/>
  <c r="B303" i="32"/>
  <c r="J302" i="32"/>
  <c r="I302" i="32"/>
  <c r="H302" i="32"/>
  <c r="G302" i="32"/>
  <c r="F302" i="32"/>
  <c r="E302" i="32"/>
  <c r="D302" i="32"/>
  <c r="C302" i="32"/>
  <c r="B302" i="32"/>
  <c r="J301" i="32"/>
  <c r="I301" i="32"/>
  <c r="H301" i="32"/>
  <c r="G301" i="32"/>
  <c r="F301" i="32"/>
  <c r="E301" i="32"/>
  <c r="D301" i="32"/>
  <c r="C301" i="32"/>
  <c r="B301" i="32"/>
  <c r="J300" i="32"/>
  <c r="I300" i="32"/>
  <c r="H300" i="32"/>
  <c r="G300" i="32"/>
  <c r="F300" i="32"/>
  <c r="E300" i="32"/>
  <c r="D300" i="32"/>
  <c r="C300" i="32"/>
  <c r="B300" i="32"/>
  <c r="J299" i="32"/>
  <c r="I299" i="32"/>
  <c r="H299" i="32"/>
  <c r="G299" i="32"/>
  <c r="F299" i="32"/>
  <c r="E299" i="32"/>
  <c r="D299" i="32"/>
  <c r="C299" i="32"/>
  <c r="B299" i="32"/>
  <c r="J298" i="32"/>
  <c r="I298" i="32"/>
  <c r="H298" i="32"/>
  <c r="G298" i="32"/>
  <c r="F298" i="32"/>
  <c r="E298" i="32"/>
  <c r="D298" i="32"/>
  <c r="C298" i="32"/>
  <c r="B298" i="32"/>
  <c r="J297" i="32"/>
  <c r="I297" i="32"/>
  <c r="H297" i="32"/>
  <c r="G297" i="32"/>
  <c r="F297" i="32"/>
  <c r="E297" i="32"/>
  <c r="D297" i="32"/>
  <c r="C297" i="32"/>
  <c r="B297" i="32"/>
  <c r="J296" i="32"/>
  <c r="I296" i="32"/>
  <c r="H296" i="32"/>
  <c r="G296" i="32"/>
  <c r="F296" i="32"/>
  <c r="E296" i="32"/>
  <c r="D296" i="32"/>
  <c r="C296" i="32"/>
  <c r="B296" i="32"/>
  <c r="J295" i="32"/>
  <c r="I295" i="32"/>
  <c r="H295" i="32"/>
  <c r="G295" i="32"/>
  <c r="F295" i="32"/>
  <c r="E295" i="32"/>
  <c r="D295" i="32"/>
  <c r="C295" i="32"/>
  <c r="B295" i="32"/>
  <c r="J294" i="32"/>
  <c r="I294" i="32"/>
  <c r="H294" i="32"/>
  <c r="G294" i="32"/>
  <c r="F294" i="32"/>
  <c r="E294" i="32"/>
  <c r="D294" i="32"/>
  <c r="C294" i="32"/>
  <c r="B294" i="32"/>
  <c r="J293" i="32"/>
  <c r="I293" i="32"/>
  <c r="H293" i="32"/>
  <c r="G293" i="32"/>
  <c r="F293" i="32"/>
  <c r="E293" i="32"/>
  <c r="D293" i="32"/>
  <c r="C293" i="32"/>
  <c r="B293" i="32"/>
  <c r="J292" i="32"/>
  <c r="I292" i="32"/>
  <c r="H292" i="32"/>
  <c r="G292" i="32"/>
  <c r="F292" i="32"/>
  <c r="E292" i="32"/>
  <c r="D292" i="32"/>
  <c r="C292" i="32"/>
  <c r="B292" i="32"/>
  <c r="J291" i="32"/>
  <c r="I291" i="32"/>
  <c r="H291" i="32"/>
  <c r="G291" i="32"/>
  <c r="F291" i="32"/>
  <c r="E291" i="32"/>
  <c r="D291" i="32"/>
  <c r="C291" i="32"/>
  <c r="B291" i="32"/>
  <c r="J290" i="32"/>
  <c r="I290" i="32"/>
  <c r="H290" i="32"/>
  <c r="G290" i="32"/>
  <c r="F290" i="32"/>
  <c r="E290" i="32"/>
  <c r="D290" i="32"/>
  <c r="C290" i="32"/>
  <c r="B290" i="32"/>
  <c r="J289" i="32"/>
  <c r="I289" i="32"/>
  <c r="H289" i="32"/>
  <c r="G289" i="32"/>
  <c r="F289" i="32"/>
  <c r="E289" i="32"/>
  <c r="D289" i="32"/>
  <c r="C289" i="32"/>
  <c r="B289" i="32"/>
  <c r="J288" i="32"/>
  <c r="I288" i="32"/>
  <c r="H288" i="32"/>
  <c r="G288" i="32"/>
  <c r="F288" i="32"/>
  <c r="E288" i="32"/>
  <c r="D288" i="32"/>
  <c r="C288" i="32"/>
  <c r="B288" i="32"/>
  <c r="J287" i="32"/>
  <c r="I287" i="32"/>
  <c r="H287" i="32"/>
  <c r="G287" i="32"/>
  <c r="F287" i="32"/>
  <c r="E287" i="32"/>
  <c r="D287" i="32"/>
  <c r="C287" i="32"/>
  <c r="B287" i="32"/>
  <c r="A284" i="32"/>
  <c r="J269" i="32"/>
  <c r="I269" i="32"/>
  <c r="H269" i="32"/>
  <c r="G269" i="32"/>
  <c r="F269" i="32"/>
  <c r="E269" i="32"/>
  <c r="D269" i="32"/>
  <c r="C269" i="32"/>
  <c r="B269" i="32"/>
  <c r="J268" i="32"/>
  <c r="I268" i="32"/>
  <c r="H268" i="32"/>
  <c r="G268" i="32"/>
  <c r="F268" i="32"/>
  <c r="E268" i="32"/>
  <c r="D268" i="32"/>
  <c r="C268" i="32"/>
  <c r="B268" i="32"/>
  <c r="J267" i="32"/>
  <c r="I267" i="32"/>
  <c r="H267" i="32"/>
  <c r="G267" i="32"/>
  <c r="F267" i="32"/>
  <c r="E267" i="32"/>
  <c r="D267" i="32"/>
  <c r="C267" i="32"/>
  <c r="B267" i="32"/>
  <c r="J266" i="32"/>
  <c r="I266" i="32"/>
  <c r="H266" i="32"/>
  <c r="G266" i="32"/>
  <c r="F266" i="32"/>
  <c r="E266" i="32"/>
  <c r="D266" i="32"/>
  <c r="C266" i="32"/>
  <c r="B266" i="32"/>
  <c r="J265" i="32"/>
  <c r="I265" i="32"/>
  <c r="H265" i="32"/>
  <c r="G265" i="32"/>
  <c r="F265" i="32"/>
  <c r="E265" i="32"/>
  <c r="D265" i="32"/>
  <c r="C265" i="32"/>
  <c r="B265" i="32"/>
  <c r="J264" i="32"/>
  <c r="I264" i="32"/>
  <c r="H264" i="32"/>
  <c r="G264" i="32"/>
  <c r="F264" i="32"/>
  <c r="E264" i="32"/>
  <c r="D264" i="32"/>
  <c r="C264" i="32"/>
  <c r="B264" i="32"/>
  <c r="J263" i="32"/>
  <c r="I263" i="32"/>
  <c r="H263" i="32"/>
  <c r="G263" i="32"/>
  <c r="F263" i="32"/>
  <c r="E263" i="32"/>
  <c r="D263" i="32"/>
  <c r="C263" i="32"/>
  <c r="B263" i="32"/>
  <c r="J262" i="32"/>
  <c r="I262" i="32"/>
  <c r="H262" i="32"/>
  <c r="G262" i="32"/>
  <c r="F262" i="32"/>
  <c r="E262" i="32"/>
  <c r="D262" i="32"/>
  <c r="C262" i="32"/>
  <c r="B262" i="32"/>
  <c r="J261" i="32"/>
  <c r="I261" i="32"/>
  <c r="H261" i="32"/>
  <c r="G261" i="32"/>
  <c r="F261" i="32"/>
  <c r="E261" i="32"/>
  <c r="D261" i="32"/>
  <c r="C261" i="32"/>
  <c r="B261" i="32"/>
  <c r="J260" i="32"/>
  <c r="I260" i="32"/>
  <c r="H260" i="32"/>
  <c r="G260" i="32"/>
  <c r="F260" i="32"/>
  <c r="E260" i="32"/>
  <c r="D260" i="32"/>
  <c r="C260" i="32"/>
  <c r="B260" i="32"/>
  <c r="J259" i="32"/>
  <c r="I259" i="32"/>
  <c r="H259" i="32"/>
  <c r="G259" i="32"/>
  <c r="F259" i="32"/>
  <c r="E259" i="32"/>
  <c r="D259" i="32"/>
  <c r="C259" i="32"/>
  <c r="B259" i="32"/>
  <c r="J258" i="32"/>
  <c r="I258" i="32"/>
  <c r="H258" i="32"/>
  <c r="G258" i="32"/>
  <c r="F258" i="32"/>
  <c r="E258" i="32"/>
  <c r="D258" i="32"/>
  <c r="C258" i="32"/>
  <c r="B258" i="32"/>
  <c r="J257" i="32"/>
  <c r="I257" i="32"/>
  <c r="H257" i="32"/>
  <c r="G257" i="32"/>
  <c r="F257" i="32"/>
  <c r="E257" i="32"/>
  <c r="D257" i="32"/>
  <c r="C257" i="32"/>
  <c r="B257" i="32"/>
  <c r="J256" i="32"/>
  <c r="I256" i="32"/>
  <c r="H256" i="32"/>
  <c r="G256" i="32"/>
  <c r="F256" i="32"/>
  <c r="E256" i="32"/>
  <c r="D256" i="32"/>
  <c r="C256" i="32"/>
  <c r="B256" i="32"/>
  <c r="J255" i="32"/>
  <c r="I255" i="32"/>
  <c r="H255" i="32"/>
  <c r="G255" i="32"/>
  <c r="F255" i="32"/>
  <c r="E255" i="32"/>
  <c r="D255" i="32"/>
  <c r="C255" i="32"/>
  <c r="B255" i="32"/>
  <c r="J254" i="32"/>
  <c r="I254" i="32"/>
  <c r="H254" i="32"/>
  <c r="G254" i="32"/>
  <c r="F254" i="32"/>
  <c r="E254" i="32"/>
  <c r="D254" i="32"/>
  <c r="C254" i="32"/>
  <c r="B254" i="32"/>
  <c r="J253" i="32"/>
  <c r="I253" i="32"/>
  <c r="H253" i="32"/>
  <c r="G253" i="32"/>
  <c r="F253" i="32"/>
  <c r="E253" i="32"/>
  <c r="D253" i="32"/>
  <c r="C253" i="32"/>
  <c r="B253" i="32"/>
  <c r="J252" i="32"/>
  <c r="I252" i="32"/>
  <c r="H252" i="32"/>
  <c r="G252" i="32"/>
  <c r="F252" i="32"/>
  <c r="E252" i="32"/>
  <c r="D252" i="32"/>
  <c r="C252" i="32"/>
  <c r="B252" i="32"/>
  <c r="J251" i="32"/>
  <c r="I251" i="32"/>
  <c r="H251" i="32"/>
  <c r="G251" i="32"/>
  <c r="F251" i="32"/>
  <c r="E251" i="32"/>
  <c r="D251" i="32"/>
  <c r="C251" i="32"/>
  <c r="B251" i="32"/>
  <c r="J250" i="32"/>
  <c r="I250" i="32"/>
  <c r="H250" i="32"/>
  <c r="G250" i="32"/>
  <c r="F250" i="32"/>
  <c r="E250" i="32"/>
  <c r="D250" i="32"/>
  <c r="C250" i="32"/>
  <c r="B250" i="32"/>
  <c r="J249" i="32"/>
  <c r="I249" i="32"/>
  <c r="H249" i="32"/>
  <c r="G249" i="32"/>
  <c r="F249" i="32"/>
  <c r="E249" i="32"/>
  <c r="D249" i="32"/>
  <c r="C249" i="32"/>
  <c r="B249" i="32"/>
  <c r="J248" i="32"/>
  <c r="I248" i="32"/>
  <c r="H248" i="32"/>
  <c r="G248" i="32"/>
  <c r="F248" i="32"/>
  <c r="E248" i="32"/>
  <c r="D248" i="32"/>
  <c r="C248" i="32"/>
  <c r="B248" i="32"/>
  <c r="J247" i="32"/>
  <c r="I247" i="32"/>
  <c r="H247" i="32"/>
  <c r="G247" i="32"/>
  <c r="F247" i="32"/>
  <c r="E247" i="32"/>
  <c r="D247" i="32"/>
  <c r="C247" i="32"/>
  <c r="B247" i="32"/>
  <c r="J246" i="32"/>
  <c r="I246" i="32"/>
  <c r="H246" i="32"/>
  <c r="G246" i="32"/>
  <c r="F246" i="32"/>
  <c r="E246" i="32"/>
  <c r="D246" i="32"/>
  <c r="C246" i="32"/>
  <c r="B246" i="32"/>
  <c r="J245" i="32"/>
  <c r="I245" i="32"/>
  <c r="H245" i="32"/>
  <c r="G245" i="32"/>
  <c r="F245" i="32"/>
  <c r="E245" i="32"/>
  <c r="D245" i="32"/>
  <c r="C245" i="32"/>
  <c r="B245" i="32"/>
  <c r="J244" i="32"/>
  <c r="I244" i="32"/>
  <c r="H244" i="32"/>
  <c r="G244" i="32"/>
  <c r="F244" i="32"/>
  <c r="E244" i="32"/>
  <c r="D244" i="32"/>
  <c r="C244" i="32"/>
  <c r="B244" i="32"/>
  <c r="J243" i="32"/>
  <c r="I243" i="32"/>
  <c r="H243" i="32"/>
  <c r="G243" i="32"/>
  <c r="F243" i="32"/>
  <c r="E243" i="32"/>
  <c r="D243" i="32"/>
  <c r="C243" i="32"/>
  <c r="B243" i="32"/>
  <c r="J242" i="32"/>
  <c r="I242" i="32"/>
  <c r="H242" i="32"/>
  <c r="G242" i="32"/>
  <c r="F242" i="32"/>
  <c r="E242" i="32"/>
  <c r="D242" i="32"/>
  <c r="C242" i="32"/>
  <c r="B242" i="32"/>
  <c r="J241" i="32"/>
  <c r="I241" i="32"/>
  <c r="H241" i="32"/>
  <c r="G241" i="32"/>
  <c r="F241" i="32"/>
  <c r="E241" i="32"/>
  <c r="D241" i="32"/>
  <c r="C241" i="32"/>
  <c r="B241" i="32"/>
  <c r="J240" i="32"/>
  <c r="I240" i="32"/>
  <c r="H240" i="32"/>
  <c r="G240" i="32"/>
  <c r="F240" i="32"/>
  <c r="E240" i="32"/>
  <c r="D240" i="32"/>
  <c r="C240" i="32"/>
  <c r="B240" i="32"/>
  <c r="A237" i="32"/>
  <c r="J222" i="32"/>
  <c r="I222" i="32"/>
  <c r="H222" i="32"/>
  <c r="G222" i="32"/>
  <c r="F222" i="32"/>
  <c r="E222" i="32"/>
  <c r="D222" i="32"/>
  <c r="C222" i="32"/>
  <c r="B222" i="32"/>
  <c r="J221" i="32"/>
  <c r="I221" i="32"/>
  <c r="H221" i="32"/>
  <c r="G221" i="32"/>
  <c r="F221" i="32"/>
  <c r="E221" i="32"/>
  <c r="D221" i="32"/>
  <c r="C221" i="32"/>
  <c r="B221" i="32"/>
  <c r="J220" i="32"/>
  <c r="I220" i="32"/>
  <c r="H220" i="32"/>
  <c r="G220" i="32"/>
  <c r="F220" i="32"/>
  <c r="E220" i="32"/>
  <c r="D220" i="32"/>
  <c r="C220" i="32"/>
  <c r="B220" i="32"/>
  <c r="J219" i="32"/>
  <c r="I219" i="32"/>
  <c r="H219" i="32"/>
  <c r="G219" i="32"/>
  <c r="F219" i="32"/>
  <c r="E219" i="32"/>
  <c r="D219" i="32"/>
  <c r="C219" i="32"/>
  <c r="B219" i="32"/>
  <c r="J218" i="32"/>
  <c r="I218" i="32"/>
  <c r="H218" i="32"/>
  <c r="G218" i="32"/>
  <c r="F218" i="32"/>
  <c r="E218" i="32"/>
  <c r="D218" i="32"/>
  <c r="C218" i="32"/>
  <c r="B218" i="32"/>
  <c r="J217" i="32"/>
  <c r="I217" i="32"/>
  <c r="H217" i="32"/>
  <c r="G217" i="32"/>
  <c r="F217" i="32"/>
  <c r="E217" i="32"/>
  <c r="D217" i="32"/>
  <c r="C217" i="32"/>
  <c r="B217" i="32"/>
  <c r="J216" i="32"/>
  <c r="I216" i="32"/>
  <c r="H216" i="32"/>
  <c r="G216" i="32"/>
  <c r="F216" i="32"/>
  <c r="E216" i="32"/>
  <c r="D216" i="32"/>
  <c r="C216" i="32"/>
  <c r="B216" i="32"/>
  <c r="J215" i="32"/>
  <c r="I215" i="32"/>
  <c r="H215" i="32"/>
  <c r="G215" i="32"/>
  <c r="F215" i="32"/>
  <c r="E215" i="32"/>
  <c r="D215" i="32"/>
  <c r="C215" i="32"/>
  <c r="B215" i="32"/>
  <c r="J214" i="32"/>
  <c r="I214" i="32"/>
  <c r="H214" i="32"/>
  <c r="G214" i="32"/>
  <c r="F214" i="32"/>
  <c r="E214" i="32"/>
  <c r="D214" i="32"/>
  <c r="C214" i="32"/>
  <c r="B214" i="32"/>
  <c r="J213" i="32"/>
  <c r="I213" i="32"/>
  <c r="H213" i="32"/>
  <c r="G213" i="32"/>
  <c r="F213" i="32"/>
  <c r="E213" i="32"/>
  <c r="D213" i="32"/>
  <c r="C213" i="32"/>
  <c r="B213" i="32"/>
  <c r="J212" i="32"/>
  <c r="I212" i="32"/>
  <c r="H212" i="32"/>
  <c r="G212" i="32"/>
  <c r="F212" i="32"/>
  <c r="E212" i="32"/>
  <c r="D212" i="32"/>
  <c r="C212" i="32"/>
  <c r="B212" i="32"/>
  <c r="J211" i="32"/>
  <c r="I211" i="32"/>
  <c r="H211" i="32"/>
  <c r="G211" i="32"/>
  <c r="F211" i="32"/>
  <c r="E211" i="32"/>
  <c r="D211" i="32"/>
  <c r="C211" i="32"/>
  <c r="B211" i="32"/>
  <c r="J210" i="32"/>
  <c r="I210" i="32"/>
  <c r="H210" i="32"/>
  <c r="G210" i="32"/>
  <c r="F210" i="32"/>
  <c r="E210" i="32"/>
  <c r="D210" i="32"/>
  <c r="C210" i="32"/>
  <c r="B210" i="32"/>
  <c r="J209" i="32"/>
  <c r="I209" i="32"/>
  <c r="H209" i="32"/>
  <c r="G209" i="32"/>
  <c r="F209" i="32"/>
  <c r="E209" i="32"/>
  <c r="D209" i="32"/>
  <c r="C209" i="32"/>
  <c r="B209" i="32"/>
  <c r="J208" i="32"/>
  <c r="I208" i="32"/>
  <c r="H208" i="32"/>
  <c r="G208" i="32"/>
  <c r="F208" i="32"/>
  <c r="E208" i="32"/>
  <c r="D208" i="32"/>
  <c r="C208" i="32"/>
  <c r="B208" i="32"/>
  <c r="J207" i="32"/>
  <c r="I207" i="32"/>
  <c r="H207" i="32"/>
  <c r="G207" i="32"/>
  <c r="F207" i="32"/>
  <c r="E207" i="32"/>
  <c r="D207" i="32"/>
  <c r="C207" i="32"/>
  <c r="B207" i="32"/>
  <c r="J206" i="32"/>
  <c r="I206" i="32"/>
  <c r="H206" i="32"/>
  <c r="G206" i="32"/>
  <c r="F206" i="32"/>
  <c r="E206" i="32"/>
  <c r="D206" i="32"/>
  <c r="C206" i="32"/>
  <c r="B206" i="32"/>
  <c r="J205" i="32"/>
  <c r="I205" i="32"/>
  <c r="H205" i="32"/>
  <c r="G205" i="32"/>
  <c r="F205" i="32"/>
  <c r="E205" i="32"/>
  <c r="D205" i="32"/>
  <c r="C205" i="32"/>
  <c r="B205" i="32"/>
  <c r="J204" i="32"/>
  <c r="I204" i="32"/>
  <c r="H204" i="32"/>
  <c r="G204" i="32"/>
  <c r="F204" i="32"/>
  <c r="E204" i="32"/>
  <c r="D204" i="32"/>
  <c r="C204" i="32"/>
  <c r="B204" i="32"/>
  <c r="J203" i="32"/>
  <c r="I203" i="32"/>
  <c r="H203" i="32"/>
  <c r="G203" i="32"/>
  <c r="F203" i="32"/>
  <c r="E203" i="32"/>
  <c r="D203" i="32"/>
  <c r="C203" i="32"/>
  <c r="B203" i="32"/>
  <c r="J202" i="32"/>
  <c r="I202" i="32"/>
  <c r="H202" i="32"/>
  <c r="G202" i="32"/>
  <c r="F202" i="32"/>
  <c r="E202" i="32"/>
  <c r="D202" i="32"/>
  <c r="C202" i="32"/>
  <c r="B202" i="32"/>
  <c r="J201" i="32"/>
  <c r="I201" i="32"/>
  <c r="H201" i="32"/>
  <c r="G201" i="32"/>
  <c r="F201" i="32"/>
  <c r="E201" i="32"/>
  <c r="D201" i="32"/>
  <c r="C201" i="32"/>
  <c r="B201" i="32"/>
  <c r="J200" i="32"/>
  <c r="I200" i="32"/>
  <c r="H200" i="32"/>
  <c r="G200" i="32"/>
  <c r="F200" i="32"/>
  <c r="E200" i="32"/>
  <c r="D200" i="32"/>
  <c r="C200" i="32"/>
  <c r="B200" i="32"/>
  <c r="J199" i="32"/>
  <c r="I199" i="32"/>
  <c r="H199" i="32"/>
  <c r="G199" i="32"/>
  <c r="F199" i="32"/>
  <c r="E199" i="32"/>
  <c r="D199" i="32"/>
  <c r="C199" i="32"/>
  <c r="B199" i="32"/>
  <c r="J198" i="32"/>
  <c r="I198" i="32"/>
  <c r="H198" i="32"/>
  <c r="G198" i="32"/>
  <c r="F198" i="32"/>
  <c r="E198" i="32"/>
  <c r="D198" i="32"/>
  <c r="C198" i="32"/>
  <c r="B198" i="32"/>
  <c r="J197" i="32"/>
  <c r="I197" i="32"/>
  <c r="H197" i="32"/>
  <c r="G197" i="32"/>
  <c r="F197" i="32"/>
  <c r="E197" i="32"/>
  <c r="D197" i="32"/>
  <c r="C197" i="32"/>
  <c r="B197" i="32"/>
  <c r="J196" i="32"/>
  <c r="I196" i="32"/>
  <c r="H196" i="32"/>
  <c r="G196" i="32"/>
  <c r="F196" i="32"/>
  <c r="E196" i="32"/>
  <c r="D196" i="32"/>
  <c r="C196" i="32"/>
  <c r="B196" i="32"/>
  <c r="J195" i="32"/>
  <c r="I195" i="32"/>
  <c r="H195" i="32"/>
  <c r="G195" i="32"/>
  <c r="F195" i="32"/>
  <c r="E195" i="32"/>
  <c r="D195" i="32"/>
  <c r="C195" i="32"/>
  <c r="B195" i="32"/>
  <c r="J194" i="32"/>
  <c r="I194" i="32"/>
  <c r="H194" i="32"/>
  <c r="G194" i="32"/>
  <c r="F194" i="32"/>
  <c r="E194" i="32"/>
  <c r="D194" i="32"/>
  <c r="C194" i="32"/>
  <c r="B194" i="32"/>
  <c r="J193" i="32"/>
  <c r="I193" i="32"/>
  <c r="H193" i="32"/>
  <c r="G193" i="32"/>
  <c r="F193" i="32"/>
  <c r="E193" i="32"/>
  <c r="D193" i="32"/>
  <c r="C193" i="32"/>
  <c r="B193" i="32"/>
  <c r="A190" i="32"/>
  <c r="J174" i="32"/>
  <c r="I174" i="32"/>
  <c r="H174" i="32"/>
  <c r="G174" i="32"/>
  <c r="F174" i="32"/>
  <c r="E174" i="32"/>
  <c r="D174" i="32"/>
  <c r="C174" i="32"/>
  <c r="B174" i="32"/>
  <c r="J173" i="32"/>
  <c r="I173" i="32"/>
  <c r="H173" i="32"/>
  <c r="G173" i="32"/>
  <c r="F173" i="32"/>
  <c r="E173" i="32"/>
  <c r="D173" i="32"/>
  <c r="C173" i="32"/>
  <c r="B173" i="32"/>
  <c r="J172" i="32"/>
  <c r="I172" i="32"/>
  <c r="H172" i="32"/>
  <c r="G172" i="32"/>
  <c r="F172" i="32"/>
  <c r="E172" i="32"/>
  <c r="D172" i="32"/>
  <c r="C172" i="32"/>
  <c r="B172" i="32"/>
  <c r="J171" i="32"/>
  <c r="I171" i="32"/>
  <c r="H171" i="32"/>
  <c r="G171" i="32"/>
  <c r="F171" i="32"/>
  <c r="E171" i="32"/>
  <c r="D171" i="32"/>
  <c r="C171" i="32"/>
  <c r="B171" i="32"/>
  <c r="J170" i="32"/>
  <c r="I170" i="32"/>
  <c r="H170" i="32"/>
  <c r="G170" i="32"/>
  <c r="F170" i="32"/>
  <c r="E170" i="32"/>
  <c r="D170" i="32"/>
  <c r="C170" i="32"/>
  <c r="B170" i="32"/>
  <c r="J169" i="32"/>
  <c r="I169" i="32"/>
  <c r="H169" i="32"/>
  <c r="G169" i="32"/>
  <c r="F169" i="32"/>
  <c r="E169" i="32"/>
  <c r="D169" i="32"/>
  <c r="C169" i="32"/>
  <c r="B169" i="32"/>
  <c r="J168" i="32"/>
  <c r="I168" i="32"/>
  <c r="H168" i="32"/>
  <c r="G168" i="32"/>
  <c r="F168" i="32"/>
  <c r="E168" i="32"/>
  <c r="D168" i="32"/>
  <c r="C168" i="32"/>
  <c r="B168" i="32"/>
  <c r="J167" i="32"/>
  <c r="I167" i="32"/>
  <c r="H167" i="32"/>
  <c r="G167" i="32"/>
  <c r="F167" i="32"/>
  <c r="E167" i="32"/>
  <c r="D167" i="32"/>
  <c r="C167" i="32"/>
  <c r="B167" i="32"/>
  <c r="J166" i="32"/>
  <c r="I166" i="32"/>
  <c r="H166" i="32"/>
  <c r="G166" i="32"/>
  <c r="F166" i="32"/>
  <c r="E166" i="32"/>
  <c r="D166" i="32"/>
  <c r="C166" i="32"/>
  <c r="B166" i="32"/>
  <c r="J165" i="32"/>
  <c r="I165" i="32"/>
  <c r="H165" i="32"/>
  <c r="G165" i="32"/>
  <c r="F165" i="32"/>
  <c r="E165" i="32"/>
  <c r="D165" i="32"/>
  <c r="C165" i="32"/>
  <c r="B165" i="32"/>
  <c r="J164" i="32"/>
  <c r="I164" i="32"/>
  <c r="H164" i="32"/>
  <c r="G164" i="32"/>
  <c r="F164" i="32"/>
  <c r="E164" i="32"/>
  <c r="D164" i="32"/>
  <c r="C164" i="32"/>
  <c r="B164" i="32"/>
  <c r="J163" i="32"/>
  <c r="I163" i="32"/>
  <c r="H163" i="32"/>
  <c r="G163" i="32"/>
  <c r="F163" i="32"/>
  <c r="E163" i="32"/>
  <c r="D163" i="32"/>
  <c r="C163" i="32"/>
  <c r="B163" i="32"/>
  <c r="J162" i="32"/>
  <c r="I162" i="32"/>
  <c r="H162" i="32"/>
  <c r="G162" i="32"/>
  <c r="F162" i="32"/>
  <c r="E162" i="32"/>
  <c r="D162" i="32"/>
  <c r="C162" i="32"/>
  <c r="B162" i="32"/>
  <c r="J161" i="32"/>
  <c r="I161" i="32"/>
  <c r="H161" i="32"/>
  <c r="G161" i="32"/>
  <c r="F161" i="32"/>
  <c r="E161" i="32"/>
  <c r="D161" i="32"/>
  <c r="C161" i="32"/>
  <c r="B161" i="32"/>
  <c r="J160" i="32"/>
  <c r="I160" i="32"/>
  <c r="H160" i="32"/>
  <c r="G160" i="32"/>
  <c r="F160" i="32"/>
  <c r="E160" i="32"/>
  <c r="D160" i="32"/>
  <c r="C160" i="32"/>
  <c r="B160" i="32"/>
  <c r="J159" i="32"/>
  <c r="I159" i="32"/>
  <c r="H159" i="32"/>
  <c r="G159" i="32"/>
  <c r="F159" i="32"/>
  <c r="E159" i="32"/>
  <c r="D159" i="32"/>
  <c r="C159" i="32"/>
  <c r="B159" i="32"/>
  <c r="J158" i="32"/>
  <c r="I158" i="32"/>
  <c r="H158" i="32"/>
  <c r="G158" i="32"/>
  <c r="F158" i="32"/>
  <c r="E158" i="32"/>
  <c r="D158" i="32"/>
  <c r="C158" i="32"/>
  <c r="B158" i="32"/>
  <c r="J157" i="32"/>
  <c r="I157" i="32"/>
  <c r="H157" i="32"/>
  <c r="G157" i="32"/>
  <c r="F157" i="32"/>
  <c r="E157" i="32"/>
  <c r="D157" i="32"/>
  <c r="C157" i="32"/>
  <c r="B157" i="32"/>
  <c r="J156" i="32"/>
  <c r="I156" i="32"/>
  <c r="H156" i="32"/>
  <c r="G156" i="32"/>
  <c r="F156" i="32"/>
  <c r="E156" i="32"/>
  <c r="D156" i="32"/>
  <c r="C156" i="32"/>
  <c r="B156" i="32"/>
  <c r="J155" i="32"/>
  <c r="I155" i="32"/>
  <c r="H155" i="32"/>
  <c r="G155" i="32"/>
  <c r="F155" i="32"/>
  <c r="E155" i="32"/>
  <c r="D155" i="32"/>
  <c r="C155" i="32"/>
  <c r="B155" i="32"/>
  <c r="J154" i="32"/>
  <c r="I154" i="32"/>
  <c r="H154" i="32"/>
  <c r="G154" i="32"/>
  <c r="F154" i="32"/>
  <c r="E154" i="32"/>
  <c r="D154" i="32"/>
  <c r="C154" i="32"/>
  <c r="B154" i="32"/>
  <c r="J153" i="32"/>
  <c r="I153" i="32"/>
  <c r="H153" i="32"/>
  <c r="G153" i="32"/>
  <c r="F153" i="32"/>
  <c r="E153" i="32"/>
  <c r="D153" i="32"/>
  <c r="C153" i="32"/>
  <c r="B153" i="32"/>
  <c r="J152" i="32"/>
  <c r="I152" i="32"/>
  <c r="H152" i="32"/>
  <c r="G152" i="32"/>
  <c r="F152" i="32"/>
  <c r="E152" i="32"/>
  <c r="D152" i="32"/>
  <c r="C152" i="32"/>
  <c r="B152" i="32"/>
  <c r="J151" i="32"/>
  <c r="I151" i="32"/>
  <c r="H151" i="32"/>
  <c r="G151" i="32"/>
  <c r="F151" i="32"/>
  <c r="E151" i="32"/>
  <c r="D151" i="32"/>
  <c r="C151" i="32"/>
  <c r="B151" i="32"/>
  <c r="J150" i="32"/>
  <c r="I150" i="32"/>
  <c r="H150" i="32"/>
  <c r="G150" i="32"/>
  <c r="F150" i="32"/>
  <c r="E150" i="32"/>
  <c r="D150" i="32"/>
  <c r="C150" i="32"/>
  <c r="B150" i="32"/>
  <c r="J149" i="32"/>
  <c r="I149" i="32"/>
  <c r="H149" i="32"/>
  <c r="G149" i="32"/>
  <c r="F149" i="32"/>
  <c r="E149" i="32"/>
  <c r="D149" i="32"/>
  <c r="C149" i="32"/>
  <c r="B149" i="32"/>
  <c r="J148" i="32"/>
  <c r="I148" i="32"/>
  <c r="H148" i="32"/>
  <c r="G148" i="32"/>
  <c r="F148" i="32"/>
  <c r="E148" i="32"/>
  <c r="D148" i="32"/>
  <c r="C148" i="32"/>
  <c r="B148" i="32"/>
  <c r="J147" i="32"/>
  <c r="I147" i="32"/>
  <c r="H147" i="32"/>
  <c r="G147" i="32"/>
  <c r="F147" i="32"/>
  <c r="E147" i="32"/>
  <c r="D147" i="32"/>
  <c r="C147" i="32"/>
  <c r="B147" i="32"/>
  <c r="J146" i="32"/>
  <c r="I146" i="32"/>
  <c r="H146" i="32"/>
  <c r="G146" i="32"/>
  <c r="F146" i="32"/>
  <c r="E146" i="32"/>
  <c r="D146" i="32"/>
  <c r="C146" i="32"/>
  <c r="B146" i="32"/>
  <c r="A143" i="32"/>
  <c r="J128" i="32"/>
  <c r="I128" i="32"/>
  <c r="H128" i="32"/>
  <c r="G128" i="32"/>
  <c r="F128" i="32"/>
  <c r="E128" i="32"/>
  <c r="D128" i="32"/>
  <c r="C128" i="32"/>
  <c r="B128" i="32"/>
  <c r="J127" i="32"/>
  <c r="I127" i="32"/>
  <c r="H127" i="32"/>
  <c r="G127" i="32"/>
  <c r="F127" i="32"/>
  <c r="E127" i="32"/>
  <c r="D127" i="32"/>
  <c r="C127" i="32"/>
  <c r="B127" i="32"/>
  <c r="J126" i="32"/>
  <c r="I126" i="32"/>
  <c r="H126" i="32"/>
  <c r="G126" i="32"/>
  <c r="F126" i="32"/>
  <c r="E126" i="32"/>
  <c r="D126" i="32"/>
  <c r="C126" i="32"/>
  <c r="B126" i="32"/>
  <c r="J125" i="32"/>
  <c r="I125" i="32"/>
  <c r="H125" i="32"/>
  <c r="G125" i="32"/>
  <c r="F125" i="32"/>
  <c r="E125" i="32"/>
  <c r="D125" i="32"/>
  <c r="C125" i="32"/>
  <c r="B125" i="32"/>
  <c r="J124" i="32"/>
  <c r="I124" i="32"/>
  <c r="H124" i="32"/>
  <c r="G124" i="32"/>
  <c r="F124" i="32"/>
  <c r="E124" i="32"/>
  <c r="D124" i="32"/>
  <c r="C124" i="32"/>
  <c r="B124" i="32"/>
  <c r="J123" i="32"/>
  <c r="I123" i="32"/>
  <c r="H123" i="32"/>
  <c r="G123" i="32"/>
  <c r="F123" i="32"/>
  <c r="E123" i="32"/>
  <c r="D123" i="32"/>
  <c r="C123" i="32"/>
  <c r="B123" i="32"/>
  <c r="J122" i="32"/>
  <c r="I122" i="32"/>
  <c r="H122" i="32"/>
  <c r="G122" i="32"/>
  <c r="F122" i="32"/>
  <c r="E122" i="32"/>
  <c r="D122" i="32"/>
  <c r="C122" i="32"/>
  <c r="B122" i="32"/>
  <c r="J121" i="32"/>
  <c r="I121" i="32"/>
  <c r="H121" i="32"/>
  <c r="G121" i="32"/>
  <c r="F121" i="32"/>
  <c r="E121" i="32"/>
  <c r="D121" i="32"/>
  <c r="C121" i="32"/>
  <c r="B121" i="32"/>
  <c r="J120" i="32"/>
  <c r="I120" i="32"/>
  <c r="H120" i="32"/>
  <c r="G120" i="32"/>
  <c r="F120" i="32"/>
  <c r="E120" i="32"/>
  <c r="D120" i="32"/>
  <c r="C120" i="32"/>
  <c r="B120" i="32"/>
  <c r="J119" i="32"/>
  <c r="I119" i="32"/>
  <c r="H119" i="32"/>
  <c r="G119" i="32"/>
  <c r="F119" i="32"/>
  <c r="E119" i="32"/>
  <c r="D119" i="32"/>
  <c r="C119" i="32"/>
  <c r="B119" i="32"/>
  <c r="J118" i="32"/>
  <c r="I118" i="32"/>
  <c r="H118" i="32"/>
  <c r="G118" i="32"/>
  <c r="F118" i="32"/>
  <c r="E118" i="32"/>
  <c r="D118" i="32"/>
  <c r="C118" i="32"/>
  <c r="B118" i="32"/>
  <c r="J117" i="32"/>
  <c r="I117" i="32"/>
  <c r="H117" i="32"/>
  <c r="G117" i="32"/>
  <c r="F117" i="32"/>
  <c r="E117" i="32"/>
  <c r="D117" i="32"/>
  <c r="C117" i="32"/>
  <c r="B117" i="32"/>
  <c r="J116" i="32"/>
  <c r="I116" i="32"/>
  <c r="H116" i="32"/>
  <c r="G116" i="32"/>
  <c r="F116" i="32"/>
  <c r="E116" i="32"/>
  <c r="D116" i="32"/>
  <c r="C116" i="32"/>
  <c r="B116" i="32"/>
  <c r="J115" i="32"/>
  <c r="I115" i="32"/>
  <c r="H115" i="32"/>
  <c r="G115" i="32"/>
  <c r="F115" i="32"/>
  <c r="E115" i="32"/>
  <c r="D115" i="32"/>
  <c r="C115" i="32"/>
  <c r="B115" i="32"/>
  <c r="J114" i="32"/>
  <c r="I114" i="32"/>
  <c r="H114" i="32"/>
  <c r="G114" i="32"/>
  <c r="F114" i="32"/>
  <c r="E114" i="32"/>
  <c r="D114" i="32"/>
  <c r="C114" i="32"/>
  <c r="B114" i="32"/>
  <c r="J113" i="32"/>
  <c r="I113" i="32"/>
  <c r="H113" i="32"/>
  <c r="G113" i="32"/>
  <c r="F113" i="32"/>
  <c r="E113" i="32"/>
  <c r="D113" i="32"/>
  <c r="C113" i="32"/>
  <c r="B113" i="32"/>
  <c r="J112" i="32"/>
  <c r="I112" i="32"/>
  <c r="H112" i="32"/>
  <c r="G112" i="32"/>
  <c r="F112" i="32"/>
  <c r="E112" i="32"/>
  <c r="D112" i="32"/>
  <c r="C112" i="32"/>
  <c r="B112" i="32"/>
  <c r="J111" i="32"/>
  <c r="I111" i="32"/>
  <c r="H111" i="32"/>
  <c r="G111" i="32"/>
  <c r="F111" i="32"/>
  <c r="E111" i="32"/>
  <c r="D111" i="32"/>
  <c r="C111" i="32"/>
  <c r="B111" i="32"/>
  <c r="J110" i="32"/>
  <c r="I110" i="32"/>
  <c r="H110" i="32"/>
  <c r="G110" i="32"/>
  <c r="F110" i="32"/>
  <c r="E110" i="32"/>
  <c r="D110" i="32"/>
  <c r="C110" i="32"/>
  <c r="B110" i="32"/>
  <c r="J109" i="32"/>
  <c r="I109" i="32"/>
  <c r="H109" i="32"/>
  <c r="G109" i="32"/>
  <c r="F109" i="32"/>
  <c r="E109" i="32"/>
  <c r="D109" i="32"/>
  <c r="C109" i="32"/>
  <c r="B109" i="32"/>
  <c r="J108" i="32"/>
  <c r="I108" i="32"/>
  <c r="H108" i="32"/>
  <c r="G108" i="32"/>
  <c r="F108" i="32"/>
  <c r="E108" i="32"/>
  <c r="D108" i="32"/>
  <c r="C108" i="32"/>
  <c r="B108" i="32"/>
  <c r="J107" i="32"/>
  <c r="I107" i="32"/>
  <c r="H107" i="32"/>
  <c r="G107" i="32"/>
  <c r="F107" i="32"/>
  <c r="E107" i="32"/>
  <c r="D107" i="32"/>
  <c r="C107" i="32"/>
  <c r="B107" i="32"/>
  <c r="J106" i="32"/>
  <c r="I106" i="32"/>
  <c r="H106" i="32"/>
  <c r="G106" i="32"/>
  <c r="F106" i="32"/>
  <c r="E106" i="32"/>
  <c r="D106" i="32"/>
  <c r="C106" i="32"/>
  <c r="B106" i="32"/>
  <c r="J105" i="32"/>
  <c r="I105" i="32"/>
  <c r="H105" i="32"/>
  <c r="G105" i="32"/>
  <c r="F105" i="32"/>
  <c r="E105" i="32"/>
  <c r="D105" i="32"/>
  <c r="C105" i="32"/>
  <c r="B105" i="32"/>
  <c r="J104" i="32"/>
  <c r="I104" i="32"/>
  <c r="H104" i="32"/>
  <c r="G104" i="32"/>
  <c r="F104" i="32"/>
  <c r="E104" i="32"/>
  <c r="D104" i="32"/>
  <c r="C104" i="32"/>
  <c r="B104" i="32"/>
  <c r="J103" i="32"/>
  <c r="I103" i="32"/>
  <c r="H103" i="32"/>
  <c r="G103" i="32"/>
  <c r="F103" i="32"/>
  <c r="E103" i="32"/>
  <c r="D103" i="32"/>
  <c r="C103" i="32"/>
  <c r="B103" i="32"/>
  <c r="J102" i="32"/>
  <c r="I102" i="32"/>
  <c r="H102" i="32"/>
  <c r="G102" i="32"/>
  <c r="F102" i="32"/>
  <c r="E102" i="32"/>
  <c r="D102" i="32"/>
  <c r="C102" i="32"/>
  <c r="B102" i="32"/>
  <c r="J101" i="32"/>
  <c r="I101" i="32"/>
  <c r="H101" i="32"/>
  <c r="G101" i="32"/>
  <c r="F101" i="32"/>
  <c r="E101" i="32"/>
  <c r="D101" i="32"/>
  <c r="C101" i="32"/>
  <c r="B101" i="32"/>
  <c r="J100" i="32"/>
  <c r="I100" i="32"/>
  <c r="H100" i="32"/>
  <c r="G100" i="32"/>
  <c r="F100" i="32"/>
  <c r="E100" i="32"/>
  <c r="D100" i="32"/>
  <c r="C100" i="32"/>
  <c r="B100" i="32"/>
  <c r="J99" i="32"/>
  <c r="I99" i="32"/>
  <c r="H99" i="32"/>
  <c r="G99" i="32"/>
  <c r="F99" i="32"/>
  <c r="E99" i="32"/>
  <c r="D99" i="32"/>
  <c r="C99" i="32"/>
  <c r="B99" i="32"/>
  <c r="A96" i="32"/>
  <c r="J81" i="32"/>
  <c r="I81" i="32"/>
  <c r="H81" i="32"/>
  <c r="G81" i="32"/>
  <c r="F81" i="32"/>
  <c r="E81" i="32"/>
  <c r="D81" i="32"/>
  <c r="C81" i="32"/>
  <c r="B81" i="32"/>
  <c r="J80" i="32"/>
  <c r="I80" i="32"/>
  <c r="H80" i="32"/>
  <c r="G80" i="32"/>
  <c r="F80" i="32"/>
  <c r="E80" i="32"/>
  <c r="D80" i="32"/>
  <c r="C80" i="32"/>
  <c r="B80" i="32"/>
  <c r="J79" i="32"/>
  <c r="I79" i="32"/>
  <c r="H79" i="32"/>
  <c r="G79" i="32"/>
  <c r="F79" i="32"/>
  <c r="E79" i="32"/>
  <c r="D79" i="32"/>
  <c r="C79" i="32"/>
  <c r="B79" i="32"/>
  <c r="J78" i="32"/>
  <c r="I78" i="32"/>
  <c r="H78" i="32"/>
  <c r="G78" i="32"/>
  <c r="F78" i="32"/>
  <c r="E78" i="32"/>
  <c r="D78" i="32"/>
  <c r="C78" i="32"/>
  <c r="B78" i="32"/>
  <c r="J77" i="32"/>
  <c r="I77" i="32"/>
  <c r="H77" i="32"/>
  <c r="G77" i="32"/>
  <c r="F77" i="32"/>
  <c r="E77" i="32"/>
  <c r="D77" i="32"/>
  <c r="C77" i="32"/>
  <c r="B77" i="32"/>
  <c r="J76" i="32"/>
  <c r="I76" i="32"/>
  <c r="H76" i="32"/>
  <c r="G76" i="32"/>
  <c r="F76" i="32"/>
  <c r="E76" i="32"/>
  <c r="D76" i="32"/>
  <c r="C76" i="32"/>
  <c r="B76" i="32"/>
  <c r="J75" i="32"/>
  <c r="I75" i="32"/>
  <c r="H75" i="32"/>
  <c r="G75" i="32"/>
  <c r="F75" i="32"/>
  <c r="E75" i="32"/>
  <c r="D75" i="32"/>
  <c r="C75" i="32"/>
  <c r="B75" i="32"/>
  <c r="J74" i="32"/>
  <c r="I74" i="32"/>
  <c r="H74" i="32"/>
  <c r="G74" i="32"/>
  <c r="F74" i="32"/>
  <c r="E74" i="32"/>
  <c r="D74" i="32"/>
  <c r="C74" i="32"/>
  <c r="B74" i="32"/>
  <c r="J73" i="32"/>
  <c r="I73" i="32"/>
  <c r="H73" i="32"/>
  <c r="G73" i="32"/>
  <c r="F73" i="32"/>
  <c r="E73" i="32"/>
  <c r="D73" i="32"/>
  <c r="C73" i="32"/>
  <c r="B73" i="32"/>
  <c r="J72" i="32"/>
  <c r="I72" i="32"/>
  <c r="H72" i="32"/>
  <c r="G72" i="32"/>
  <c r="F72" i="32"/>
  <c r="E72" i="32"/>
  <c r="D72" i="32"/>
  <c r="C72" i="32"/>
  <c r="B72" i="32"/>
  <c r="J71" i="32"/>
  <c r="I71" i="32"/>
  <c r="H71" i="32"/>
  <c r="G71" i="32"/>
  <c r="F71" i="32"/>
  <c r="E71" i="32"/>
  <c r="D71" i="32"/>
  <c r="C71" i="32"/>
  <c r="B71" i="32"/>
  <c r="J70" i="32"/>
  <c r="I70" i="32"/>
  <c r="H70" i="32"/>
  <c r="G70" i="32"/>
  <c r="F70" i="32"/>
  <c r="E70" i="32"/>
  <c r="D70" i="32"/>
  <c r="C70" i="32"/>
  <c r="B70" i="32"/>
  <c r="J69" i="32"/>
  <c r="I69" i="32"/>
  <c r="H69" i="32"/>
  <c r="G69" i="32"/>
  <c r="F69" i="32"/>
  <c r="E69" i="32"/>
  <c r="D69" i="32"/>
  <c r="C69" i="32"/>
  <c r="B69" i="32"/>
  <c r="J68" i="32"/>
  <c r="I68" i="32"/>
  <c r="H68" i="32"/>
  <c r="G68" i="32"/>
  <c r="F68" i="32"/>
  <c r="E68" i="32"/>
  <c r="D68" i="32"/>
  <c r="C68" i="32"/>
  <c r="B68" i="32"/>
  <c r="J67" i="32"/>
  <c r="I67" i="32"/>
  <c r="H67" i="32"/>
  <c r="G67" i="32"/>
  <c r="F67" i="32"/>
  <c r="E67" i="32"/>
  <c r="D67" i="32"/>
  <c r="C67" i="32"/>
  <c r="B67" i="32"/>
  <c r="J66" i="32"/>
  <c r="I66" i="32"/>
  <c r="H66" i="32"/>
  <c r="G66" i="32"/>
  <c r="F66" i="32"/>
  <c r="E66" i="32"/>
  <c r="D66" i="32"/>
  <c r="C66" i="32"/>
  <c r="B66" i="32"/>
  <c r="J65" i="32"/>
  <c r="I65" i="32"/>
  <c r="H65" i="32"/>
  <c r="G65" i="32"/>
  <c r="F65" i="32"/>
  <c r="E65" i="32"/>
  <c r="D65" i="32"/>
  <c r="C65" i="32"/>
  <c r="B65" i="32"/>
  <c r="J64" i="32"/>
  <c r="I64" i="32"/>
  <c r="H64" i="32"/>
  <c r="G64" i="32"/>
  <c r="F64" i="32"/>
  <c r="E64" i="32"/>
  <c r="D64" i="32"/>
  <c r="C64" i="32"/>
  <c r="B64" i="32"/>
  <c r="J63" i="32"/>
  <c r="I63" i="32"/>
  <c r="H63" i="32"/>
  <c r="G63" i="32"/>
  <c r="F63" i="32"/>
  <c r="E63" i="32"/>
  <c r="D63" i="32"/>
  <c r="C63" i="32"/>
  <c r="B63" i="32"/>
  <c r="J62" i="32"/>
  <c r="I62" i="32"/>
  <c r="H62" i="32"/>
  <c r="G62" i="32"/>
  <c r="F62" i="32"/>
  <c r="E62" i="32"/>
  <c r="D62" i="32"/>
  <c r="C62" i="32"/>
  <c r="B62" i="32"/>
  <c r="J61" i="32"/>
  <c r="I61" i="32"/>
  <c r="H61" i="32"/>
  <c r="G61" i="32"/>
  <c r="F61" i="32"/>
  <c r="E61" i="32"/>
  <c r="D61" i="32"/>
  <c r="C61" i="32"/>
  <c r="B61" i="32"/>
  <c r="J60" i="32"/>
  <c r="I60" i="32"/>
  <c r="H60" i="32"/>
  <c r="G60" i="32"/>
  <c r="F60" i="32"/>
  <c r="E60" i="32"/>
  <c r="D60" i="32"/>
  <c r="C60" i="32"/>
  <c r="B60" i="32"/>
  <c r="J59" i="32"/>
  <c r="I59" i="32"/>
  <c r="H59" i="32"/>
  <c r="G59" i="32"/>
  <c r="F59" i="32"/>
  <c r="E59" i="32"/>
  <c r="D59" i="32"/>
  <c r="C59" i="32"/>
  <c r="B59" i="32"/>
  <c r="J58" i="32"/>
  <c r="I58" i="32"/>
  <c r="H58" i="32"/>
  <c r="G58" i="32"/>
  <c r="F58" i="32"/>
  <c r="E58" i="32"/>
  <c r="D58" i="32"/>
  <c r="C58" i="32"/>
  <c r="B58" i="32"/>
  <c r="J57" i="32"/>
  <c r="I57" i="32"/>
  <c r="H57" i="32"/>
  <c r="G57" i="32"/>
  <c r="F57" i="32"/>
  <c r="E57" i="32"/>
  <c r="D57" i="32"/>
  <c r="C57" i="32"/>
  <c r="B57" i="32"/>
  <c r="J56" i="32"/>
  <c r="I56" i="32"/>
  <c r="H56" i="32"/>
  <c r="G56" i="32"/>
  <c r="F56" i="32"/>
  <c r="E56" i="32"/>
  <c r="D56" i="32"/>
  <c r="C56" i="32"/>
  <c r="B56" i="32"/>
  <c r="J55" i="32"/>
  <c r="I55" i="32"/>
  <c r="H55" i="32"/>
  <c r="G55" i="32"/>
  <c r="F55" i="32"/>
  <c r="E55" i="32"/>
  <c r="D55" i="32"/>
  <c r="C55" i="32"/>
  <c r="B55" i="32"/>
  <c r="J54" i="32"/>
  <c r="I54" i="32"/>
  <c r="H54" i="32"/>
  <c r="G54" i="32"/>
  <c r="F54" i="32"/>
  <c r="E54" i="32"/>
  <c r="D54" i="32"/>
  <c r="C54" i="32"/>
  <c r="B54" i="32"/>
  <c r="J53" i="32"/>
  <c r="I53" i="32"/>
  <c r="H53" i="32"/>
  <c r="G53" i="32"/>
  <c r="F53" i="32"/>
  <c r="E53" i="32"/>
  <c r="D53" i="32"/>
  <c r="C53" i="32"/>
  <c r="B53" i="32"/>
  <c r="J52" i="32"/>
  <c r="I52" i="32"/>
  <c r="H52" i="32"/>
  <c r="G52" i="32"/>
  <c r="F52" i="32"/>
  <c r="E52" i="32"/>
  <c r="D52" i="32"/>
  <c r="C52" i="32"/>
  <c r="B52" i="32"/>
  <c r="A49" i="32"/>
  <c r="J34" i="32"/>
  <c r="I34" i="32"/>
  <c r="H34" i="32"/>
  <c r="G34" i="32"/>
  <c r="F34" i="32"/>
  <c r="E34" i="32"/>
  <c r="D34" i="32"/>
  <c r="C34" i="32"/>
  <c r="B34" i="32"/>
  <c r="J33" i="32"/>
  <c r="I33" i="32"/>
  <c r="H33" i="32"/>
  <c r="G33" i="32"/>
  <c r="F33" i="32"/>
  <c r="E33" i="32"/>
  <c r="D33" i="32"/>
  <c r="C33" i="32"/>
  <c r="B33" i="32"/>
  <c r="J32" i="32"/>
  <c r="I32" i="32"/>
  <c r="H32" i="32"/>
  <c r="G32" i="32"/>
  <c r="F32" i="32"/>
  <c r="E32" i="32"/>
  <c r="D32" i="32"/>
  <c r="C32" i="32"/>
  <c r="B32" i="32"/>
  <c r="J31" i="32"/>
  <c r="I31" i="32"/>
  <c r="H31" i="32"/>
  <c r="G31" i="32"/>
  <c r="F31" i="32"/>
  <c r="E31" i="32"/>
  <c r="D31" i="32"/>
  <c r="C31" i="32"/>
  <c r="B31" i="32"/>
  <c r="J30" i="32"/>
  <c r="I30" i="32"/>
  <c r="H30" i="32"/>
  <c r="G30" i="32"/>
  <c r="F30" i="32"/>
  <c r="E30" i="32"/>
  <c r="D30" i="32"/>
  <c r="C30" i="32"/>
  <c r="B30" i="32"/>
  <c r="J29" i="32"/>
  <c r="I29" i="32"/>
  <c r="H29" i="32"/>
  <c r="G29" i="32"/>
  <c r="F29" i="32"/>
  <c r="E29" i="32"/>
  <c r="D29" i="32"/>
  <c r="C29" i="32"/>
  <c r="B29" i="32"/>
  <c r="J28" i="32"/>
  <c r="I28" i="32"/>
  <c r="H28" i="32"/>
  <c r="G28" i="32"/>
  <c r="F28" i="32"/>
  <c r="E28" i="32"/>
  <c r="D28" i="32"/>
  <c r="C28" i="32"/>
  <c r="B28" i="32"/>
  <c r="J27" i="32"/>
  <c r="I27" i="32"/>
  <c r="H27" i="32"/>
  <c r="G27" i="32"/>
  <c r="F27" i="32"/>
  <c r="E27" i="32"/>
  <c r="D27" i="32"/>
  <c r="C27" i="32"/>
  <c r="B27" i="32"/>
  <c r="J26" i="32"/>
  <c r="I26" i="32"/>
  <c r="H26" i="32"/>
  <c r="G26" i="32"/>
  <c r="F26" i="32"/>
  <c r="E26" i="32"/>
  <c r="D26" i="32"/>
  <c r="C26" i="32"/>
  <c r="B26" i="32"/>
  <c r="J25" i="32"/>
  <c r="I25" i="32"/>
  <c r="H25" i="32"/>
  <c r="G25" i="32"/>
  <c r="F25" i="32"/>
  <c r="E25" i="32"/>
  <c r="D25" i="32"/>
  <c r="C25" i="32"/>
  <c r="B25" i="32"/>
  <c r="J24" i="32"/>
  <c r="I24" i="32"/>
  <c r="H24" i="32"/>
  <c r="G24" i="32"/>
  <c r="F24" i="32"/>
  <c r="E24" i="32"/>
  <c r="D24" i="32"/>
  <c r="C24" i="32"/>
  <c r="B24" i="32"/>
  <c r="J23" i="32"/>
  <c r="I23" i="32"/>
  <c r="H23" i="32"/>
  <c r="G23" i="32"/>
  <c r="F23" i="32"/>
  <c r="E23" i="32"/>
  <c r="D23" i="32"/>
  <c r="C23" i="32"/>
  <c r="B23" i="32"/>
  <c r="J22" i="32"/>
  <c r="I22" i="32"/>
  <c r="H22" i="32"/>
  <c r="G22" i="32"/>
  <c r="F22" i="32"/>
  <c r="E22" i="32"/>
  <c r="D22" i="32"/>
  <c r="C22" i="32"/>
  <c r="B22" i="32"/>
  <c r="J21" i="32"/>
  <c r="I21" i="32"/>
  <c r="H21" i="32"/>
  <c r="G21" i="32"/>
  <c r="F21" i="32"/>
  <c r="E21" i="32"/>
  <c r="D21" i="32"/>
  <c r="C21" i="32"/>
  <c r="B21" i="32"/>
  <c r="J20" i="32"/>
  <c r="I20" i="32"/>
  <c r="H20" i="32"/>
  <c r="G20" i="32"/>
  <c r="F20" i="32"/>
  <c r="E20" i="32"/>
  <c r="D20" i="32"/>
  <c r="C20" i="32"/>
  <c r="B20" i="32"/>
  <c r="J19" i="32"/>
  <c r="I19" i="32"/>
  <c r="H19" i="32"/>
  <c r="G19" i="32"/>
  <c r="F19" i="32"/>
  <c r="E19" i="32"/>
  <c r="D19" i="32"/>
  <c r="C19" i="32"/>
  <c r="B19" i="32"/>
  <c r="J18" i="32"/>
  <c r="I18" i="32"/>
  <c r="H18" i="32"/>
  <c r="G18" i="32"/>
  <c r="F18" i="32"/>
  <c r="E18" i="32"/>
  <c r="D18" i="32"/>
  <c r="C18" i="32"/>
  <c r="B18" i="32"/>
  <c r="J17" i="32"/>
  <c r="I17" i="32"/>
  <c r="H17" i="32"/>
  <c r="G17" i="32"/>
  <c r="F17" i="32"/>
  <c r="E17" i="32"/>
  <c r="D17" i="32"/>
  <c r="C17" i="32"/>
  <c r="B17" i="32"/>
  <c r="J16" i="32"/>
  <c r="I16" i="32"/>
  <c r="H16" i="32"/>
  <c r="G16" i="32"/>
  <c r="F16" i="32"/>
  <c r="E16" i="32"/>
  <c r="D16" i="32"/>
  <c r="C16" i="32"/>
  <c r="B16" i="32"/>
  <c r="J15" i="32"/>
  <c r="I15" i="32"/>
  <c r="H15" i="32"/>
  <c r="G15" i="32"/>
  <c r="F15" i="32"/>
  <c r="E15" i="32"/>
  <c r="D15" i="32"/>
  <c r="C15" i="32"/>
  <c r="B15" i="32"/>
  <c r="J14" i="32"/>
  <c r="I14" i="32"/>
  <c r="H14" i="32"/>
  <c r="G14" i="32"/>
  <c r="F14" i="32"/>
  <c r="E14" i="32"/>
  <c r="D14" i="32"/>
  <c r="C14" i="32"/>
  <c r="B14" i="32"/>
  <c r="J13" i="32"/>
  <c r="I13" i="32"/>
  <c r="H13" i="32"/>
  <c r="G13" i="32"/>
  <c r="F13" i="32"/>
  <c r="E13" i="32"/>
  <c r="D13" i="32"/>
  <c r="C13" i="32"/>
  <c r="B13" i="32"/>
  <c r="J12" i="32"/>
  <c r="I12" i="32"/>
  <c r="H12" i="32"/>
  <c r="G12" i="32"/>
  <c r="F12" i="32"/>
  <c r="E12" i="32"/>
  <c r="D12" i="32"/>
  <c r="C12" i="32"/>
  <c r="B12" i="32"/>
  <c r="J11" i="32"/>
  <c r="I11" i="32"/>
  <c r="H11" i="32"/>
  <c r="G11" i="32"/>
  <c r="F11" i="32"/>
  <c r="E11" i="32"/>
  <c r="D11" i="32"/>
  <c r="C11" i="32"/>
  <c r="B11" i="32"/>
  <c r="J10" i="32"/>
  <c r="I10" i="32"/>
  <c r="H10" i="32"/>
  <c r="G10" i="32"/>
  <c r="F10" i="32"/>
  <c r="E10" i="32"/>
  <c r="D10" i="32"/>
  <c r="C10" i="32"/>
  <c r="B10" i="32"/>
  <c r="J9" i="32"/>
  <c r="I9" i="32"/>
  <c r="H9" i="32"/>
  <c r="G9" i="32"/>
  <c r="F9" i="32"/>
  <c r="E9" i="32"/>
  <c r="D9" i="32"/>
  <c r="C9" i="32"/>
  <c r="B9" i="32"/>
  <c r="J8" i="32"/>
  <c r="I8" i="32"/>
  <c r="H8" i="32"/>
  <c r="G8" i="32"/>
  <c r="F8" i="32"/>
  <c r="E8" i="32"/>
  <c r="D8" i="32"/>
  <c r="C8" i="32"/>
  <c r="B8" i="32"/>
  <c r="J7" i="32"/>
  <c r="I7" i="32"/>
  <c r="H7" i="32"/>
  <c r="G7" i="32"/>
  <c r="F7" i="32"/>
  <c r="E7" i="32"/>
  <c r="D7" i="32"/>
  <c r="C7" i="32"/>
  <c r="B7" i="32"/>
  <c r="J6" i="32"/>
  <c r="I6" i="32"/>
  <c r="H6" i="32"/>
  <c r="G6" i="32"/>
  <c r="F6" i="32"/>
  <c r="E6" i="32"/>
  <c r="D6" i="32"/>
  <c r="C6" i="32"/>
  <c r="B6" i="32"/>
  <c r="J5" i="32"/>
  <c r="I5" i="32"/>
  <c r="H5" i="32"/>
  <c r="G5" i="32"/>
  <c r="F5" i="32"/>
  <c r="E5" i="32"/>
  <c r="D5" i="32"/>
  <c r="C5" i="32"/>
  <c r="B5" i="32"/>
  <c r="A2" i="32"/>
  <c r="C3" i="7"/>
  <c r="E331" i="33"/>
  <c r="D331" i="33"/>
  <c r="B331" i="33"/>
  <c r="A322" i="33"/>
  <c r="E316" i="33"/>
  <c r="D316" i="33"/>
  <c r="C316" i="33"/>
  <c r="B316" i="33"/>
  <c r="E315" i="33"/>
  <c r="D315" i="33"/>
  <c r="C315" i="33"/>
  <c r="B315" i="33"/>
  <c r="E314" i="33"/>
  <c r="D314" i="33"/>
  <c r="C314" i="33"/>
  <c r="B314" i="33"/>
  <c r="C313" i="33"/>
  <c r="A305" i="33"/>
  <c r="E287" i="33"/>
  <c r="D287" i="33"/>
  <c r="B287" i="33"/>
  <c r="A278" i="33"/>
  <c r="E272" i="33"/>
  <c r="D272" i="33"/>
  <c r="C272" i="33"/>
  <c r="B272" i="33"/>
  <c r="E271" i="33"/>
  <c r="D271" i="33"/>
  <c r="C271" i="33"/>
  <c r="B271" i="33"/>
  <c r="E270" i="33"/>
  <c r="D270" i="33"/>
  <c r="C270" i="33"/>
  <c r="B270" i="33"/>
  <c r="C269" i="33"/>
  <c r="A261" i="33"/>
  <c r="E243" i="33"/>
  <c r="D243" i="33"/>
  <c r="B243" i="33"/>
  <c r="A234" i="33"/>
  <c r="E228" i="33"/>
  <c r="D228" i="33"/>
  <c r="C228" i="33"/>
  <c r="B228" i="33"/>
  <c r="E227" i="33"/>
  <c r="D227" i="33"/>
  <c r="C227" i="33"/>
  <c r="B227" i="33"/>
  <c r="E226" i="33"/>
  <c r="D226" i="33"/>
  <c r="C226" i="33"/>
  <c r="B226" i="33"/>
  <c r="C225" i="33"/>
  <c r="A217" i="33"/>
  <c r="E199" i="33"/>
  <c r="D199" i="33"/>
  <c r="B199" i="33"/>
  <c r="A190" i="33"/>
  <c r="E184" i="33"/>
  <c r="D184" i="33"/>
  <c r="C184" i="33"/>
  <c r="B184" i="33"/>
  <c r="E183" i="33"/>
  <c r="D183" i="33"/>
  <c r="C183" i="33"/>
  <c r="B183" i="33"/>
  <c r="E182" i="33"/>
  <c r="D182" i="33"/>
  <c r="C182" i="33"/>
  <c r="B182" i="33"/>
  <c r="C181" i="33"/>
  <c r="E156" i="33"/>
  <c r="D156" i="33"/>
  <c r="B156" i="33"/>
  <c r="A147" i="33"/>
  <c r="E141" i="33"/>
  <c r="D141" i="33"/>
  <c r="C141" i="33"/>
  <c r="B141" i="33"/>
  <c r="E140" i="33"/>
  <c r="D140" i="33"/>
  <c r="C140" i="33"/>
  <c r="B140" i="33"/>
  <c r="E139" i="33"/>
  <c r="D139" i="33"/>
  <c r="C139" i="33"/>
  <c r="B139" i="33"/>
  <c r="C138" i="33"/>
  <c r="A130" i="33"/>
  <c r="E112" i="33"/>
  <c r="D112" i="33"/>
  <c r="B112" i="33"/>
  <c r="A103" i="33"/>
  <c r="E97" i="33"/>
  <c r="D97" i="33"/>
  <c r="C97" i="33"/>
  <c r="B97" i="33"/>
  <c r="E96" i="33"/>
  <c r="D96" i="33"/>
  <c r="C96" i="33"/>
  <c r="B96" i="33"/>
  <c r="E95" i="33"/>
  <c r="D95" i="33"/>
  <c r="C95" i="33"/>
  <c r="B95" i="33"/>
  <c r="C94" i="33"/>
  <c r="A86" i="33"/>
  <c r="E70" i="33"/>
  <c r="D70" i="33"/>
  <c r="B70" i="33"/>
  <c r="A61" i="33"/>
  <c r="E55" i="33"/>
  <c r="D55" i="33"/>
  <c r="B55" i="33"/>
  <c r="E54" i="33"/>
  <c r="D54" i="33"/>
  <c r="B54" i="33"/>
  <c r="E53" i="33"/>
  <c r="D53" i="33"/>
  <c r="C53" i="33"/>
  <c r="B53" i="33"/>
  <c r="C52" i="33"/>
  <c r="A44" i="33"/>
  <c r="E27" i="33"/>
  <c r="D27" i="33"/>
  <c r="B27" i="33"/>
  <c r="A18" i="33"/>
  <c r="E12" i="33"/>
  <c r="D12" i="33"/>
  <c r="B12" i="33"/>
  <c r="E11" i="33"/>
  <c r="D11" i="33"/>
  <c r="B11" i="33"/>
  <c r="E10" i="33"/>
  <c r="D10" i="33"/>
  <c r="B10" i="33"/>
  <c r="A1" i="33"/>
  <c r="J3" i="7"/>
  <c r="I3" i="7"/>
  <c r="H3" i="7"/>
  <c r="G3" i="7"/>
  <c r="F3" i="7"/>
  <c r="E3" i="7"/>
  <c r="D3" i="7"/>
  <c r="J363" i="31"/>
  <c r="I363" i="31"/>
  <c r="H363" i="31"/>
  <c r="G363" i="31"/>
  <c r="F363" i="31"/>
  <c r="E363" i="31"/>
  <c r="D363" i="31"/>
  <c r="C363" i="31"/>
  <c r="B363" i="31"/>
  <c r="J362" i="31"/>
  <c r="I362" i="31"/>
  <c r="H362" i="31"/>
  <c r="G362" i="31"/>
  <c r="F362" i="31"/>
  <c r="E362" i="31"/>
  <c r="D362" i="31"/>
  <c r="C362" i="31"/>
  <c r="B362" i="31"/>
  <c r="J361" i="31"/>
  <c r="I361" i="31"/>
  <c r="H361" i="31"/>
  <c r="G361" i="31"/>
  <c r="F361" i="31"/>
  <c r="E361" i="31"/>
  <c r="D361" i="31"/>
  <c r="C361" i="31"/>
  <c r="B361" i="31"/>
  <c r="J360" i="31"/>
  <c r="I360" i="31"/>
  <c r="H360" i="31"/>
  <c r="G360" i="31"/>
  <c r="F360" i="31"/>
  <c r="E360" i="31"/>
  <c r="D360" i="31"/>
  <c r="C360" i="31"/>
  <c r="B360" i="31"/>
  <c r="J359" i="31"/>
  <c r="I359" i="31"/>
  <c r="H359" i="31"/>
  <c r="G359" i="31"/>
  <c r="F359" i="31"/>
  <c r="E359" i="31"/>
  <c r="D359" i="31"/>
  <c r="C359" i="31"/>
  <c r="B359" i="31"/>
  <c r="J358" i="31"/>
  <c r="I358" i="31"/>
  <c r="H358" i="31"/>
  <c r="G358" i="31"/>
  <c r="F358" i="31"/>
  <c r="E358" i="31"/>
  <c r="D358" i="31"/>
  <c r="C358" i="31"/>
  <c r="B358" i="31"/>
  <c r="J357" i="31"/>
  <c r="I357" i="31"/>
  <c r="H357" i="31"/>
  <c r="G357" i="31"/>
  <c r="F357" i="31"/>
  <c r="E357" i="31"/>
  <c r="D357" i="31"/>
  <c r="C357" i="31"/>
  <c r="B357" i="31"/>
  <c r="J356" i="31"/>
  <c r="I356" i="31"/>
  <c r="H356" i="31"/>
  <c r="G356" i="31"/>
  <c r="F356" i="31"/>
  <c r="E356" i="31"/>
  <c r="D356" i="31"/>
  <c r="C356" i="31"/>
  <c r="B356" i="31"/>
  <c r="J355" i="31"/>
  <c r="I355" i="31"/>
  <c r="H355" i="31"/>
  <c r="G355" i="31"/>
  <c r="F355" i="31"/>
  <c r="E355" i="31"/>
  <c r="D355" i="31"/>
  <c r="C355" i="31"/>
  <c r="B355" i="31"/>
  <c r="J354" i="31"/>
  <c r="I354" i="31"/>
  <c r="H354" i="31"/>
  <c r="G354" i="31"/>
  <c r="F354" i="31"/>
  <c r="E354" i="31"/>
  <c r="D354" i="31"/>
  <c r="C354" i="31"/>
  <c r="B354" i="31"/>
  <c r="J353" i="31"/>
  <c r="I353" i="31"/>
  <c r="H353" i="31"/>
  <c r="G353" i="31"/>
  <c r="F353" i="31"/>
  <c r="E353" i="31"/>
  <c r="D353" i="31"/>
  <c r="C353" i="31"/>
  <c r="B353" i="31"/>
  <c r="J352" i="31"/>
  <c r="I352" i="31"/>
  <c r="H352" i="31"/>
  <c r="G352" i="31"/>
  <c r="F352" i="31"/>
  <c r="E352" i="31"/>
  <c r="D352" i="31"/>
  <c r="C352" i="31"/>
  <c r="B352" i="31"/>
  <c r="J351" i="31"/>
  <c r="I351" i="31"/>
  <c r="H351" i="31"/>
  <c r="G351" i="31"/>
  <c r="F351" i="31"/>
  <c r="E351" i="31"/>
  <c r="D351" i="31"/>
  <c r="C351" i="31"/>
  <c r="B351" i="31"/>
  <c r="J350" i="31"/>
  <c r="I350" i="31"/>
  <c r="H350" i="31"/>
  <c r="G350" i="31"/>
  <c r="F350" i="31"/>
  <c r="E350" i="31"/>
  <c r="D350" i="31"/>
  <c r="C350" i="31"/>
  <c r="B350" i="31"/>
  <c r="J349" i="31"/>
  <c r="I349" i="31"/>
  <c r="H349" i="31"/>
  <c r="G349" i="31"/>
  <c r="F349" i="31"/>
  <c r="E349" i="31"/>
  <c r="D349" i="31"/>
  <c r="C349" i="31"/>
  <c r="B349" i="31"/>
  <c r="J348" i="31"/>
  <c r="I348" i="31"/>
  <c r="H348" i="31"/>
  <c r="G348" i="31"/>
  <c r="F348" i="31"/>
  <c r="E348" i="31"/>
  <c r="D348" i="31"/>
  <c r="C348" i="31"/>
  <c r="B348" i="31"/>
  <c r="J347" i="31"/>
  <c r="I347" i="31"/>
  <c r="H347" i="31"/>
  <c r="G347" i="31"/>
  <c r="F347" i="31"/>
  <c r="E347" i="31"/>
  <c r="D347" i="31"/>
  <c r="C347" i="31"/>
  <c r="B347" i="31"/>
  <c r="J346" i="31"/>
  <c r="I346" i="31"/>
  <c r="H346" i="31"/>
  <c r="G346" i="31"/>
  <c r="F346" i="31"/>
  <c r="E346" i="31"/>
  <c r="D346" i="31"/>
  <c r="C346" i="31"/>
  <c r="B346" i="31"/>
  <c r="J345" i="31"/>
  <c r="I345" i="31"/>
  <c r="H345" i="31"/>
  <c r="G345" i="31"/>
  <c r="F345" i="31"/>
  <c r="E345" i="31"/>
  <c r="D345" i="31"/>
  <c r="C345" i="31"/>
  <c r="B345" i="31"/>
  <c r="J344" i="31"/>
  <c r="I344" i="31"/>
  <c r="H344" i="31"/>
  <c r="G344" i="31"/>
  <c r="F344" i="31"/>
  <c r="E344" i="31"/>
  <c r="D344" i="31"/>
  <c r="C344" i="31"/>
  <c r="B344" i="31"/>
  <c r="J343" i="31"/>
  <c r="I343" i="31"/>
  <c r="H343" i="31"/>
  <c r="G343" i="31"/>
  <c r="F343" i="31"/>
  <c r="E343" i="31"/>
  <c r="D343" i="31"/>
  <c r="C343" i="31"/>
  <c r="B343" i="31"/>
  <c r="J342" i="31"/>
  <c r="I342" i="31"/>
  <c r="H342" i="31"/>
  <c r="G342" i="31"/>
  <c r="F342" i="31"/>
  <c r="E342" i="31"/>
  <c r="D342" i="31"/>
  <c r="C342" i="31"/>
  <c r="B342" i="31"/>
  <c r="J341" i="31"/>
  <c r="I341" i="31"/>
  <c r="H341" i="31"/>
  <c r="G341" i="31"/>
  <c r="F341" i="31"/>
  <c r="E341" i="31"/>
  <c r="D341" i="31"/>
  <c r="C341" i="31"/>
  <c r="B341" i="31"/>
  <c r="J340" i="31"/>
  <c r="I340" i="31"/>
  <c r="H340" i="31"/>
  <c r="G340" i="31"/>
  <c r="F340" i="31"/>
  <c r="E340" i="31"/>
  <c r="D340" i="31"/>
  <c r="C340" i="31"/>
  <c r="B340" i="31"/>
  <c r="J339" i="31"/>
  <c r="I339" i="31"/>
  <c r="H339" i="31"/>
  <c r="G339" i="31"/>
  <c r="F339" i="31"/>
  <c r="E339" i="31"/>
  <c r="D339" i="31"/>
  <c r="C339" i="31"/>
  <c r="B339" i="31"/>
  <c r="J338" i="31"/>
  <c r="I338" i="31"/>
  <c r="H338" i="31"/>
  <c r="G338" i="31"/>
  <c r="F338" i="31"/>
  <c r="E338" i="31"/>
  <c r="D338" i="31"/>
  <c r="C338" i="31"/>
  <c r="B338" i="31"/>
  <c r="J337" i="31"/>
  <c r="I337" i="31"/>
  <c r="H337" i="31"/>
  <c r="G337" i="31"/>
  <c r="F337" i="31"/>
  <c r="E337" i="31"/>
  <c r="D337" i="31"/>
  <c r="C337" i="31"/>
  <c r="B337" i="31"/>
  <c r="J336" i="31"/>
  <c r="I336" i="31"/>
  <c r="H336" i="31"/>
  <c r="G336" i="31"/>
  <c r="F336" i="31"/>
  <c r="E336" i="31"/>
  <c r="D336" i="31"/>
  <c r="C336" i="31"/>
  <c r="B336" i="31"/>
  <c r="J335" i="31"/>
  <c r="I335" i="31"/>
  <c r="H335" i="31"/>
  <c r="G335" i="31"/>
  <c r="F335" i="31"/>
  <c r="E335" i="31"/>
  <c r="D335" i="31"/>
  <c r="C335" i="31"/>
  <c r="B335" i="31"/>
  <c r="J334" i="31"/>
  <c r="I334" i="31"/>
  <c r="H334" i="31"/>
  <c r="G334" i="31"/>
  <c r="F334" i="31"/>
  <c r="E334" i="31"/>
  <c r="D334" i="31"/>
  <c r="C334" i="31"/>
  <c r="B334" i="31"/>
  <c r="A331" i="31"/>
  <c r="J316" i="31"/>
  <c r="I316" i="31"/>
  <c r="H316" i="31"/>
  <c r="G316" i="31"/>
  <c r="F316" i="31"/>
  <c r="E316" i="31"/>
  <c r="D316" i="31"/>
  <c r="C316" i="31"/>
  <c r="B316" i="31"/>
  <c r="J315" i="31"/>
  <c r="I315" i="31"/>
  <c r="H315" i="31"/>
  <c r="G315" i="31"/>
  <c r="F315" i="31"/>
  <c r="E315" i="31"/>
  <c r="D315" i="31"/>
  <c r="C315" i="31"/>
  <c r="B315" i="31"/>
  <c r="J314" i="31"/>
  <c r="I314" i="31"/>
  <c r="H314" i="31"/>
  <c r="G314" i="31"/>
  <c r="F314" i="31"/>
  <c r="E314" i="31"/>
  <c r="D314" i="31"/>
  <c r="C314" i="31"/>
  <c r="B314" i="31"/>
  <c r="J313" i="31"/>
  <c r="I313" i="31"/>
  <c r="H313" i="31"/>
  <c r="G313" i="31"/>
  <c r="F313" i="31"/>
  <c r="E313" i="31"/>
  <c r="D313" i="31"/>
  <c r="C313" i="31"/>
  <c r="B313" i="31"/>
  <c r="J312" i="31"/>
  <c r="I312" i="31"/>
  <c r="H312" i="31"/>
  <c r="G312" i="31"/>
  <c r="F312" i="31"/>
  <c r="E312" i="31"/>
  <c r="D312" i="31"/>
  <c r="C312" i="31"/>
  <c r="B312" i="31"/>
  <c r="J311" i="31"/>
  <c r="I311" i="31"/>
  <c r="H311" i="31"/>
  <c r="G311" i="31"/>
  <c r="F311" i="31"/>
  <c r="E311" i="31"/>
  <c r="D311" i="31"/>
  <c r="C311" i="31"/>
  <c r="B311" i="31"/>
  <c r="J310" i="31"/>
  <c r="I310" i="31"/>
  <c r="H310" i="31"/>
  <c r="G310" i="31"/>
  <c r="F310" i="31"/>
  <c r="E310" i="31"/>
  <c r="D310" i="31"/>
  <c r="C310" i="31"/>
  <c r="B310" i="31"/>
  <c r="J309" i="31"/>
  <c r="I309" i="31"/>
  <c r="H309" i="31"/>
  <c r="G309" i="31"/>
  <c r="F309" i="31"/>
  <c r="E309" i="31"/>
  <c r="D309" i="31"/>
  <c r="C309" i="31"/>
  <c r="B309" i="31"/>
  <c r="J308" i="31"/>
  <c r="I308" i="31"/>
  <c r="H308" i="31"/>
  <c r="G308" i="31"/>
  <c r="F308" i="31"/>
  <c r="E308" i="31"/>
  <c r="D308" i="31"/>
  <c r="C308" i="31"/>
  <c r="B308" i="31"/>
  <c r="J307" i="31"/>
  <c r="I307" i="31"/>
  <c r="H307" i="31"/>
  <c r="G307" i="31"/>
  <c r="F307" i="31"/>
  <c r="E307" i="31"/>
  <c r="D307" i="31"/>
  <c r="C307" i="31"/>
  <c r="B307" i="31"/>
  <c r="J306" i="31"/>
  <c r="I306" i="31"/>
  <c r="H306" i="31"/>
  <c r="G306" i="31"/>
  <c r="F306" i="31"/>
  <c r="E306" i="31"/>
  <c r="D306" i="31"/>
  <c r="C306" i="31"/>
  <c r="B306" i="31"/>
  <c r="J305" i="31"/>
  <c r="I305" i="31"/>
  <c r="H305" i="31"/>
  <c r="G305" i="31"/>
  <c r="F305" i="31"/>
  <c r="E305" i="31"/>
  <c r="D305" i="31"/>
  <c r="C305" i="31"/>
  <c r="B305" i="31"/>
  <c r="J304" i="31"/>
  <c r="I304" i="31"/>
  <c r="H304" i="31"/>
  <c r="G304" i="31"/>
  <c r="F304" i="31"/>
  <c r="E304" i="31"/>
  <c r="D304" i="31"/>
  <c r="C304" i="31"/>
  <c r="B304" i="31"/>
  <c r="J303" i="31"/>
  <c r="I303" i="31"/>
  <c r="H303" i="31"/>
  <c r="G303" i="31"/>
  <c r="F303" i="31"/>
  <c r="E303" i="31"/>
  <c r="D303" i="31"/>
  <c r="C303" i="31"/>
  <c r="B303" i="31"/>
  <c r="J302" i="31"/>
  <c r="I302" i="31"/>
  <c r="H302" i="31"/>
  <c r="G302" i="31"/>
  <c r="F302" i="31"/>
  <c r="E302" i="31"/>
  <c r="D302" i="31"/>
  <c r="C302" i="31"/>
  <c r="B302" i="31"/>
  <c r="J301" i="31"/>
  <c r="I301" i="31"/>
  <c r="H301" i="31"/>
  <c r="G301" i="31"/>
  <c r="F301" i="31"/>
  <c r="E301" i="31"/>
  <c r="D301" i="31"/>
  <c r="C301" i="31"/>
  <c r="B301" i="31"/>
  <c r="J300" i="31"/>
  <c r="I300" i="31"/>
  <c r="H300" i="31"/>
  <c r="G300" i="31"/>
  <c r="F300" i="31"/>
  <c r="E300" i="31"/>
  <c r="D300" i="31"/>
  <c r="C300" i="31"/>
  <c r="B300" i="31"/>
  <c r="J299" i="31"/>
  <c r="I299" i="31"/>
  <c r="H299" i="31"/>
  <c r="G299" i="31"/>
  <c r="F299" i="31"/>
  <c r="E299" i="31"/>
  <c r="D299" i="31"/>
  <c r="C299" i="31"/>
  <c r="B299" i="31"/>
  <c r="J298" i="31"/>
  <c r="I298" i="31"/>
  <c r="H298" i="31"/>
  <c r="G298" i="31"/>
  <c r="F298" i="31"/>
  <c r="E298" i="31"/>
  <c r="D298" i="31"/>
  <c r="C298" i="31"/>
  <c r="B298" i="31"/>
  <c r="J297" i="31"/>
  <c r="I297" i="31"/>
  <c r="H297" i="31"/>
  <c r="G297" i="31"/>
  <c r="F297" i="31"/>
  <c r="E297" i="31"/>
  <c r="D297" i="31"/>
  <c r="C297" i="31"/>
  <c r="B297" i="31"/>
  <c r="J296" i="31"/>
  <c r="I296" i="31"/>
  <c r="H296" i="31"/>
  <c r="G296" i="31"/>
  <c r="F296" i="31"/>
  <c r="E296" i="31"/>
  <c r="D296" i="31"/>
  <c r="C296" i="31"/>
  <c r="B296" i="31"/>
  <c r="J295" i="31"/>
  <c r="I295" i="31"/>
  <c r="H295" i="31"/>
  <c r="G295" i="31"/>
  <c r="F295" i="31"/>
  <c r="E295" i="31"/>
  <c r="D295" i="31"/>
  <c r="C295" i="31"/>
  <c r="B295" i="31"/>
  <c r="J294" i="31"/>
  <c r="I294" i="31"/>
  <c r="H294" i="31"/>
  <c r="G294" i="31"/>
  <c r="F294" i="31"/>
  <c r="E294" i="31"/>
  <c r="D294" i="31"/>
  <c r="C294" i="31"/>
  <c r="B294" i="31"/>
  <c r="J293" i="31"/>
  <c r="I293" i="31"/>
  <c r="H293" i="31"/>
  <c r="G293" i="31"/>
  <c r="F293" i="31"/>
  <c r="E293" i="31"/>
  <c r="D293" i="31"/>
  <c r="C293" i="31"/>
  <c r="B293" i="31"/>
  <c r="J292" i="31"/>
  <c r="I292" i="31"/>
  <c r="H292" i="31"/>
  <c r="G292" i="31"/>
  <c r="F292" i="31"/>
  <c r="E292" i="31"/>
  <c r="D292" i="31"/>
  <c r="C292" i="31"/>
  <c r="B292" i="31"/>
  <c r="J291" i="31"/>
  <c r="I291" i="31"/>
  <c r="H291" i="31"/>
  <c r="G291" i="31"/>
  <c r="F291" i="31"/>
  <c r="E291" i="31"/>
  <c r="D291" i="31"/>
  <c r="C291" i="31"/>
  <c r="B291" i="31"/>
  <c r="J290" i="31"/>
  <c r="I290" i="31"/>
  <c r="H290" i="31"/>
  <c r="G290" i="31"/>
  <c r="F290" i="31"/>
  <c r="E290" i="31"/>
  <c r="D290" i="31"/>
  <c r="C290" i="31"/>
  <c r="B290" i="31"/>
  <c r="J289" i="31"/>
  <c r="I289" i="31"/>
  <c r="H289" i="31"/>
  <c r="G289" i="31"/>
  <c r="F289" i="31"/>
  <c r="E289" i="31"/>
  <c r="D289" i="31"/>
  <c r="C289" i="31"/>
  <c r="B289" i="31"/>
  <c r="J288" i="31"/>
  <c r="I288" i="31"/>
  <c r="H288" i="31"/>
  <c r="G288" i="31"/>
  <c r="F288" i="31"/>
  <c r="E288" i="31"/>
  <c r="D288" i="31"/>
  <c r="C288" i="31"/>
  <c r="B288" i="31"/>
  <c r="J287" i="31"/>
  <c r="I287" i="31"/>
  <c r="H287" i="31"/>
  <c r="G287" i="31"/>
  <c r="F287" i="31"/>
  <c r="E287" i="31"/>
  <c r="D287" i="31"/>
  <c r="C287" i="31"/>
  <c r="B287" i="31"/>
  <c r="A284" i="31"/>
  <c r="J269" i="31"/>
  <c r="I269" i="31"/>
  <c r="H269" i="31"/>
  <c r="G269" i="31"/>
  <c r="F269" i="31"/>
  <c r="E269" i="31"/>
  <c r="D269" i="31"/>
  <c r="C269" i="31"/>
  <c r="B269" i="31"/>
  <c r="J268" i="31"/>
  <c r="I268" i="31"/>
  <c r="H268" i="31"/>
  <c r="G268" i="31"/>
  <c r="F268" i="31"/>
  <c r="E268" i="31"/>
  <c r="D268" i="31"/>
  <c r="C268" i="31"/>
  <c r="B268" i="31"/>
  <c r="J267" i="31"/>
  <c r="I267" i="31"/>
  <c r="H267" i="31"/>
  <c r="G267" i="31"/>
  <c r="F267" i="31"/>
  <c r="E267" i="31"/>
  <c r="D267" i="31"/>
  <c r="C267" i="31"/>
  <c r="B267" i="31"/>
  <c r="J266" i="31"/>
  <c r="I266" i="31"/>
  <c r="H266" i="31"/>
  <c r="G266" i="31"/>
  <c r="F266" i="31"/>
  <c r="E266" i="31"/>
  <c r="D266" i="31"/>
  <c r="C266" i="31"/>
  <c r="B266" i="31"/>
  <c r="J265" i="31"/>
  <c r="I265" i="31"/>
  <c r="H265" i="31"/>
  <c r="G265" i="31"/>
  <c r="F265" i="31"/>
  <c r="E265" i="31"/>
  <c r="D265" i="31"/>
  <c r="C265" i="31"/>
  <c r="B265" i="31"/>
  <c r="J264" i="31"/>
  <c r="I264" i="31"/>
  <c r="H264" i="31"/>
  <c r="G264" i="31"/>
  <c r="F264" i="31"/>
  <c r="E264" i="31"/>
  <c r="D264" i="31"/>
  <c r="C264" i="31"/>
  <c r="B264" i="31"/>
  <c r="J263" i="31"/>
  <c r="I263" i="31"/>
  <c r="H263" i="31"/>
  <c r="G263" i="31"/>
  <c r="F263" i="31"/>
  <c r="E263" i="31"/>
  <c r="D263" i="31"/>
  <c r="C263" i="31"/>
  <c r="B263" i="31"/>
  <c r="J262" i="31"/>
  <c r="I262" i="31"/>
  <c r="H262" i="31"/>
  <c r="G262" i="31"/>
  <c r="F262" i="31"/>
  <c r="E262" i="31"/>
  <c r="D262" i="31"/>
  <c r="C262" i="31"/>
  <c r="B262" i="31"/>
  <c r="J261" i="31"/>
  <c r="I261" i="31"/>
  <c r="H261" i="31"/>
  <c r="G261" i="31"/>
  <c r="F261" i="31"/>
  <c r="E261" i="31"/>
  <c r="D261" i="31"/>
  <c r="C261" i="31"/>
  <c r="B261" i="31"/>
  <c r="J260" i="31"/>
  <c r="I260" i="31"/>
  <c r="H260" i="31"/>
  <c r="G260" i="31"/>
  <c r="F260" i="31"/>
  <c r="E260" i="31"/>
  <c r="D260" i="31"/>
  <c r="C260" i="31"/>
  <c r="B260" i="31"/>
  <c r="J259" i="31"/>
  <c r="I259" i="31"/>
  <c r="H259" i="31"/>
  <c r="G259" i="31"/>
  <c r="F259" i="31"/>
  <c r="E259" i="31"/>
  <c r="D259" i="31"/>
  <c r="C259" i="31"/>
  <c r="B259" i="31"/>
  <c r="J258" i="31"/>
  <c r="I258" i="31"/>
  <c r="H258" i="31"/>
  <c r="G258" i="31"/>
  <c r="F258" i="31"/>
  <c r="E258" i="31"/>
  <c r="D258" i="31"/>
  <c r="C258" i="31"/>
  <c r="B258" i="31"/>
  <c r="J257" i="31"/>
  <c r="I257" i="31"/>
  <c r="H257" i="31"/>
  <c r="G257" i="31"/>
  <c r="F257" i="31"/>
  <c r="E257" i="31"/>
  <c r="D257" i="31"/>
  <c r="C257" i="31"/>
  <c r="B257" i="31"/>
  <c r="J256" i="31"/>
  <c r="I256" i="31"/>
  <c r="H256" i="31"/>
  <c r="G256" i="31"/>
  <c r="F256" i="31"/>
  <c r="E256" i="31"/>
  <c r="D256" i="31"/>
  <c r="C256" i="31"/>
  <c r="B256" i="31"/>
  <c r="J255" i="31"/>
  <c r="I255" i="31"/>
  <c r="H255" i="31"/>
  <c r="G255" i="31"/>
  <c r="F255" i="31"/>
  <c r="E255" i="31"/>
  <c r="D255" i="31"/>
  <c r="C255" i="31"/>
  <c r="B255" i="31"/>
  <c r="J254" i="31"/>
  <c r="I254" i="31"/>
  <c r="H254" i="31"/>
  <c r="G254" i="31"/>
  <c r="F254" i="31"/>
  <c r="E254" i="31"/>
  <c r="D254" i="31"/>
  <c r="C254" i="31"/>
  <c r="B254" i="31"/>
  <c r="J253" i="31"/>
  <c r="I253" i="31"/>
  <c r="H253" i="31"/>
  <c r="G253" i="31"/>
  <c r="F253" i="31"/>
  <c r="E253" i="31"/>
  <c r="D253" i="31"/>
  <c r="C253" i="31"/>
  <c r="B253" i="31"/>
  <c r="J252" i="31"/>
  <c r="I252" i="31"/>
  <c r="H252" i="31"/>
  <c r="G252" i="31"/>
  <c r="F252" i="31"/>
  <c r="E252" i="31"/>
  <c r="D252" i="31"/>
  <c r="C252" i="31"/>
  <c r="B252" i="31"/>
  <c r="J251" i="31"/>
  <c r="I251" i="31"/>
  <c r="H251" i="31"/>
  <c r="G251" i="31"/>
  <c r="F251" i="31"/>
  <c r="E251" i="31"/>
  <c r="D251" i="31"/>
  <c r="C251" i="31"/>
  <c r="B251" i="31"/>
  <c r="J250" i="31"/>
  <c r="I250" i="31"/>
  <c r="H250" i="31"/>
  <c r="G250" i="31"/>
  <c r="F250" i="31"/>
  <c r="E250" i="31"/>
  <c r="D250" i="31"/>
  <c r="C250" i="31"/>
  <c r="B250" i="31"/>
  <c r="J249" i="31"/>
  <c r="I249" i="31"/>
  <c r="H249" i="31"/>
  <c r="G249" i="31"/>
  <c r="F249" i="31"/>
  <c r="E249" i="31"/>
  <c r="D249" i="31"/>
  <c r="C249" i="31"/>
  <c r="B249" i="31"/>
  <c r="J248" i="31"/>
  <c r="I248" i="31"/>
  <c r="H248" i="31"/>
  <c r="G248" i="31"/>
  <c r="F248" i="31"/>
  <c r="E248" i="31"/>
  <c r="D248" i="31"/>
  <c r="C248" i="31"/>
  <c r="B248" i="31"/>
  <c r="J247" i="31"/>
  <c r="I247" i="31"/>
  <c r="H247" i="31"/>
  <c r="G247" i="31"/>
  <c r="F247" i="31"/>
  <c r="E247" i="31"/>
  <c r="D247" i="31"/>
  <c r="C247" i="31"/>
  <c r="B247" i="31"/>
  <c r="J246" i="31"/>
  <c r="I246" i="31"/>
  <c r="H246" i="31"/>
  <c r="G246" i="31"/>
  <c r="F246" i="31"/>
  <c r="E246" i="31"/>
  <c r="D246" i="31"/>
  <c r="C246" i="31"/>
  <c r="B246" i="31"/>
  <c r="J245" i="31"/>
  <c r="I245" i="31"/>
  <c r="H245" i="31"/>
  <c r="G245" i="31"/>
  <c r="F245" i="31"/>
  <c r="E245" i="31"/>
  <c r="D245" i="31"/>
  <c r="C245" i="31"/>
  <c r="B245" i="31"/>
  <c r="J244" i="31"/>
  <c r="I244" i="31"/>
  <c r="H244" i="31"/>
  <c r="G244" i="31"/>
  <c r="F244" i="31"/>
  <c r="E244" i="31"/>
  <c r="D244" i="31"/>
  <c r="C244" i="31"/>
  <c r="B244" i="31"/>
  <c r="J243" i="31"/>
  <c r="I243" i="31"/>
  <c r="H243" i="31"/>
  <c r="G243" i="31"/>
  <c r="F243" i="31"/>
  <c r="E243" i="31"/>
  <c r="D243" i="31"/>
  <c r="C243" i="31"/>
  <c r="B243" i="31"/>
  <c r="J242" i="31"/>
  <c r="I242" i="31"/>
  <c r="H242" i="31"/>
  <c r="G242" i="31"/>
  <c r="F242" i="31"/>
  <c r="E242" i="31"/>
  <c r="D242" i="31"/>
  <c r="C242" i="31"/>
  <c r="B242" i="31"/>
  <c r="J241" i="31"/>
  <c r="I241" i="31"/>
  <c r="H241" i="31"/>
  <c r="G241" i="31"/>
  <c r="F241" i="31"/>
  <c r="E241" i="31"/>
  <c r="D241" i="31"/>
  <c r="C241" i="31"/>
  <c r="B241" i="31"/>
  <c r="J240" i="31"/>
  <c r="I240" i="31"/>
  <c r="H240" i="31"/>
  <c r="G240" i="31"/>
  <c r="F240" i="31"/>
  <c r="E240" i="31"/>
  <c r="D240" i="31"/>
  <c r="C240" i="31"/>
  <c r="B240" i="31"/>
  <c r="A237" i="31"/>
  <c r="J222" i="31"/>
  <c r="I222" i="31"/>
  <c r="H222" i="31"/>
  <c r="G222" i="31"/>
  <c r="F222" i="31"/>
  <c r="E222" i="31"/>
  <c r="D222" i="31"/>
  <c r="C222" i="31"/>
  <c r="B222" i="31"/>
  <c r="J221" i="31"/>
  <c r="I221" i="31"/>
  <c r="H221" i="31"/>
  <c r="G221" i="31"/>
  <c r="F221" i="31"/>
  <c r="E221" i="31"/>
  <c r="D221" i="31"/>
  <c r="C221" i="31"/>
  <c r="B221" i="31"/>
  <c r="J220" i="31"/>
  <c r="I220" i="31"/>
  <c r="H220" i="31"/>
  <c r="G220" i="31"/>
  <c r="F220" i="31"/>
  <c r="E220" i="31"/>
  <c r="D220" i="31"/>
  <c r="C220" i="31"/>
  <c r="B220" i="31"/>
  <c r="J219" i="31"/>
  <c r="I219" i="31"/>
  <c r="H219" i="31"/>
  <c r="G219" i="31"/>
  <c r="F219" i="31"/>
  <c r="E219" i="31"/>
  <c r="D219" i="31"/>
  <c r="C219" i="31"/>
  <c r="B219" i="31"/>
  <c r="J218" i="31"/>
  <c r="I218" i="31"/>
  <c r="H218" i="31"/>
  <c r="G218" i="31"/>
  <c r="F218" i="31"/>
  <c r="E218" i="31"/>
  <c r="D218" i="31"/>
  <c r="C218" i="31"/>
  <c r="B218" i="31"/>
  <c r="J217" i="31"/>
  <c r="I217" i="31"/>
  <c r="H217" i="31"/>
  <c r="G217" i="31"/>
  <c r="F217" i="31"/>
  <c r="E217" i="31"/>
  <c r="D217" i="31"/>
  <c r="C217" i="31"/>
  <c r="B217" i="31"/>
  <c r="J216" i="31"/>
  <c r="I216" i="31"/>
  <c r="H216" i="31"/>
  <c r="G216" i="31"/>
  <c r="F216" i="31"/>
  <c r="E216" i="31"/>
  <c r="D216" i="31"/>
  <c r="C216" i="31"/>
  <c r="B216" i="31"/>
  <c r="J215" i="31"/>
  <c r="I215" i="31"/>
  <c r="H215" i="31"/>
  <c r="G215" i="31"/>
  <c r="F215" i="31"/>
  <c r="E215" i="31"/>
  <c r="D215" i="31"/>
  <c r="C215" i="31"/>
  <c r="B215" i="31"/>
  <c r="J214" i="31"/>
  <c r="I214" i="31"/>
  <c r="H214" i="31"/>
  <c r="G214" i="31"/>
  <c r="F214" i="31"/>
  <c r="E214" i="31"/>
  <c r="D214" i="31"/>
  <c r="C214" i="31"/>
  <c r="B214" i="31"/>
  <c r="J213" i="31"/>
  <c r="I213" i="31"/>
  <c r="H213" i="31"/>
  <c r="G213" i="31"/>
  <c r="F213" i="31"/>
  <c r="E213" i="31"/>
  <c r="D213" i="31"/>
  <c r="C213" i="31"/>
  <c r="B213" i="31"/>
  <c r="J212" i="31"/>
  <c r="I212" i="31"/>
  <c r="H212" i="31"/>
  <c r="G212" i="31"/>
  <c r="F212" i="31"/>
  <c r="E212" i="31"/>
  <c r="D212" i="31"/>
  <c r="C212" i="31"/>
  <c r="B212" i="31"/>
  <c r="J211" i="31"/>
  <c r="I211" i="31"/>
  <c r="H211" i="31"/>
  <c r="G211" i="31"/>
  <c r="F211" i="31"/>
  <c r="E211" i="31"/>
  <c r="D211" i="31"/>
  <c r="C211" i="31"/>
  <c r="B211" i="31"/>
  <c r="J210" i="31"/>
  <c r="I210" i="31"/>
  <c r="H210" i="31"/>
  <c r="G210" i="31"/>
  <c r="F210" i="31"/>
  <c r="E210" i="31"/>
  <c r="D210" i="31"/>
  <c r="C210" i="31"/>
  <c r="B210" i="31"/>
  <c r="J209" i="31"/>
  <c r="I209" i="31"/>
  <c r="H209" i="31"/>
  <c r="G209" i="31"/>
  <c r="F209" i="31"/>
  <c r="E209" i="31"/>
  <c r="D209" i="31"/>
  <c r="C209" i="31"/>
  <c r="B209" i="31"/>
  <c r="J208" i="31"/>
  <c r="I208" i="31"/>
  <c r="H208" i="31"/>
  <c r="G208" i="31"/>
  <c r="F208" i="31"/>
  <c r="E208" i="31"/>
  <c r="D208" i="31"/>
  <c r="C208" i="31"/>
  <c r="B208" i="31"/>
  <c r="J207" i="31"/>
  <c r="I207" i="31"/>
  <c r="H207" i="31"/>
  <c r="G207" i="31"/>
  <c r="F207" i="31"/>
  <c r="E207" i="31"/>
  <c r="D207" i="31"/>
  <c r="C207" i="31"/>
  <c r="B207" i="31"/>
  <c r="J206" i="31"/>
  <c r="I206" i="31"/>
  <c r="H206" i="31"/>
  <c r="G206" i="31"/>
  <c r="F206" i="31"/>
  <c r="E206" i="31"/>
  <c r="D206" i="31"/>
  <c r="C206" i="31"/>
  <c r="B206" i="31"/>
  <c r="J205" i="31"/>
  <c r="I205" i="31"/>
  <c r="H205" i="31"/>
  <c r="G205" i="31"/>
  <c r="F205" i="31"/>
  <c r="E205" i="31"/>
  <c r="D205" i="31"/>
  <c r="C205" i="31"/>
  <c r="B205" i="31"/>
  <c r="J204" i="31"/>
  <c r="I204" i="31"/>
  <c r="H204" i="31"/>
  <c r="G204" i="31"/>
  <c r="F204" i="31"/>
  <c r="E204" i="31"/>
  <c r="D204" i="31"/>
  <c r="C204" i="31"/>
  <c r="B204" i="31"/>
  <c r="J203" i="31"/>
  <c r="I203" i="31"/>
  <c r="H203" i="31"/>
  <c r="G203" i="31"/>
  <c r="F203" i="31"/>
  <c r="E203" i="31"/>
  <c r="D203" i="31"/>
  <c r="C203" i="31"/>
  <c r="B203" i="31"/>
  <c r="J202" i="31"/>
  <c r="I202" i="31"/>
  <c r="H202" i="31"/>
  <c r="G202" i="31"/>
  <c r="F202" i="31"/>
  <c r="E202" i="31"/>
  <c r="D202" i="31"/>
  <c r="C202" i="31"/>
  <c r="B202" i="31"/>
  <c r="J201" i="31"/>
  <c r="I201" i="31"/>
  <c r="H201" i="31"/>
  <c r="G201" i="31"/>
  <c r="F201" i="31"/>
  <c r="E201" i="31"/>
  <c r="D201" i="31"/>
  <c r="C201" i="31"/>
  <c r="B201" i="31"/>
  <c r="J200" i="31"/>
  <c r="I200" i="31"/>
  <c r="H200" i="31"/>
  <c r="G200" i="31"/>
  <c r="F200" i="31"/>
  <c r="E200" i="31"/>
  <c r="D200" i="31"/>
  <c r="C200" i="31"/>
  <c r="B200" i="31"/>
  <c r="J199" i="31"/>
  <c r="I199" i="31"/>
  <c r="H199" i="31"/>
  <c r="G199" i="31"/>
  <c r="F199" i="31"/>
  <c r="E199" i="31"/>
  <c r="D199" i="31"/>
  <c r="C199" i="31"/>
  <c r="B199" i="31"/>
  <c r="J198" i="31"/>
  <c r="I198" i="31"/>
  <c r="H198" i="31"/>
  <c r="G198" i="31"/>
  <c r="F198" i="31"/>
  <c r="E198" i="31"/>
  <c r="D198" i="31"/>
  <c r="C198" i="31"/>
  <c r="B198" i="31"/>
  <c r="J197" i="31"/>
  <c r="I197" i="31"/>
  <c r="H197" i="31"/>
  <c r="G197" i="31"/>
  <c r="F197" i="31"/>
  <c r="E197" i="31"/>
  <c r="D197" i="31"/>
  <c r="C197" i="31"/>
  <c r="B197" i="31"/>
  <c r="J196" i="31"/>
  <c r="I196" i="31"/>
  <c r="H196" i="31"/>
  <c r="G196" i="31"/>
  <c r="F196" i="31"/>
  <c r="E196" i="31"/>
  <c r="D196" i="31"/>
  <c r="C196" i="31"/>
  <c r="B196" i="31"/>
  <c r="J195" i="31"/>
  <c r="I195" i="31"/>
  <c r="H195" i="31"/>
  <c r="G195" i="31"/>
  <c r="F195" i="31"/>
  <c r="E195" i="31"/>
  <c r="D195" i="31"/>
  <c r="C195" i="31"/>
  <c r="B195" i="31"/>
  <c r="J194" i="31"/>
  <c r="I194" i="31"/>
  <c r="H194" i="31"/>
  <c r="G194" i="31"/>
  <c r="F194" i="31"/>
  <c r="E194" i="31"/>
  <c r="D194" i="31"/>
  <c r="C194" i="31"/>
  <c r="B194" i="31"/>
  <c r="J193" i="31"/>
  <c r="I193" i="31"/>
  <c r="H193" i="31"/>
  <c r="G193" i="31"/>
  <c r="F193" i="31"/>
  <c r="E193" i="31"/>
  <c r="D193" i="31"/>
  <c r="C193" i="31"/>
  <c r="B193" i="31"/>
  <c r="A190" i="31"/>
  <c r="J174" i="31"/>
  <c r="I174" i="31"/>
  <c r="H174" i="31"/>
  <c r="G174" i="31"/>
  <c r="F174" i="31"/>
  <c r="E174" i="31"/>
  <c r="D174" i="31"/>
  <c r="C174" i="31"/>
  <c r="B174" i="31"/>
  <c r="J173" i="31"/>
  <c r="I173" i="31"/>
  <c r="H173" i="31"/>
  <c r="G173" i="31"/>
  <c r="F173" i="31"/>
  <c r="E173" i="31"/>
  <c r="D173" i="31"/>
  <c r="C173" i="31"/>
  <c r="B173" i="31"/>
  <c r="J172" i="31"/>
  <c r="I172" i="31"/>
  <c r="H172" i="31"/>
  <c r="G172" i="31"/>
  <c r="F172" i="31"/>
  <c r="E172" i="31"/>
  <c r="D172" i="31"/>
  <c r="C172" i="31"/>
  <c r="B172" i="31"/>
  <c r="J171" i="31"/>
  <c r="I171" i="31"/>
  <c r="H171" i="31"/>
  <c r="G171" i="31"/>
  <c r="F171" i="31"/>
  <c r="E171" i="31"/>
  <c r="D171" i="31"/>
  <c r="C171" i="31"/>
  <c r="B171" i="31"/>
  <c r="J170" i="31"/>
  <c r="I170" i="31"/>
  <c r="H170" i="31"/>
  <c r="G170" i="31"/>
  <c r="F170" i="31"/>
  <c r="E170" i="31"/>
  <c r="D170" i="31"/>
  <c r="C170" i="31"/>
  <c r="B170" i="31"/>
  <c r="J169" i="31"/>
  <c r="I169" i="31"/>
  <c r="H169" i="31"/>
  <c r="G169" i="31"/>
  <c r="F169" i="31"/>
  <c r="E169" i="31"/>
  <c r="D169" i="31"/>
  <c r="C169" i="31"/>
  <c r="B169" i="31"/>
  <c r="J168" i="31"/>
  <c r="I168" i="31"/>
  <c r="H168" i="31"/>
  <c r="G168" i="31"/>
  <c r="F168" i="31"/>
  <c r="E168" i="31"/>
  <c r="D168" i="31"/>
  <c r="C168" i="31"/>
  <c r="B168" i="31"/>
  <c r="J167" i="31"/>
  <c r="I167" i="31"/>
  <c r="H167" i="31"/>
  <c r="G167" i="31"/>
  <c r="F167" i="31"/>
  <c r="E167" i="31"/>
  <c r="D167" i="31"/>
  <c r="C167" i="31"/>
  <c r="B167" i="31"/>
  <c r="J166" i="31"/>
  <c r="I166" i="31"/>
  <c r="H166" i="31"/>
  <c r="G166" i="31"/>
  <c r="F166" i="31"/>
  <c r="E166" i="31"/>
  <c r="D166" i="31"/>
  <c r="C166" i="31"/>
  <c r="B166" i="31"/>
  <c r="J165" i="31"/>
  <c r="I165" i="31"/>
  <c r="H165" i="31"/>
  <c r="G165" i="31"/>
  <c r="F165" i="31"/>
  <c r="E165" i="31"/>
  <c r="D165" i="31"/>
  <c r="C165" i="31"/>
  <c r="B165" i="31"/>
  <c r="J164" i="31"/>
  <c r="I164" i="31"/>
  <c r="H164" i="31"/>
  <c r="G164" i="31"/>
  <c r="F164" i="31"/>
  <c r="E164" i="31"/>
  <c r="D164" i="31"/>
  <c r="C164" i="31"/>
  <c r="B164" i="31"/>
  <c r="J163" i="31"/>
  <c r="I163" i="31"/>
  <c r="H163" i="31"/>
  <c r="G163" i="31"/>
  <c r="F163" i="31"/>
  <c r="E163" i="31"/>
  <c r="D163" i="31"/>
  <c r="C163" i="31"/>
  <c r="B163" i="31"/>
  <c r="J162" i="31"/>
  <c r="I162" i="31"/>
  <c r="H162" i="31"/>
  <c r="G162" i="31"/>
  <c r="F162" i="31"/>
  <c r="E162" i="31"/>
  <c r="D162" i="31"/>
  <c r="C162" i="31"/>
  <c r="B162" i="31"/>
  <c r="J161" i="31"/>
  <c r="I161" i="31"/>
  <c r="H161" i="31"/>
  <c r="G161" i="31"/>
  <c r="F161" i="31"/>
  <c r="E161" i="31"/>
  <c r="D161" i="31"/>
  <c r="C161" i="31"/>
  <c r="B161" i="31"/>
  <c r="J160" i="31"/>
  <c r="I160" i="31"/>
  <c r="H160" i="31"/>
  <c r="G160" i="31"/>
  <c r="F160" i="31"/>
  <c r="E160" i="31"/>
  <c r="D160" i="31"/>
  <c r="C160" i="31"/>
  <c r="B160" i="31"/>
  <c r="J159" i="31"/>
  <c r="I159" i="31"/>
  <c r="H159" i="31"/>
  <c r="G159" i="31"/>
  <c r="F159" i="31"/>
  <c r="E159" i="31"/>
  <c r="D159" i="31"/>
  <c r="C159" i="31"/>
  <c r="B159" i="31"/>
  <c r="J158" i="31"/>
  <c r="I158" i="31"/>
  <c r="H158" i="31"/>
  <c r="G158" i="31"/>
  <c r="F158" i="31"/>
  <c r="E158" i="31"/>
  <c r="D158" i="31"/>
  <c r="C158" i="31"/>
  <c r="B158" i="31"/>
  <c r="J157" i="31"/>
  <c r="I157" i="31"/>
  <c r="H157" i="31"/>
  <c r="G157" i="31"/>
  <c r="F157" i="31"/>
  <c r="E157" i="31"/>
  <c r="D157" i="31"/>
  <c r="C157" i="31"/>
  <c r="B157" i="31"/>
  <c r="J156" i="31"/>
  <c r="I156" i="31"/>
  <c r="H156" i="31"/>
  <c r="G156" i="31"/>
  <c r="F156" i="31"/>
  <c r="E156" i="31"/>
  <c r="D156" i="31"/>
  <c r="C156" i="31"/>
  <c r="B156" i="31"/>
  <c r="J155" i="31"/>
  <c r="I155" i="31"/>
  <c r="H155" i="31"/>
  <c r="G155" i="31"/>
  <c r="F155" i="31"/>
  <c r="E155" i="31"/>
  <c r="D155" i="31"/>
  <c r="C155" i="31"/>
  <c r="B155" i="31"/>
  <c r="J154" i="31"/>
  <c r="I154" i="31"/>
  <c r="H154" i="31"/>
  <c r="G154" i="31"/>
  <c r="F154" i="31"/>
  <c r="E154" i="31"/>
  <c r="D154" i="31"/>
  <c r="C154" i="31"/>
  <c r="B154" i="31"/>
  <c r="J153" i="31"/>
  <c r="I153" i="31"/>
  <c r="H153" i="31"/>
  <c r="G153" i="31"/>
  <c r="F153" i="31"/>
  <c r="E153" i="31"/>
  <c r="D153" i="31"/>
  <c r="C153" i="31"/>
  <c r="B153" i="31"/>
  <c r="J152" i="31"/>
  <c r="I152" i="31"/>
  <c r="H152" i="31"/>
  <c r="G152" i="31"/>
  <c r="F152" i="31"/>
  <c r="E152" i="31"/>
  <c r="D152" i="31"/>
  <c r="C152" i="31"/>
  <c r="B152" i="31"/>
  <c r="J151" i="31"/>
  <c r="I151" i="31"/>
  <c r="H151" i="31"/>
  <c r="G151" i="31"/>
  <c r="F151" i="31"/>
  <c r="E151" i="31"/>
  <c r="D151" i="31"/>
  <c r="C151" i="31"/>
  <c r="B151" i="31"/>
  <c r="J150" i="31"/>
  <c r="I150" i="31"/>
  <c r="H150" i="31"/>
  <c r="G150" i="31"/>
  <c r="F150" i="31"/>
  <c r="E150" i="31"/>
  <c r="D150" i="31"/>
  <c r="C150" i="31"/>
  <c r="B150" i="31"/>
  <c r="J149" i="31"/>
  <c r="I149" i="31"/>
  <c r="H149" i="31"/>
  <c r="G149" i="31"/>
  <c r="F149" i="31"/>
  <c r="E149" i="31"/>
  <c r="D149" i="31"/>
  <c r="C149" i="31"/>
  <c r="B149" i="31"/>
  <c r="J148" i="31"/>
  <c r="I148" i="31"/>
  <c r="H148" i="31"/>
  <c r="G148" i="31"/>
  <c r="F148" i="31"/>
  <c r="E148" i="31"/>
  <c r="D148" i="31"/>
  <c r="C148" i="31"/>
  <c r="B148" i="31"/>
  <c r="J147" i="31"/>
  <c r="I147" i="31"/>
  <c r="H147" i="31"/>
  <c r="G147" i="31"/>
  <c r="F147" i="31"/>
  <c r="E147" i="31"/>
  <c r="D147" i="31"/>
  <c r="C147" i="31"/>
  <c r="B147" i="31"/>
  <c r="J146" i="31"/>
  <c r="I146" i="31"/>
  <c r="H146" i="31"/>
  <c r="G146" i="31"/>
  <c r="F146" i="31"/>
  <c r="E146" i="31"/>
  <c r="D146" i="31"/>
  <c r="C146" i="31"/>
  <c r="B146" i="31"/>
  <c r="A143" i="31"/>
  <c r="J128" i="31"/>
  <c r="I128" i="31"/>
  <c r="H128" i="31"/>
  <c r="G128" i="31"/>
  <c r="F128" i="31"/>
  <c r="E128" i="31"/>
  <c r="D128" i="31"/>
  <c r="C128" i="31"/>
  <c r="B128" i="31"/>
  <c r="J127" i="31"/>
  <c r="I127" i="31"/>
  <c r="H127" i="31"/>
  <c r="G127" i="31"/>
  <c r="F127" i="31"/>
  <c r="E127" i="31"/>
  <c r="D127" i="31"/>
  <c r="C127" i="31"/>
  <c r="B127" i="31"/>
  <c r="J126" i="31"/>
  <c r="I126" i="31"/>
  <c r="H126" i="31"/>
  <c r="G126" i="31"/>
  <c r="F126" i="31"/>
  <c r="E126" i="31"/>
  <c r="D126" i="31"/>
  <c r="C126" i="31"/>
  <c r="B126" i="31"/>
  <c r="J125" i="31"/>
  <c r="I125" i="31"/>
  <c r="H125" i="31"/>
  <c r="G125" i="31"/>
  <c r="F125" i="31"/>
  <c r="E125" i="31"/>
  <c r="D125" i="31"/>
  <c r="C125" i="31"/>
  <c r="B125" i="31"/>
  <c r="J124" i="31"/>
  <c r="I124" i="31"/>
  <c r="H124" i="31"/>
  <c r="G124" i="31"/>
  <c r="F124" i="31"/>
  <c r="E124" i="31"/>
  <c r="D124" i="31"/>
  <c r="C124" i="31"/>
  <c r="B124" i="31"/>
  <c r="J123" i="31"/>
  <c r="I123" i="31"/>
  <c r="H123" i="31"/>
  <c r="G123" i="31"/>
  <c r="F123" i="31"/>
  <c r="E123" i="31"/>
  <c r="D123" i="31"/>
  <c r="C123" i="31"/>
  <c r="B123" i="31"/>
  <c r="J122" i="31"/>
  <c r="I122" i="31"/>
  <c r="H122" i="31"/>
  <c r="G122" i="31"/>
  <c r="F122" i="31"/>
  <c r="E122" i="31"/>
  <c r="D122" i="31"/>
  <c r="C122" i="31"/>
  <c r="B122" i="31"/>
  <c r="J121" i="31"/>
  <c r="I121" i="31"/>
  <c r="H121" i="31"/>
  <c r="G121" i="31"/>
  <c r="F121" i="31"/>
  <c r="E121" i="31"/>
  <c r="D121" i="31"/>
  <c r="C121" i="31"/>
  <c r="B121" i="31"/>
  <c r="J120" i="31"/>
  <c r="I120" i="31"/>
  <c r="H120" i="31"/>
  <c r="G120" i="31"/>
  <c r="F120" i="31"/>
  <c r="E120" i="31"/>
  <c r="D120" i="31"/>
  <c r="C120" i="31"/>
  <c r="B120" i="31"/>
  <c r="J119" i="31"/>
  <c r="I119" i="31"/>
  <c r="H119" i="31"/>
  <c r="G119" i="31"/>
  <c r="F119" i="31"/>
  <c r="E119" i="31"/>
  <c r="D119" i="31"/>
  <c r="C119" i="31"/>
  <c r="B119" i="31"/>
  <c r="J118" i="31"/>
  <c r="I118" i="31"/>
  <c r="H118" i="31"/>
  <c r="G118" i="31"/>
  <c r="F118" i="31"/>
  <c r="E118" i="31"/>
  <c r="D118" i="31"/>
  <c r="C118" i="31"/>
  <c r="B118" i="31"/>
  <c r="J117" i="31"/>
  <c r="I117" i="31"/>
  <c r="H117" i="31"/>
  <c r="G117" i="31"/>
  <c r="F117" i="31"/>
  <c r="E117" i="31"/>
  <c r="D117" i="31"/>
  <c r="C117" i="31"/>
  <c r="B117" i="31"/>
  <c r="J116" i="31"/>
  <c r="I116" i="31"/>
  <c r="H116" i="31"/>
  <c r="G116" i="31"/>
  <c r="F116" i="31"/>
  <c r="E116" i="31"/>
  <c r="D116" i="31"/>
  <c r="C116" i="31"/>
  <c r="B116" i="31"/>
  <c r="J115" i="31"/>
  <c r="I115" i="31"/>
  <c r="H115" i="31"/>
  <c r="G115" i="31"/>
  <c r="F115" i="31"/>
  <c r="E115" i="31"/>
  <c r="D115" i="31"/>
  <c r="C115" i="31"/>
  <c r="B115" i="31"/>
  <c r="J114" i="31"/>
  <c r="I114" i="31"/>
  <c r="H114" i="31"/>
  <c r="G114" i="31"/>
  <c r="F114" i="31"/>
  <c r="E114" i="31"/>
  <c r="D114" i="31"/>
  <c r="C114" i="31"/>
  <c r="B114" i="31"/>
  <c r="J113" i="31"/>
  <c r="I113" i="31"/>
  <c r="H113" i="31"/>
  <c r="G113" i="31"/>
  <c r="F113" i="31"/>
  <c r="E113" i="31"/>
  <c r="D113" i="31"/>
  <c r="C113" i="31"/>
  <c r="B113" i="31"/>
  <c r="J112" i="31"/>
  <c r="I112" i="31"/>
  <c r="H112" i="31"/>
  <c r="G112" i="31"/>
  <c r="F112" i="31"/>
  <c r="E112" i="31"/>
  <c r="D112" i="31"/>
  <c r="C112" i="31"/>
  <c r="B112" i="31"/>
  <c r="J111" i="31"/>
  <c r="I111" i="31"/>
  <c r="H111" i="31"/>
  <c r="G111" i="31"/>
  <c r="F111" i="31"/>
  <c r="E111" i="31"/>
  <c r="D111" i="31"/>
  <c r="C111" i="31"/>
  <c r="B111" i="31"/>
  <c r="J110" i="31"/>
  <c r="I110" i="31"/>
  <c r="H110" i="31"/>
  <c r="G110" i="31"/>
  <c r="F110" i="31"/>
  <c r="E110" i="31"/>
  <c r="D110" i="31"/>
  <c r="C110" i="31"/>
  <c r="B110" i="31"/>
  <c r="J109" i="31"/>
  <c r="I109" i="31"/>
  <c r="H109" i="31"/>
  <c r="G109" i="31"/>
  <c r="F109" i="31"/>
  <c r="E109" i="31"/>
  <c r="D109" i="31"/>
  <c r="C109" i="31"/>
  <c r="B109" i="31"/>
  <c r="J108" i="31"/>
  <c r="I108" i="31"/>
  <c r="H108" i="31"/>
  <c r="G108" i="31"/>
  <c r="F108" i="31"/>
  <c r="E108" i="31"/>
  <c r="D108" i="31"/>
  <c r="C108" i="31"/>
  <c r="B108" i="31"/>
  <c r="J107" i="31"/>
  <c r="I107" i="31"/>
  <c r="H107" i="31"/>
  <c r="G107" i="31"/>
  <c r="F107" i="31"/>
  <c r="E107" i="31"/>
  <c r="D107" i="31"/>
  <c r="C107" i="31"/>
  <c r="B107" i="31"/>
  <c r="J106" i="31"/>
  <c r="I106" i="31"/>
  <c r="H106" i="31"/>
  <c r="G106" i="31"/>
  <c r="F106" i="31"/>
  <c r="E106" i="31"/>
  <c r="D106" i="31"/>
  <c r="C106" i="31"/>
  <c r="B106" i="31"/>
  <c r="J105" i="31"/>
  <c r="I105" i="31"/>
  <c r="H105" i="31"/>
  <c r="G105" i="31"/>
  <c r="F105" i="31"/>
  <c r="E105" i="31"/>
  <c r="D105" i="31"/>
  <c r="C105" i="31"/>
  <c r="B105" i="31"/>
  <c r="J104" i="31"/>
  <c r="I104" i="31"/>
  <c r="H104" i="31"/>
  <c r="G104" i="31"/>
  <c r="F104" i="31"/>
  <c r="E104" i="31"/>
  <c r="D104" i="31"/>
  <c r="C104" i="31"/>
  <c r="B104" i="31"/>
  <c r="J103" i="31"/>
  <c r="I103" i="31"/>
  <c r="H103" i="31"/>
  <c r="G103" i="31"/>
  <c r="F103" i="31"/>
  <c r="E103" i="31"/>
  <c r="D103" i="31"/>
  <c r="C103" i="31"/>
  <c r="B103" i="31"/>
  <c r="J102" i="31"/>
  <c r="I102" i="31"/>
  <c r="H102" i="31"/>
  <c r="G102" i="31"/>
  <c r="F102" i="31"/>
  <c r="E102" i="31"/>
  <c r="D102" i="31"/>
  <c r="C102" i="31"/>
  <c r="B102" i="31"/>
  <c r="J101" i="31"/>
  <c r="I101" i="31"/>
  <c r="H101" i="31"/>
  <c r="G101" i="31"/>
  <c r="F101" i="31"/>
  <c r="E101" i="31"/>
  <c r="D101" i="31"/>
  <c r="C101" i="31"/>
  <c r="B101" i="31"/>
  <c r="J100" i="31"/>
  <c r="I100" i="31"/>
  <c r="H100" i="31"/>
  <c r="G100" i="31"/>
  <c r="F100" i="31"/>
  <c r="E100" i="31"/>
  <c r="D100" i="31"/>
  <c r="C100" i="31"/>
  <c r="B100" i="31"/>
  <c r="J99" i="31"/>
  <c r="I99" i="31"/>
  <c r="H99" i="31"/>
  <c r="G99" i="31"/>
  <c r="F99" i="31"/>
  <c r="E99" i="31"/>
  <c r="D99" i="31"/>
  <c r="C99" i="31"/>
  <c r="B99" i="31"/>
  <c r="A96" i="31"/>
  <c r="J81" i="31"/>
  <c r="I81" i="31"/>
  <c r="H81" i="31"/>
  <c r="G81" i="31"/>
  <c r="F81" i="31"/>
  <c r="E81" i="31"/>
  <c r="D81" i="31"/>
  <c r="C81" i="31"/>
  <c r="B81" i="31"/>
  <c r="J80" i="31"/>
  <c r="I80" i="31"/>
  <c r="H80" i="31"/>
  <c r="G80" i="31"/>
  <c r="F80" i="31"/>
  <c r="E80" i="31"/>
  <c r="D80" i="31"/>
  <c r="C80" i="31"/>
  <c r="B80" i="31"/>
  <c r="J79" i="31"/>
  <c r="I79" i="31"/>
  <c r="H79" i="31"/>
  <c r="G79" i="31"/>
  <c r="F79" i="31"/>
  <c r="E79" i="31"/>
  <c r="D79" i="31"/>
  <c r="C79" i="31"/>
  <c r="B79" i="31"/>
  <c r="J78" i="31"/>
  <c r="I78" i="31"/>
  <c r="H78" i="31"/>
  <c r="G78" i="31"/>
  <c r="F78" i="31"/>
  <c r="E78" i="31"/>
  <c r="D78" i="31"/>
  <c r="C78" i="31"/>
  <c r="B78" i="31"/>
  <c r="J77" i="31"/>
  <c r="I77" i="31"/>
  <c r="H77" i="31"/>
  <c r="G77" i="31"/>
  <c r="F77" i="31"/>
  <c r="E77" i="31"/>
  <c r="D77" i="31"/>
  <c r="C77" i="31"/>
  <c r="B77" i="31"/>
  <c r="J76" i="31"/>
  <c r="I76" i="31"/>
  <c r="H76" i="31"/>
  <c r="G76" i="31"/>
  <c r="F76" i="31"/>
  <c r="E76" i="31"/>
  <c r="D76" i="31"/>
  <c r="C76" i="31"/>
  <c r="B76" i="31"/>
  <c r="J75" i="31"/>
  <c r="I75" i="31"/>
  <c r="H75" i="31"/>
  <c r="G75" i="31"/>
  <c r="F75" i="31"/>
  <c r="E75" i="31"/>
  <c r="D75" i="31"/>
  <c r="C75" i="31"/>
  <c r="B75" i="31"/>
  <c r="J74" i="31"/>
  <c r="I74" i="31"/>
  <c r="H74" i="31"/>
  <c r="G74" i="31"/>
  <c r="F74" i="31"/>
  <c r="E74" i="31"/>
  <c r="D74" i="31"/>
  <c r="C74" i="31"/>
  <c r="B74" i="31"/>
  <c r="J73" i="31"/>
  <c r="I73" i="31"/>
  <c r="H73" i="31"/>
  <c r="G73" i="31"/>
  <c r="F73" i="31"/>
  <c r="E73" i="31"/>
  <c r="D73" i="31"/>
  <c r="C73" i="31"/>
  <c r="B73" i="31"/>
  <c r="J72" i="31"/>
  <c r="I72" i="31"/>
  <c r="H72" i="31"/>
  <c r="G72" i="31"/>
  <c r="F72" i="31"/>
  <c r="E72" i="31"/>
  <c r="D72" i="31"/>
  <c r="C72" i="31"/>
  <c r="B72" i="31"/>
  <c r="J71" i="31"/>
  <c r="I71" i="31"/>
  <c r="H71" i="31"/>
  <c r="G71" i="31"/>
  <c r="F71" i="31"/>
  <c r="E71" i="31"/>
  <c r="D71" i="31"/>
  <c r="C71" i="31"/>
  <c r="B71" i="31"/>
  <c r="J70" i="31"/>
  <c r="I70" i="31"/>
  <c r="H70" i="31"/>
  <c r="G70" i="31"/>
  <c r="F70" i="31"/>
  <c r="E70" i="31"/>
  <c r="D70" i="31"/>
  <c r="C70" i="31"/>
  <c r="B70" i="31"/>
  <c r="J69" i="31"/>
  <c r="I69" i="31"/>
  <c r="H69" i="31"/>
  <c r="G69" i="31"/>
  <c r="F69" i="31"/>
  <c r="E69" i="31"/>
  <c r="D69" i="31"/>
  <c r="C69" i="31"/>
  <c r="B69" i="31"/>
  <c r="J68" i="31"/>
  <c r="I68" i="31"/>
  <c r="H68" i="31"/>
  <c r="G68" i="31"/>
  <c r="F68" i="31"/>
  <c r="E68" i="31"/>
  <c r="D68" i="31"/>
  <c r="C68" i="31"/>
  <c r="B68" i="31"/>
  <c r="J67" i="31"/>
  <c r="I67" i="31"/>
  <c r="H67" i="31"/>
  <c r="G67" i="31"/>
  <c r="F67" i="31"/>
  <c r="E67" i="31"/>
  <c r="D67" i="31"/>
  <c r="C67" i="31"/>
  <c r="B67" i="31"/>
  <c r="J66" i="31"/>
  <c r="I66" i="31"/>
  <c r="H66" i="31"/>
  <c r="G66" i="31"/>
  <c r="F66" i="31"/>
  <c r="E66" i="31"/>
  <c r="D66" i="31"/>
  <c r="C66" i="31"/>
  <c r="B66" i="31"/>
  <c r="J65" i="31"/>
  <c r="I65" i="31"/>
  <c r="H65" i="31"/>
  <c r="G65" i="31"/>
  <c r="F65" i="31"/>
  <c r="E65" i="31"/>
  <c r="D65" i="31"/>
  <c r="C65" i="31"/>
  <c r="B65" i="31"/>
  <c r="J64" i="31"/>
  <c r="I64" i="31"/>
  <c r="H64" i="31"/>
  <c r="G64" i="31"/>
  <c r="F64" i="31"/>
  <c r="E64" i="31"/>
  <c r="D64" i="31"/>
  <c r="C64" i="31"/>
  <c r="B64" i="31"/>
  <c r="J63" i="31"/>
  <c r="I63" i="31"/>
  <c r="H63" i="31"/>
  <c r="G63" i="31"/>
  <c r="F63" i="31"/>
  <c r="E63" i="31"/>
  <c r="D63" i="31"/>
  <c r="C63" i="31"/>
  <c r="B63" i="31"/>
  <c r="J62" i="31"/>
  <c r="I62" i="31"/>
  <c r="H62" i="31"/>
  <c r="G62" i="31"/>
  <c r="F62" i="31"/>
  <c r="E62" i="31"/>
  <c r="D62" i="31"/>
  <c r="C62" i="31"/>
  <c r="B62" i="31"/>
  <c r="J61" i="31"/>
  <c r="I61" i="31"/>
  <c r="H61" i="31"/>
  <c r="G61" i="31"/>
  <c r="F61" i="31"/>
  <c r="E61" i="31"/>
  <c r="D61" i="31"/>
  <c r="C61" i="31"/>
  <c r="B61" i="31"/>
  <c r="J60" i="31"/>
  <c r="I60" i="31"/>
  <c r="H60" i="31"/>
  <c r="G60" i="31"/>
  <c r="F60" i="31"/>
  <c r="E60" i="31"/>
  <c r="D60" i="31"/>
  <c r="C60" i="31"/>
  <c r="B60" i="31"/>
  <c r="J59" i="31"/>
  <c r="I59" i="31"/>
  <c r="H59" i="31"/>
  <c r="G59" i="31"/>
  <c r="F59" i="31"/>
  <c r="E59" i="31"/>
  <c r="D59" i="31"/>
  <c r="C59" i="31"/>
  <c r="B59" i="31"/>
  <c r="J58" i="31"/>
  <c r="I58" i="31"/>
  <c r="H58" i="31"/>
  <c r="G58" i="31"/>
  <c r="F58" i="31"/>
  <c r="E58" i="31"/>
  <c r="D58" i="31"/>
  <c r="C58" i="31"/>
  <c r="B58" i="31"/>
  <c r="J57" i="31"/>
  <c r="I57" i="31"/>
  <c r="H57" i="31"/>
  <c r="G57" i="31"/>
  <c r="F57" i="31"/>
  <c r="E57" i="31"/>
  <c r="D57" i="31"/>
  <c r="C57" i="31"/>
  <c r="B57" i="31"/>
  <c r="J56" i="31"/>
  <c r="I56" i="31"/>
  <c r="H56" i="31"/>
  <c r="G56" i="31"/>
  <c r="F56" i="31"/>
  <c r="E56" i="31"/>
  <c r="D56" i="31"/>
  <c r="C56" i="31"/>
  <c r="B56" i="31"/>
  <c r="J55" i="31"/>
  <c r="I55" i="31"/>
  <c r="H55" i="31"/>
  <c r="G55" i="31"/>
  <c r="F55" i="31"/>
  <c r="E55" i="31"/>
  <c r="D55" i="31"/>
  <c r="C55" i="31"/>
  <c r="B55" i="31"/>
  <c r="J54" i="31"/>
  <c r="I54" i="31"/>
  <c r="H54" i="31"/>
  <c r="G54" i="31"/>
  <c r="F54" i="31"/>
  <c r="E54" i="31"/>
  <c r="D54" i="31"/>
  <c r="C54" i="31"/>
  <c r="B54" i="31"/>
  <c r="J53" i="31"/>
  <c r="I53" i="31"/>
  <c r="H53" i="31"/>
  <c r="G53" i="31"/>
  <c r="F53" i="31"/>
  <c r="E53" i="31"/>
  <c r="D53" i="31"/>
  <c r="C53" i="31"/>
  <c r="B53" i="31"/>
  <c r="J52" i="31"/>
  <c r="I52" i="31"/>
  <c r="H52" i="31"/>
  <c r="G52" i="31"/>
  <c r="F52" i="31"/>
  <c r="E52" i="31"/>
  <c r="D52" i="31"/>
  <c r="C52" i="31"/>
  <c r="B52" i="31"/>
  <c r="A49" i="31"/>
  <c r="M32" i="44"/>
  <c r="L363" i="31" s="1"/>
  <c r="M31" i="44"/>
  <c r="L362" i="31" s="1"/>
  <c r="M30" i="44"/>
  <c r="L361" i="31" s="1"/>
  <c r="M29" i="44"/>
  <c r="L360" i="31" s="1"/>
  <c r="M28" i="44"/>
  <c r="L359" i="31" s="1"/>
  <c r="M27" i="44"/>
  <c r="L358" i="31" s="1"/>
  <c r="M26" i="44"/>
  <c r="L357" i="31" s="1"/>
  <c r="M25" i="44"/>
  <c r="L356" i="31" s="1"/>
  <c r="M24" i="44"/>
  <c r="L355" i="31" s="1"/>
  <c r="M23" i="44"/>
  <c r="L354" i="31" s="1"/>
  <c r="M22" i="44"/>
  <c r="L353" i="31" s="1"/>
  <c r="M21" i="44"/>
  <c r="L352" i="31" s="1"/>
  <c r="L20" i="44"/>
  <c r="K351" i="31" s="1"/>
  <c r="M19" i="44"/>
  <c r="L350" i="31" s="1"/>
  <c r="M18" i="44"/>
  <c r="L349" i="31" s="1"/>
  <c r="M17" i="44"/>
  <c r="L348" i="31" s="1"/>
  <c r="L9" i="44"/>
  <c r="K340" i="31" s="1"/>
  <c r="I34" i="44"/>
  <c r="H365" i="31" s="1"/>
  <c r="M32" i="45"/>
  <c r="L316" i="31" s="1"/>
  <c r="M31" i="45"/>
  <c r="L315" i="31" s="1"/>
  <c r="M30" i="45"/>
  <c r="L314" i="31" s="1"/>
  <c r="L29" i="45"/>
  <c r="K313" i="31" s="1"/>
  <c r="M28" i="45"/>
  <c r="L312" i="31" s="1"/>
  <c r="M27" i="45"/>
  <c r="L311" i="31" s="1"/>
  <c r="M26" i="45"/>
  <c r="L310" i="31" s="1"/>
  <c r="L25" i="45"/>
  <c r="K309" i="31" s="1"/>
  <c r="M24" i="45"/>
  <c r="L308" i="31" s="1"/>
  <c r="M23" i="45"/>
  <c r="L307" i="31" s="1"/>
  <c r="M22" i="45"/>
  <c r="L306" i="31" s="1"/>
  <c r="M21" i="45"/>
  <c r="L305" i="31" s="1"/>
  <c r="M20" i="45"/>
  <c r="L304" i="31" s="1"/>
  <c r="L19" i="45"/>
  <c r="K303" i="31" s="1"/>
  <c r="M18" i="45"/>
  <c r="L302" i="31" s="1"/>
  <c r="M10" i="45"/>
  <c r="L294" i="31" s="1"/>
  <c r="J33" i="45"/>
  <c r="I317" i="31" s="1"/>
  <c r="M32" i="43"/>
  <c r="L269" i="31" s="1"/>
  <c r="M31" i="43"/>
  <c r="L268" i="31" s="1"/>
  <c r="M30" i="43"/>
  <c r="L267" i="31" s="1"/>
  <c r="M29" i="43"/>
  <c r="L266" i="31" s="1"/>
  <c r="M28" i="43"/>
  <c r="L265" i="31" s="1"/>
  <c r="M27" i="43"/>
  <c r="L264" i="31" s="1"/>
  <c r="M26" i="43"/>
  <c r="L263" i="31" s="1"/>
  <c r="M25" i="43"/>
  <c r="L262" i="31" s="1"/>
  <c r="M24" i="43"/>
  <c r="L261" i="31" s="1"/>
  <c r="M23" i="43"/>
  <c r="L260" i="31" s="1"/>
  <c r="M22" i="43"/>
  <c r="L259" i="31" s="1"/>
  <c r="M21" i="43"/>
  <c r="L258" i="31" s="1"/>
  <c r="M20" i="43"/>
  <c r="L257" i="31" s="1"/>
  <c r="M19" i="43"/>
  <c r="L256" i="31" s="1"/>
  <c r="M18" i="43"/>
  <c r="L255" i="31" s="1"/>
  <c r="M17" i="43"/>
  <c r="L254" i="31" s="1"/>
  <c r="M9" i="43"/>
  <c r="L246" i="31" s="1"/>
  <c r="M32" i="46"/>
  <c r="L222" i="31" s="1"/>
  <c r="M31" i="46"/>
  <c r="L221" i="31" s="1"/>
  <c r="M30" i="46"/>
  <c r="L220" i="31" s="1"/>
  <c r="L29" i="46"/>
  <c r="K219" i="31" s="1"/>
  <c r="M28" i="46"/>
  <c r="L218" i="31" s="1"/>
  <c r="M27" i="46"/>
  <c r="L217" i="31" s="1"/>
  <c r="M26" i="46"/>
  <c r="L216" i="31" s="1"/>
  <c r="L25" i="46"/>
  <c r="K215" i="31" s="1"/>
  <c r="M24" i="46"/>
  <c r="L214" i="31" s="1"/>
  <c r="M23" i="46"/>
  <c r="L213" i="31" s="1"/>
  <c r="M22" i="46"/>
  <c r="L212" i="31" s="1"/>
  <c r="M21" i="46"/>
  <c r="L211" i="31" s="1"/>
  <c r="M20" i="46"/>
  <c r="L210" i="31" s="1"/>
  <c r="L19" i="46"/>
  <c r="K209" i="31" s="1"/>
  <c r="M18" i="46"/>
  <c r="L208" i="31" s="1"/>
  <c r="M10" i="46"/>
  <c r="L200" i="31" s="1"/>
  <c r="J33" i="46"/>
  <c r="I223" i="31" s="1"/>
  <c r="M32" i="47"/>
  <c r="L175" i="31" s="1"/>
  <c r="L31" i="47"/>
  <c r="K174" i="31" s="1"/>
  <c r="M30" i="47"/>
  <c r="L173" i="31" s="1"/>
  <c r="M29" i="47"/>
  <c r="L172" i="31" s="1"/>
  <c r="M28" i="47"/>
  <c r="L171" i="31" s="1"/>
  <c r="M27" i="47"/>
  <c r="L170" i="31" s="1"/>
  <c r="L26" i="47"/>
  <c r="K169" i="31" s="1"/>
  <c r="L25" i="47"/>
  <c r="K168" i="31" s="1"/>
  <c r="M24" i="47"/>
  <c r="L167" i="31" s="1"/>
  <c r="M23" i="47"/>
  <c r="L166" i="31" s="1"/>
  <c r="M22" i="47"/>
  <c r="L165" i="31" s="1"/>
  <c r="M21" i="47"/>
  <c r="L164" i="31" s="1"/>
  <c r="L20" i="47"/>
  <c r="K163" i="31" s="1"/>
  <c r="M19" i="47"/>
  <c r="L162" i="31" s="1"/>
  <c r="M18" i="47"/>
  <c r="L161" i="31" s="1"/>
  <c r="L10" i="47"/>
  <c r="K153" i="31" s="1"/>
  <c r="J34" i="47"/>
  <c r="I177" i="31" s="1"/>
  <c r="M32" i="48"/>
  <c r="L128" i="31" s="1"/>
  <c r="M31" i="48"/>
  <c r="L127" i="31" s="1"/>
  <c r="L30" i="48"/>
  <c r="K126" i="31" s="1"/>
  <c r="M29" i="48"/>
  <c r="L125" i="31" s="1"/>
  <c r="L28" i="48"/>
  <c r="K124" i="31" s="1"/>
  <c r="M27" i="48"/>
  <c r="L123" i="31" s="1"/>
  <c r="M26" i="48"/>
  <c r="L122" i="31" s="1"/>
  <c r="M25" i="48"/>
  <c r="L121" i="31" s="1"/>
  <c r="L24" i="48"/>
  <c r="K120" i="31" s="1"/>
  <c r="M23" i="48"/>
  <c r="L119" i="31" s="1"/>
  <c r="M22" i="48"/>
  <c r="L118" i="31" s="1"/>
  <c r="M21" i="48"/>
  <c r="L117" i="31" s="1"/>
  <c r="L20" i="48"/>
  <c r="K116" i="31" s="1"/>
  <c r="M19" i="48"/>
  <c r="L115" i="31" s="1"/>
  <c r="M18" i="48"/>
  <c r="L114" i="31" s="1"/>
  <c r="L10" i="48"/>
  <c r="K106" i="31" s="1"/>
  <c r="J34" i="48"/>
  <c r="I130" i="31" s="1"/>
  <c r="M32" i="49"/>
  <c r="L81" i="31" s="1"/>
  <c r="L31" i="49"/>
  <c r="K80" i="31" s="1"/>
  <c r="M30" i="49"/>
  <c r="L79" i="31" s="1"/>
  <c r="M29" i="49"/>
  <c r="L78" i="31" s="1"/>
  <c r="M28" i="49"/>
  <c r="L77" i="31" s="1"/>
  <c r="M27" i="49"/>
  <c r="L76" i="31" s="1"/>
  <c r="M26" i="49"/>
  <c r="L75" i="31" s="1"/>
  <c r="L25" i="49"/>
  <c r="K74" i="31" s="1"/>
  <c r="L24" i="49"/>
  <c r="K73" i="31" s="1"/>
  <c r="M23" i="49"/>
  <c r="L72" i="31" s="1"/>
  <c r="M22" i="49"/>
  <c r="L71" i="31" s="1"/>
  <c r="L21" i="49"/>
  <c r="K70" i="31" s="1"/>
  <c r="M20" i="49"/>
  <c r="L69" i="31" s="1"/>
  <c r="M19" i="49"/>
  <c r="L68" i="31" s="1"/>
  <c r="M18" i="49"/>
  <c r="L67" i="31" s="1"/>
  <c r="M10" i="49"/>
  <c r="L59" i="31" s="1"/>
  <c r="J34" i="49"/>
  <c r="I83" i="31" s="1"/>
  <c r="J34" i="31"/>
  <c r="I34" i="31"/>
  <c r="H34" i="31"/>
  <c r="G34" i="31"/>
  <c r="F34" i="31"/>
  <c r="E34" i="31"/>
  <c r="D34" i="31"/>
  <c r="C34" i="31"/>
  <c r="B34" i="31"/>
  <c r="J33" i="31"/>
  <c r="I33" i="31"/>
  <c r="H33" i="31"/>
  <c r="G33" i="31"/>
  <c r="F33" i="31"/>
  <c r="E33" i="31"/>
  <c r="D33" i="31"/>
  <c r="C33" i="31"/>
  <c r="B33" i="31"/>
  <c r="J32" i="31"/>
  <c r="I32" i="31"/>
  <c r="H32" i="31"/>
  <c r="G32" i="31"/>
  <c r="F32" i="31"/>
  <c r="E32" i="31"/>
  <c r="D32" i="31"/>
  <c r="C32" i="31"/>
  <c r="B32" i="31"/>
  <c r="J31" i="31"/>
  <c r="I31" i="31"/>
  <c r="H31" i="31"/>
  <c r="G31" i="31"/>
  <c r="F31" i="31"/>
  <c r="E31" i="31"/>
  <c r="D31" i="31"/>
  <c r="C31" i="31"/>
  <c r="B31" i="31"/>
  <c r="J30" i="31"/>
  <c r="I30" i="31"/>
  <c r="H30" i="31"/>
  <c r="G30" i="31"/>
  <c r="F30" i="31"/>
  <c r="E30" i="31"/>
  <c r="D30" i="31"/>
  <c r="C30" i="31"/>
  <c r="B30" i="31"/>
  <c r="J29" i="31"/>
  <c r="I29" i="31"/>
  <c r="H29" i="31"/>
  <c r="G29" i="31"/>
  <c r="F29" i="31"/>
  <c r="E29" i="31"/>
  <c r="D29" i="31"/>
  <c r="C29" i="31"/>
  <c r="B29" i="31"/>
  <c r="J28" i="31"/>
  <c r="I28" i="31"/>
  <c r="H28" i="31"/>
  <c r="G28" i="31"/>
  <c r="F28" i="31"/>
  <c r="E28" i="31"/>
  <c r="D28" i="31"/>
  <c r="C28" i="31"/>
  <c r="B28" i="31"/>
  <c r="J27" i="31"/>
  <c r="I27" i="31"/>
  <c r="H27" i="31"/>
  <c r="G27" i="31"/>
  <c r="F27" i="31"/>
  <c r="E27" i="31"/>
  <c r="D27" i="31"/>
  <c r="C27" i="31"/>
  <c r="B27" i="31"/>
  <c r="J26" i="31"/>
  <c r="I26" i="31"/>
  <c r="H26" i="31"/>
  <c r="G26" i="31"/>
  <c r="F26" i="31"/>
  <c r="E26" i="31"/>
  <c r="D26" i="31"/>
  <c r="C26" i="31"/>
  <c r="B26" i="31"/>
  <c r="J25" i="31"/>
  <c r="I25" i="31"/>
  <c r="H25" i="31"/>
  <c r="G25" i="31"/>
  <c r="F25" i="31"/>
  <c r="E25" i="31"/>
  <c r="D25" i="31"/>
  <c r="C25" i="31"/>
  <c r="B25" i="31"/>
  <c r="J24" i="31"/>
  <c r="I24" i="31"/>
  <c r="H24" i="31"/>
  <c r="G24" i="31"/>
  <c r="F24" i="31"/>
  <c r="E24" i="31"/>
  <c r="D24" i="31"/>
  <c r="C24" i="31"/>
  <c r="B24" i="31"/>
  <c r="J23" i="31"/>
  <c r="I23" i="31"/>
  <c r="H23" i="31"/>
  <c r="G23" i="31"/>
  <c r="F23" i="31"/>
  <c r="E23" i="31"/>
  <c r="D23" i="31"/>
  <c r="C23" i="31"/>
  <c r="B23" i="31"/>
  <c r="J22" i="31"/>
  <c r="I22" i="31"/>
  <c r="H22" i="31"/>
  <c r="G22" i="31"/>
  <c r="F22" i="31"/>
  <c r="E22" i="31"/>
  <c r="D22" i="31"/>
  <c r="C22" i="31"/>
  <c r="B22" i="31"/>
  <c r="J21" i="31"/>
  <c r="I21" i="31"/>
  <c r="H21" i="31"/>
  <c r="G21" i="31"/>
  <c r="F21" i="31"/>
  <c r="E21" i="31"/>
  <c r="D21" i="31"/>
  <c r="C21" i="31"/>
  <c r="B21" i="31"/>
  <c r="J20" i="31"/>
  <c r="I20" i="31"/>
  <c r="H20" i="31"/>
  <c r="G20" i="31"/>
  <c r="F20" i="31"/>
  <c r="E20" i="31"/>
  <c r="D20" i="31"/>
  <c r="C20" i="31"/>
  <c r="B20" i="31"/>
  <c r="J19" i="31"/>
  <c r="I19" i="31"/>
  <c r="H19" i="31"/>
  <c r="G19" i="31"/>
  <c r="F19" i="31"/>
  <c r="E19" i="31"/>
  <c r="D19" i="31"/>
  <c r="C19" i="31"/>
  <c r="B19" i="31"/>
  <c r="J18" i="31"/>
  <c r="I18" i="31"/>
  <c r="H18" i="31"/>
  <c r="G18" i="31"/>
  <c r="F18" i="31"/>
  <c r="E18" i="31"/>
  <c r="D18" i="31"/>
  <c r="C18" i="31"/>
  <c r="B18" i="31"/>
  <c r="J17" i="31"/>
  <c r="I17" i="31"/>
  <c r="H17" i="31"/>
  <c r="G17" i="31"/>
  <c r="F17" i="31"/>
  <c r="E17" i="31"/>
  <c r="D17" i="31"/>
  <c r="C17" i="31"/>
  <c r="B17" i="31"/>
  <c r="J16" i="31"/>
  <c r="I16" i="31"/>
  <c r="H16" i="31"/>
  <c r="G16" i="31"/>
  <c r="F16" i="31"/>
  <c r="E16" i="31"/>
  <c r="D16" i="31"/>
  <c r="C16" i="31"/>
  <c r="B16" i="31"/>
  <c r="J15" i="31"/>
  <c r="I15" i="31"/>
  <c r="H15" i="31"/>
  <c r="G15" i="31"/>
  <c r="F15" i="31"/>
  <c r="E15" i="31"/>
  <c r="D15" i="31"/>
  <c r="C15" i="31"/>
  <c r="B15" i="31"/>
  <c r="J14" i="31"/>
  <c r="I14" i="31"/>
  <c r="H14" i="31"/>
  <c r="G14" i="31"/>
  <c r="F14" i="31"/>
  <c r="E14" i="31"/>
  <c r="D14" i="31"/>
  <c r="C14" i="31"/>
  <c r="B14" i="31"/>
  <c r="J13" i="31"/>
  <c r="I13" i="31"/>
  <c r="H13" i="31"/>
  <c r="G13" i="31"/>
  <c r="F13" i="31"/>
  <c r="E13" i="31"/>
  <c r="D13" i="31"/>
  <c r="C13" i="31"/>
  <c r="B13" i="31"/>
  <c r="J12" i="31"/>
  <c r="I12" i="31"/>
  <c r="H12" i="31"/>
  <c r="G12" i="31"/>
  <c r="F12" i="31"/>
  <c r="E12" i="31"/>
  <c r="D12" i="31"/>
  <c r="C12" i="31"/>
  <c r="B12" i="31"/>
  <c r="J11" i="31"/>
  <c r="I11" i="31"/>
  <c r="H11" i="31"/>
  <c r="G11" i="31"/>
  <c r="F11" i="31"/>
  <c r="E11" i="31"/>
  <c r="D11" i="31"/>
  <c r="C11" i="31"/>
  <c r="B11" i="31"/>
  <c r="J10" i="31"/>
  <c r="I10" i="31"/>
  <c r="H10" i="31"/>
  <c r="G10" i="31"/>
  <c r="F10" i="31"/>
  <c r="E10" i="31"/>
  <c r="D10" i="31"/>
  <c r="C10" i="31"/>
  <c r="B10" i="31"/>
  <c r="J9" i="31"/>
  <c r="I9" i="31"/>
  <c r="H9" i="31"/>
  <c r="G9" i="31"/>
  <c r="F9" i="31"/>
  <c r="E9" i="31"/>
  <c r="D9" i="31"/>
  <c r="C9" i="31"/>
  <c r="B9" i="31"/>
  <c r="J8" i="31"/>
  <c r="I8" i="31"/>
  <c r="H8" i="31"/>
  <c r="G8" i="31"/>
  <c r="F8" i="31"/>
  <c r="E8" i="31"/>
  <c r="D8" i="31"/>
  <c r="C8" i="31"/>
  <c r="B8" i="31"/>
  <c r="J7" i="31"/>
  <c r="I7" i="31"/>
  <c r="H7" i="31"/>
  <c r="G7" i="31"/>
  <c r="F7" i="31"/>
  <c r="E7" i="31"/>
  <c r="D7" i="31"/>
  <c r="C7" i="31"/>
  <c r="B7" i="31"/>
  <c r="J6" i="31"/>
  <c r="I6" i="31"/>
  <c r="H6" i="31"/>
  <c r="G6" i="31"/>
  <c r="F6" i="31"/>
  <c r="E6" i="31"/>
  <c r="D6" i="31"/>
  <c r="C6" i="31"/>
  <c r="B6" i="31"/>
  <c r="J5" i="31"/>
  <c r="I5" i="31"/>
  <c r="H5" i="31"/>
  <c r="G5" i="31"/>
  <c r="F5" i="31"/>
  <c r="E5" i="31"/>
  <c r="D5" i="31"/>
  <c r="C5" i="31"/>
  <c r="B5" i="31"/>
  <c r="A2" i="31"/>
  <c r="C93" i="53"/>
  <c r="D22" i="9" s="1"/>
  <c r="C87" i="53"/>
  <c r="K81" i="53"/>
  <c r="J81" i="53"/>
  <c r="I81" i="53"/>
  <c r="H81" i="53"/>
  <c r="G81" i="53"/>
  <c r="F81" i="53"/>
  <c r="E81" i="53"/>
  <c r="D81" i="53"/>
  <c r="C81" i="53"/>
  <c r="K80" i="53"/>
  <c r="K83" i="53" s="1"/>
  <c r="J80" i="53"/>
  <c r="I80" i="53"/>
  <c r="H80" i="53"/>
  <c r="G80" i="53"/>
  <c r="G85" i="53" s="1"/>
  <c r="F80" i="53"/>
  <c r="E80" i="53"/>
  <c r="D80" i="53"/>
  <c r="C80" i="53"/>
  <c r="C83" i="53" s="1"/>
  <c r="M79" i="53"/>
  <c r="L79" i="53"/>
  <c r="M78" i="53"/>
  <c r="L78" i="53"/>
  <c r="M77" i="53"/>
  <c r="L77" i="53"/>
  <c r="M76" i="53"/>
  <c r="L76" i="53"/>
  <c r="V75" i="53"/>
  <c r="U75" i="53"/>
  <c r="T75" i="53"/>
  <c r="S75" i="53"/>
  <c r="M75" i="53"/>
  <c r="L75" i="53"/>
  <c r="V74" i="53"/>
  <c r="U74" i="53"/>
  <c r="T74" i="53"/>
  <c r="S74" i="53"/>
  <c r="M74" i="53"/>
  <c r="L74" i="53"/>
  <c r="V73" i="53"/>
  <c r="U73" i="53"/>
  <c r="T73" i="53"/>
  <c r="S73" i="53"/>
  <c r="M73" i="53"/>
  <c r="L73" i="53"/>
  <c r="V72" i="53"/>
  <c r="U72" i="53"/>
  <c r="T72" i="53"/>
  <c r="S72" i="53"/>
  <c r="M72" i="53"/>
  <c r="L72" i="53"/>
  <c r="V71" i="53"/>
  <c r="U71" i="53"/>
  <c r="T71" i="53"/>
  <c r="S71" i="53"/>
  <c r="M71" i="53"/>
  <c r="L71" i="53"/>
  <c r="V70" i="53"/>
  <c r="U70" i="53"/>
  <c r="T70" i="53"/>
  <c r="S70" i="53"/>
  <c r="M70" i="53"/>
  <c r="L70" i="53"/>
  <c r="W69" i="53"/>
  <c r="X69" i="53" s="1"/>
  <c r="V69" i="53"/>
  <c r="U69" i="53"/>
  <c r="T69" i="53"/>
  <c r="S69" i="53"/>
  <c r="M69" i="53"/>
  <c r="L69" i="53"/>
  <c r="M68" i="53"/>
  <c r="L68" i="53"/>
  <c r="M67" i="53"/>
  <c r="L67" i="53"/>
  <c r="M66" i="53"/>
  <c r="L66" i="53"/>
  <c r="M65" i="53"/>
  <c r="L65" i="53"/>
  <c r="M64" i="53"/>
  <c r="L64" i="53"/>
  <c r="M63" i="53"/>
  <c r="L63" i="53"/>
  <c r="M62" i="53"/>
  <c r="L62" i="53"/>
  <c r="M61" i="53"/>
  <c r="L61" i="53"/>
  <c r="M60" i="53"/>
  <c r="L60" i="53"/>
  <c r="M59" i="53"/>
  <c r="L59" i="53"/>
  <c r="M58" i="53"/>
  <c r="L58" i="53"/>
  <c r="V57" i="53"/>
  <c r="U57" i="53"/>
  <c r="T57" i="53"/>
  <c r="S57" i="53"/>
  <c r="M57" i="53"/>
  <c r="L57" i="53"/>
  <c r="V56" i="53"/>
  <c r="U56" i="53"/>
  <c r="T56" i="53"/>
  <c r="S56" i="53"/>
  <c r="M56" i="53"/>
  <c r="L56" i="53"/>
  <c r="V55" i="53"/>
  <c r="U55" i="53"/>
  <c r="T55" i="53"/>
  <c r="S55" i="53"/>
  <c r="M55" i="53"/>
  <c r="L55" i="53"/>
  <c r="V54" i="53"/>
  <c r="U54" i="53"/>
  <c r="T54" i="53"/>
  <c r="S54" i="53"/>
  <c r="M54" i="53"/>
  <c r="L54" i="53"/>
  <c r="V53" i="53"/>
  <c r="U53" i="53"/>
  <c r="T53" i="53"/>
  <c r="S53" i="53"/>
  <c r="M53" i="53"/>
  <c r="L53" i="53"/>
  <c r="V52" i="53"/>
  <c r="U52" i="53"/>
  <c r="T52" i="53"/>
  <c r="S52" i="53"/>
  <c r="M52" i="53"/>
  <c r="L52" i="53"/>
  <c r="V51" i="53"/>
  <c r="U51" i="53"/>
  <c r="T51" i="53"/>
  <c r="S51" i="53"/>
  <c r="M51" i="53"/>
  <c r="L51" i="53"/>
  <c r="M50" i="53"/>
  <c r="L50" i="53"/>
  <c r="C46" i="53"/>
  <c r="D11" i="9" s="1"/>
  <c r="C40" i="53"/>
  <c r="D5" i="9" s="1"/>
  <c r="K34" i="53"/>
  <c r="J34" i="53"/>
  <c r="I34" i="53"/>
  <c r="H34" i="53"/>
  <c r="G34" i="53"/>
  <c r="F34" i="53"/>
  <c r="E34" i="53"/>
  <c r="D34" i="53"/>
  <c r="C34" i="53"/>
  <c r="K33" i="53"/>
  <c r="J33" i="53"/>
  <c r="I33" i="53"/>
  <c r="H33" i="53"/>
  <c r="G33" i="53"/>
  <c r="G38" i="53" s="1"/>
  <c r="F33" i="53"/>
  <c r="F36" i="53" s="1"/>
  <c r="E33" i="53"/>
  <c r="D33" i="53"/>
  <c r="C33" i="53"/>
  <c r="C36" i="53" s="1"/>
  <c r="M32" i="53"/>
  <c r="L32" i="53"/>
  <c r="M31" i="53"/>
  <c r="L31" i="53"/>
  <c r="M30" i="53"/>
  <c r="L30" i="53"/>
  <c r="M29" i="53"/>
  <c r="L29" i="53"/>
  <c r="V28" i="53"/>
  <c r="U28" i="53"/>
  <c r="D99" i="34" s="1"/>
  <c r="T28" i="53"/>
  <c r="C99" i="34" s="1"/>
  <c r="S28" i="53"/>
  <c r="M28" i="53"/>
  <c r="L28" i="53"/>
  <c r="V27" i="53"/>
  <c r="U27" i="53"/>
  <c r="D98" i="34" s="1"/>
  <c r="T27" i="53"/>
  <c r="C98" i="34" s="1"/>
  <c r="S27" i="53"/>
  <c r="M27" i="53"/>
  <c r="L27" i="53"/>
  <c r="V26" i="53"/>
  <c r="U26" i="53"/>
  <c r="D97" i="34" s="1"/>
  <c r="T26" i="53"/>
  <c r="C97" i="34" s="1"/>
  <c r="S26" i="53"/>
  <c r="M26" i="53"/>
  <c r="L26" i="53"/>
  <c r="V25" i="53"/>
  <c r="U25" i="53"/>
  <c r="D96" i="34" s="1"/>
  <c r="T25" i="53"/>
  <c r="C96" i="34" s="1"/>
  <c r="S25" i="53"/>
  <c r="M25" i="53"/>
  <c r="L25" i="53"/>
  <c r="V24" i="53"/>
  <c r="U24" i="53"/>
  <c r="D95" i="34" s="1"/>
  <c r="T24" i="53"/>
  <c r="C95" i="34" s="1"/>
  <c r="S24" i="53"/>
  <c r="M24" i="53"/>
  <c r="L24" i="53"/>
  <c r="V23" i="53"/>
  <c r="U23" i="53"/>
  <c r="D94" i="34" s="1"/>
  <c r="T23" i="53"/>
  <c r="S23" i="53"/>
  <c r="M23" i="53"/>
  <c r="L23" i="53"/>
  <c r="V22" i="53"/>
  <c r="U22" i="53"/>
  <c r="D93" i="34" s="1"/>
  <c r="T22" i="53"/>
  <c r="S22" i="53"/>
  <c r="M22" i="53"/>
  <c r="L22" i="53"/>
  <c r="M21" i="53"/>
  <c r="L21" i="53"/>
  <c r="M20" i="53"/>
  <c r="L20" i="53"/>
  <c r="M19" i="53"/>
  <c r="L19" i="53"/>
  <c r="M18" i="53"/>
  <c r="L18" i="53"/>
  <c r="M17" i="53"/>
  <c r="L17" i="53"/>
  <c r="M16" i="53"/>
  <c r="L16" i="53"/>
  <c r="M15" i="53"/>
  <c r="L15" i="53"/>
  <c r="M14" i="53"/>
  <c r="L14" i="53"/>
  <c r="M13" i="53"/>
  <c r="L13" i="53"/>
  <c r="M12" i="53"/>
  <c r="L12" i="53"/>
  <c r="M11" i="53"/>
  <c r="L11" i="53"/>
  <c r="V10" i="53"/>
  <c r="E82" i="34" s="1"/>
  <c r="U10" i="53"/>
  <c r="D82" i="34" s="1"/>
  <c r="T10" i="53"/>
  <c r="S10" i="53"/>
  <c r="M10" i="53"/>
  <c r="L10" i="53"/>
  <c r="V9" i="53"/>
  <c r="U9" i="53"/>
  <c r="D81" i="34" s="1"/>
  <c r="T9" i="53"/>
  <c r="C81" i="34" s="1"/>
  <c r="S9" i="53"/>
  <c r="M9" i="53"/>
  <c r="L9" i="53"/>
  <c r="V8" i="53"/>
  <c r="U8" i="53"/>
  <c r="D80" i="34" s="1"/>
  <c r="T8" i="53"/>
  <c r="C80" i="34" s="1"/>
  <c r="S8" i="53"/>
  <c r="M8" i="53"/>
  <c r="L8" i="53"/>
  <c r="V7" i="53"/>
  <c r="U7" i="53"/>
  <c r="D79" i="34" s="1"/>
  <c r="T7" i="53"/>
  <c r="C79" i="34" s="1"/>
  <c r="S7" i="53"/>
  <c r="M7" i="53"/>
  <c r="L7" i="53"/>
  <c r="V6" i="53"/>
  <c r="U6" i="53"/>
  <c r="D78" i="34" s="1"/>
  <c r="T6" i="53"/>
  <c r="C78" i="34" s="1"/>
  <c r="S6" i="53"/>
  <c r="M6" i="53"/>
  <c r="L6" i="53"/>
  <c r="V5" i="53"/>
  <c r="E77" i="34" s="1"/>
  <c r="U5" i="53"/>
  <c r="D77" i="34" s="1"/>
  <c r="T5" i="53"/>
  <c r="S5" i="53"/>
  <c r="M5" i="53"/>
  <c r="L5" i="53"/>
  <c r="V4" i="53"/>
  <c r="E76" i="34" s="1"/>
  <c r="U4" i="53"/>
  <c r="D76" i="34" s="1"/>
  <c r="T4" i="53"/>
  <c r="S4" i="53"/>
  <c r="M4" i="53"/>
  <c r="L4" i="53"/>
  <c r="M3" i="53"/>
  <c r="L3" i="53"/>
  <c r="C93" i="52"/>
  <c r="E22" i="9" s="1"/>
  <c r="C87" i="52"/>
  <c r="K81" i="52"/>
  <c r="J81" i="52"/>
  <c r="I81" i="52"/>
  <c r="H81" i="52"/>
  <c r="G81" i="52"/>
  <c r="F81" i="52"/>
  <c r="E81" i="52"/>
  <c r="D81" i="52"/>
  <c r="C81" i="52"/>
  <c r="K80" i="52"/>
  <c r="K83" i="52" s="1"/>
  <c r="J80" i="52"/>
  <c r="I80" i="52"/>
  <c r="H80" i="52"/>
  <c r="G80" i="52"/>
  <c r="G85" i="52" s="1"/>
  <c r="F80" i="52"/>
  <c r="E80" i="52"/>
  <c r="E82" i="52" s="1"/>
  <c r="D80" i="52"/>
  <c r="D83" i="52" s="1"/>
  <c r="C80" i="52"/>
  <c r="C83" i="52" s="1"/>
  <c r="M79" i="52"/>
  <c r="L79" i="52"/>
  <c r="M78" i="52"/>
  <c r="L78" i="52"/>
  <c r="M77" i="52"/>
  <c r="L77" i="52"/>
  <c r="M76" i="52"/>
  <c r="L76" i="52"/>
  <c r="V75" i="52"/>
  <c r="W75" i="52" s="1"/>
  <c r="X75" i="52" s="1"/>
  <c r="U75" i="52"/>
  <c r="T75" i="52"/>
  <c r="S75" i="52"/>
  <c r="M75" i="52"/>
  <c r="L75" i="52"/>
  <c r="V74" i="52"/>
  <c r="U74" i="52"/>
  <c r="T74" i="52"/>
  <c r="W74" i="52" s="1"/>
  <c r="X74" i="52" s="1"/>
  <c r="S74" i="52"/>
  <c r="M74" i="52"/>
  <c r="L74" i="52"/>
  <c r="V73" i="52"/>
  <c r="U73" i="52"/>
  <c r="T73" i="52"/>
  <c r="S73" i="52"/>
  <c r="M73" i="52"/>
  <c r="L73" i="52"/>
  <c r="V72" i="52"/>
  <c r="U72" i="52"/>
  <c r="T72" i="52"/>
  <c r="S72" i="52"/>
  <c r="M72" i="52"/>
  <c r="L72" i="52"/>
  <c r="V71" i="52"/>
  <c r="U71" i="52"/>
  <c r="T71" i="52"/>
  <c r="W71" i="52" s="1"/>
  <c r="X71" i="52" s="1"/>
  <c r="S71" i="52"/>
  <c r="M71" i="52"/>
  <c r="L71" i="52"/>
  <c r="V70" i="52"/>
  <c r="U70" i="52"/>
  <c r="T70" i="52"/>
  <c r="W70" i="52" s="1"/>
  <c r="X70" i="52" s="1"/>
  <c r="S70" i="52"/>
  <c r="M70" i="52"/>
  <c r="L70" i="52"/>
  <c r="V69" i="52"/>
  <c r="U69" i="52"/>
  <c r="T69" i="52"/>
  <c r="S69" i="52"/>
  <c r="M69" i="52"/>
  <c r="L69" i="52"/>
  <c r="M68" i="52"/>
  <c r="L68" i="52"/>
  <c r="M67" i="52"/>
  <c r="L67" i="52"/>
  <c r="M66" i="52"/>
  <c r="L66" i="52"/>
  <c r="M65" i="52"/>
  <c r="L65" i="52"/>
  <c r="M64" i="52"/>
  <c r="L64" i="52"/>
  <c r="M63" i="52"/>
  <c r="L63" i="52"/>
  <c r="M62" i="52"/>
  <c r="L62" i="52"/>
  <c r="M61" i="52"/>
  <c r="L61" i="52"/>
  <c r="M60" i="52"/>
  <c r="L60" i="52"/>
  <c r="M59" i="52"/>
  <c r="L59" i="52"/>
  <c r="M58" i="52"/>
  <c r="L58" i="52"/>
  <c r="V57" i="52"/>
  <c r="U57" i="52"/>
  <c r="T57" i="52"/>
  <c r="S57" i="52"/>
  <c r="M57" i="52"/>
  <c r="L57" i="52"/>
  <c r="V56" i="52"/>
  <c r="U56" i="52"/>
  <c r="T56" i="52"/>
  <c r="S56" i="52"/>
  <c r="M56" i="52"/>
  <c r="L56" i="52"/>
  <c r="V55" i="52"/>
  <c r="U55" i="52"/>
  <c r="T55" i="52"/>
  <c r="S55" i="52"/>
  <c r="M55" i="52"/>
  <c r="L55" i="52"/>
  <c r="V54" i="52"/>
  <c r="U54" i="52"/>
  <c r="T54" i="52"/>
  <c r="S54" i="52"/>
  <c r="M54" i="52"/>
  <c r="L54" i="52"/>
  <c r="V53" i="52"/>
  <c r="U53" i="52"/>
  <c r="T53" i="52"/>
  <c r="S53" i="52"/>
  <c r="M53" i="52"/>
  <c r="L53" i="52"/>
  <c r="V52" i="52"/>
  <c r="U52" i="52"/>
  <c r="T52" i="52"/>
  <c r="S52" i="52"/>
  <c r="M52" i="52"/>
  <c r="L52" i="52"/>
  <c r="V51" i="52"/>
  <c r="U51" i="52"/>
  <c r="T51" i="52"/>
  <c r="S51" i="52"/>
  <c r="M51" i="52"/>
  <c r="L51" i="52"/>
  <c r="M50" i="52"/>
  <c r="L50" i="52"/>
  <c r="C46" i="52"/>
  <c r="E11" i="9" s="1"/>
  <c r="C40" i="52"/>
  <c r="E5" i="9" s="1"/>
  <c r="K34" i="52"/>
  <c r="J34" i="52"/>
  <c r="I34" i="52"/>
  <c r="H34" i="52"/>
  <c r="G34" i="52"/>
  <c r="F34" i="52"/>
  <c r="E34" i="52"/>
  <c r="D34" i="52"/>
  <c r="C34" i="52"/>
  <c r="K33" i="52"/>
  <c r="J33" i="52"/>
  <c r="I33" i="52"/>
  <c r="H33" i="52"/>
  <c r="H35" i="52" s="1"/>
  <c r="G33" i="52"/>
  <c r="G36" i="52" s="1"/>
  <c r="F33" i="52"/>
  <c r="F36" i="52" s="1"/>
  <c r="E33" i="52"/>
  <c r="D33" i="52"/>
  <c r="D38" i="52" s="1"/>
  <c r="C33" i="52"/>
  <c r="M32" i="52"/>
  <c r="L32" i="52"/>
  <c r="M31" i="52"/>
  <c r="L31" i="52"/>
  <c r="M30" i="52"/>
  <c r="L30" i="52"/>
  <c r="M29" i="52"/>
  <c r="L29" i="52"/>
  <c r="V28" i="52"/>
  <c r="U28" i="52"/>
  <c r="D172" i="34" s="1"/>
  <c r="T28" i="52"/>
  <c r="C172" i="34" s="1"/>
  <c r="S28" i="52"/>
  <c r="M28" i="52"/>
  <c r="L28" i="52"/>
  <c r="V27" i="52"/>
  <c r="U27" i="52"/>
  <c r="D171" i="34" s="1"/>
  <c r="T27" i="52"/>
  <c r="C171" i="34" s="1"/>
  <c r="S27" i="52"/>
  <c r="M27" i="52"/>
  <c r="L27" i="52"/>
  <c r="V26" i="52"/>
  <c r="U26" i="52"/>
  <c r="D170" i="34" s="1"/>
  <c r="T26" i="52"/>
  <c r="C170" i="34" s="1"/>
  <c r="S26" i="52"/>
  <c r="M26" i="52"/>
  <c r="L26" i="52"/>
  <c r="V25" i="52"/>
  <c r="U25" i="52"/>
  <c r="D169" i="34" s="1"/>
  <c r="T25" i="52"/>
  <c r="C169" i="34" s="1"/>
  <c r="S25" i="52"/>
  <c r="M25" i="52"/>
  <c r="L25" i="52"/>
  <c r="V24" i="52"/>
  <c r="U24" i="52"/>
  <c r="D168" i="34" s="1"/>
  <c r="T24" i="52"/>
  <c r="C168" i="34" s="1"/>
  <c r="S24" i="52"/>
  <c r="M24" i="52"/>
  <c r="L24" i="52"/>
  <c r="V23" i="52"/>
  <c r="U23" i="52"/>
  <c r="D167" i="34" s="1"/>
  <c r="T23" i="52"/>
  <c r="C167" i="34" s="1"/>
  <c r="S23" i="52"/>
  <c r="M23" i="52"/>
  <c r="L23" i="52"/>
  <c r="V22" i="52"/>
  <c r="U22" i="52"/>
  <c r="D166" i="34" s="1"/>
  <c r="T22" i="52"/>
  <c r="C166" i="34" s="1"/>
  <c r="S22" i="52"/>
  <c r="M22" i="52"/>
  <c r="L22" i="52"/>
  <c r="M21" i="52"/>
  <c r="L21" i="52"/>
  <c r="M20" i="52"/>
  <c r="L20" i="52"/>
  <c r="M19" i="52"/>
  <c r="L19" i="52"/>
  <c r="M18" i="52"/>
  <c r="L18" i="52"/>
  <c r="M17" i="52"/>
  <c r="L17" i="52"/>
  <c r="M16" i="52"/>
  <c r="L16" i="52"/>
  <c r="M15" i="52"/>
  <c r="L15" i="52"/>
  <c r="M14" i="52"/>
  <c r="L14" i="52"/>
  <c r="M13" i="52"/>
  <c r="L13" i="52"/>
  <c r="M12" i="52"/>
  <c r="L12" i="52"/>
  <c r="M11" i="52"/>
  <c r="L11" i="52"/>
  <c r="V10" i="52"/>
  <c r="E155" i="34" s="1"/>
  <c r="U10" i="52"/>
  <c r="D155" i="34" s="1"/>
  <c r="T10" i="52"/>
  <c r="W10" i="52" s="1"/>
  <c r="S10" i="52"/>
  <c r="M10" i="52"/>
  <c r="L10" i="52"/>
  <c r="W9" i="52"/>
  <c r="V9" i="52"/>
  <c r="E154" i="34" s="1"/>
  <c r="U9" i="52"/>
  <c r="D154" i="34" s="1"/>
  <c r="T9" i="52"/>
  <c r="C154" i="34" s="1"/>
  <c r="S9" i="52"/>
  <c r="M9" i="52"/>
  <c r="L9" i="52"/>
  <c r="V8" i="52"/>
  <c r="E153" i="34" s="1"/>
  <c r="U8" i="52"/>
  <c r="D153" i="34" s="1"/>
  <c r="T8" i="52"/>
  <c r="C153" i="34" s="1"/>
  <c r="S8" i="52"/>
  <c r="M8" i="52"/>
  <c r="L8" i="52"/>
  <c r="V7" i="52"/>
  <c r="E152" i="34" s="1"/>
  <c r="U7" i="52"/>
  <c r="D152" i="34" s="1"/>
  <c r="T7" i="52"/>
  <c r="C152" i="34" s="1"/>
  <c r="S7" i="52"/>
  <c r="M7" i="52"/>
  <c r="L7" i="52"/>
  <c r="V6" i="52"/>
  <c r="E151" i="34" s="1"/>
  <c r="U6" i="52"/>
  <c r="D151" i="34" s="1"/>
  <c r="T6" i="52"/>
  <c r="C151" i="34" s="1"/>
  <c r="S6" i="52"/>
  <c r="M6" i="52"/>
  <c r="L6" i="52"/>
  <c r="V5" i="52"/>
  <c r="E150" i="34" s="1"/>
  <c r="U5" i="52"/>
  <c r="D150" i="34" s="1"/>
  <c r="T5" i="52"/>
  <c r="S5" i="52"/>
  <c r="M5" i="52"/>
  <c r="L5" i="52"/>
  <c r="V4" i="52"/>
  <c r="E149" i="34" s="1"/>
  <c r="U4" i="52"/>
  <c r="D149" i="34" s="1"/>
  <c r="T4" i="52"/>
  <c r="S4" i="52"/>
  <c r="M4" i="52"/>
  <c r="L4" i="52"/>
  <c r="M3" i="52"/>
  <c r="L3" i="52"/>
  <c r="C93" i="51"/>
  <c r="F22" i="9" s="1"/>
  <c r="C87" i="51"/>
  <c r="K81" i="51"/>
  <c r="J81" i="51"/>
  <c r="I81" i="51"/>
  <c r="H81" i="51"/>
  <c r="G81" i="51"/>
  <c r="F81" i="51"/>
  <c r="E81" i="51"/>
  <c r="D81" i="51"/>
  <c r="C81" i="51"/>
  <c r="K80" i="51"/>
  <c r="K82" i="51" s="1"/>
  <c r="J80" i="51"/>
  <c r="I80" i="51"/>
  <c r="H80" i="51"/>
  <c r="G80" i="51"/>
  <c r="G85" i="51" s="1"/>
  <c r="F80" i="51"/>
  <c r="F83" i="51" s="1"/>
  <c r="E80" i="51"/>
  <c r="E82" i="51" s="1"/>
  <c r="D80" i="51"/>
  <c r="D83" i="51" s="1"/>
  <c r="C80" i="51"/>
  <c r="C82" i="51" s="1"/>
  <c r="M79" i="51"/>
  <c r="L79" i="51"/>
  <c r="M78" i="51"/>
  <c r="L78" i="51"/>
  <c r="M77" i="51"/>
  <c r="L77" i="51"/>
  <c r="M76" i="51"/>
  <c r="L76" i="51"/>
  <c r="V75" i="51"/>
  <c r="U75" i="51"/>
  <c r="T75" i="51"/>
  <c r="W75" i="51" s="1"/>
  <c r="X75" i="51" s="1"/>
  <c r="S75" i="51"/>
  <c r="M75" i="51"/>
  <c r="L75" i="51"/>
  <c r="V74" i="51"/>
  <c r="U74" i="51"/>
  <c r="T74" i="51"/>
  <c r="S74" i="51"/>
  <c r="M74" i="51"/>
  <c r="L74" i="51"/>
  <c r="V73" i="51"/>
  <c r="U73" i="51"/>
  <c r="T73" i="51"/>
  <c r="W73" i="51" s="1"/>
  <c r="X73" i="51" s="1"/>
  <c r="S73" i="51"/>
  <c r="M73" i="51"/>
  <c r="L73" i="51"/>
  <c r="V72" i="51"/>
  <c r="U72" i="51"/>
  <c r="T72" i="51"/>
  <c r="S72" i="51"/>
  <c r="M72" i="51"/>
  <c r="L72" i="51"/>
  <c r="V71" i="51"/>
  <c r="U71" i="51"/>
  <c r="T71" i="51"/>
  <c r="W71" i="51" s="1"/>
  <c r="X71" i="51" s="1"/>
  <c r="S71" i="51"/>
  <c r="M71" i="51"/>
  <c r="L71" i="51"/>
  <c r="V70" i="51"/>
  <c r="U70" i="51"/>
  <c r="T70" i="51"/>
  <c r="S70" i="51"/>
  <c r="M70" i="51"/>
  <c r="L70" i="51"/>
  <c r="V69" i="51"/>
  <c r="U69" i="51"/>
  <c r="T69" i="51"/>
  <c r="W69" i="51" s="1"/>
  <c r="X69" i="51" s="1"/>
  <c r="S69" i="51"/>
  <c r="M69" i="51"/>
  <c r="L69" i="51"/>
  <c r="M68" i="51"/>
  <c r="L68" i="51"/>
  <c r="M67" i="51"/>
  <c r="L67" i="51"/>
  <c r="M66" i="51"/>
  <c r="L66" i="51"/>
  <c r="M65" i="51"/>
  <c r="L65" i="51"/>
  <c r="M64" i="51"/>
  <c r="L64" i="51"/>
  <c r="M63" i="51"/>
  <c r="L63" i="51"/>
  <c r="M62" i="51"/>
  <c r="L62" i="51"/>
  <c r="M61" i="51"/>
  <c r="L61" i="51"/>
  <c r="M60" i="51"/>
  <c r="L60" i="51"/>
  <c r="M59" i="51"/>
  <c r="L59" i="51"/>
  <c r="M58" i="51"/>
  <c r="L58" i="51"/>
  <c r="V57" i="51"/>
  <c r="U57" i="51"/>
  <c r="T57" i="51"/>
  <c r="S57" i="51"/>
  <c r="M57" i="51"/>
  <c r="L57" i="51"/>
  <c r="V56" i="51"/>
  <c r="U56" i="51"/>
  <c r="T56" i="51"/>
  <c r="S56" i="51"/>
  <c r="M56" i="51"/>
  <c r="L56" i="51"/>
  <c r="V55" i="51"/>
  <c r="U55" i="51"/>
  <c r="T55" i="51"/>
  <c r="S55" i="51"/>
  <c r="M55" i="51"/>
  <c r="L55" i="51"/>
  <c r="V54" i="51"/>
  <c r="U54" i="51"/>
  <c r="T54" i="51"/>
  <c r="S54" i="51"/>
  <c r="M54" i="51"/>
  <c r="L54" i="51"/>
  <c r="V53" i="51"/>
  <c r="U53" i="51"/>
  <c r="T53" i="51"/>
  <c r="S53" i="51"/>
  <c r="M53" i="51"/>
  <c r="L53" i="51"/>
  <c r="V52" i="51"/>
  <c r="U52" i="51"/>
  <c r="T52" i="51"/>
  <c r="W52" i="51" s="1"/>
  <c r="S52" i="51"/>
  <c r="M52" i="51"/>
  <c r="L52" i="51"/>
  <c r="V51" i="51"/>
  <c r="U51" i="51"/>
  <c r="T51" i="51"/>
  <c r="S51" i="51"/>
  <c r="M51" i="51"/>
  <c r="L51" i="51"/>
  <c r="M50" i="51"/>
  <c r="L50" i="51"/>
  <c r="C46" i="51"/>
  <c r="F11" i="9" s="1"/>
  <c r="C40" i="51"/>
  <c r="F5" i="9" s="1"/>
  <c r="K34" i="51"/>
  <c r="J34" i="51"/>
  <c r="I34" i="51"/>
  <c r="H34" i="51"/>
  <c r="G34" i="51"/>
  <c r="F34" i="51"/>
  <c r="E34" i="51"/>
  <c r="D34" i="51"/>
  <c r="C34" i="51"/>
  <c r="K33" i="51"/>
  <c r="K35" i="51" s="1"/>
  <c r="J33" i="51"/>
  <c r="I33" i="51"/>
  <c r="I35" i="51" s="1"/>
  <c r="H33" i="51"/>
  <c r="H35" i="51" s="1"/>
  <c r="G33" i="51"/>
  <c r="G36" i="51" s="1"/>
  <c r="F33" i="51"/>
  <c r="F35" i="51" s="1"/>
  <c r="E33" i="51"/>
  <c r="D33" i="51"/>
  <c r="C33" i="51"/>
  <c r="C35" i="51" s="1"/>
  <c r="M32" i="51"/>
  <c r="L32" i="51"/>
  <c r="M31" i="51"/>
  <c r="L31" i="51"/>
  <c r="M30" i="51"/>
  <c r="L30" i="51"/>
  <c r="M29" i="51"/>
  <c r="L29" i="51"/>
  <c r="V28" i="51"/>
  <c r="E245" i="34" s="1"/>
  <c r="U28" i="51"/>
  <c r="D245" i="34" s="1"/>
  <c r="T28" i="51"/>
  <c r="S28" i="51"/>
  <c r="M28" i="51"/>
  <c r="L28" i="51"/>
  <c r="V27" i="51"/>
  <c r="E244" i="34" s="1"/>
  <c r="U27" i="51"/>
  <c r="D244" i="34" s="1"/>
  <c r="T27" i="51"/>
  <c r="S27" i="51"/>
  <c r="M27" i="51"/>
  <c r="L27" i="51"/>
  <c r="V26" i="51"/>
  <c r="E243" i="34" s="1"/>
  <c r="U26" i="51"/>
  <c r="D243" i="34" s="1"/>
  <c r="T26" i="51"/>
  <c r="S26" i="51"/>
  <c r="M26" i="51"/>
  <c r="L26" i="51"/>
  <c r="V25" i="51"/>
  <c r="E242" i="34" s="1"/>
  <c r="U25" i="51"/>
  <c r="D242" i="34" s="1"/>
  <c r="T25" i="51"/>
  <c r="S25" i="51"/>
  <c r="M25" i="51"/>
  <c r="L25" i="51"/>
  <c r="V24" i="51"/>
  <c r="E241" i="34" s="1"/>
  <c r="U24" i="51"/>
  <c r="D241" i="34" s="1"/>
  <c r="T24" i="51"/>
  <c r="S24" i="51"/>
  <c r="M24" i="51"/>
  <c r="L24" i="51"/>
  <c r="V23" i="51"/>
  <c r="E240" i="34" s="1"/>
  <c r="U23" i="51"/>
  <c r="D240" i="34" s="1"/>
  <c r="T23" i="51"/>
  <c r="S23" i="51"/>
  <c r="M23" i="51"/>
  <c r="L23" i="51"/>
  <c r="V22" i="51"/>
  <c r="E239" i="34" s="1"/>
  <c r="U22" i="51"/>
  <c r="D239" i="34" s="1"/>
  <c r="T22" i="51"/>
  <c r="S22" i="51"/>
  <c r="M22" i="51"/>
  <c r="L22" i="51"/>
  <c r="M21" i="51"/>
  <c r="L21" i="51"/>
  <c r="M20" i="51"/>
  <c r="L20" i="51"/>
  <c r="M19" i="51"/>
  <c r="L19" i="51"/>
  <c r="M18" i="51"/>
  <c r="L18" i="51"/>
  <c r="M17" i="51"/>
  <c r="L17" i="51"/>
  <c r="M16" i="51"/>
  <c r="L16" i="51"/>
  <c r="M15" i="51"/>
  <c r="L15" i="51"/>
  <c r="M14" i="51"/>
  <c r="L14" i="51"/>
  <c r="M13" i="51"/>
  <c r="L13" i="51"/>
  <c r="M12" i="51"/>
  <c r="L12" i="51"/>
  <c r="M11" i="51"/>
  <c r="L11" i="51"/>
  <c r="V10" i="51"/>
  <c r="E228" i="34" s="1"/>
  <c r="U10" i="51"/>
  <c r="D228" i="34" s="1"/>
  <c r="T10" i="51"/>
  <c r="S10" i="51"/>
  <c r="M10" i="51"/>
  <c r="L10" i="51"/>
  <c r="V9" i="51"/>
  <c r="E227" i="34" s="1"/>
  <c r="U9" i="51"/>
  <c r="D227" i="34" s="1"/>
  <c r="T9" i="51"/>
  <c r="S9" i="51"/>
  <c r="M9" i="51"/>
  <c r="L9" i="51"/>
  <c r="V8" i="51"/>
  <c r="E226" i="34" s="1"/>
  <c r="U8" i="51"/>
  <c r="D226" i="34" s="1"/>
  <c r="T8" i="51"/>
  <c r="S8" i="51"/>
  <c r="M8" i="51"/>
  <c r="L8" i="51"/>
  <c r="V7" i="51"/>
  <c r="E225" i="34" s="1"/>
  <c r="U7" i="51"/>
  <c r="D225" i="34" s="1"/>
  <c r="T7" i="51"/>
  <c r="S7" i="51"/>
  <c r="M7" i="51"/>
  <c r="L7" i="51"/>
  <c r="V6" i="51"/>
  <c r="E224" i="34" s="1"/>
  <c r="U6" i="51"/>
  <c r="D224" i="34" s="1"/>
  <c r="T6" i="51"/>
  <c r="S6" i="51"/>
  <c r="M6" i="51"/>
  <c r="L6" i="51"/>
  <c r="V5" i="51"/>
  <c r="E223" i="34" s="1"/>
  <c r="U5" i="51"/>
  <c r="D223" i="34" s="1"/>
  <c r="T5" i="51"/>
  <c r="S5" i="51"/>
  <c r="M5" i="51"/>
  <c r="L5" i="51"/>
  <c r="V4" i="51"/>
  <c r="E222" i="34" s="1"/>
  <c r="U4" i="51"/>
  <c r="D222" i="34" s="1"/>
  <c r="T4" i="51"/>
  <c r="S4" i="51"/>
  <c r="M4" i="51"/>
  <c r="L4" i="51"/>
  <c r="M3" i="51"/>
  <c r="L3" i="51"/>
  <c r="C93" i="50"/>
  <c r="G22" i="9" s="1"/>
  <c r="C87" i="50"/>
  <c r="K81" i="50"/>
  <c r="J81" i="50"/>
  <c r="I81" i="50"/>
  <c r="H81" i="50"/>
  <c r="G81" i="50"/>
  <c r="F81" i="50"/>
  <c r="E81" i="50"/>
  <c r="D81" i="50"/>
  <c r="C81" i="50"/>
  <c r="K80" i="50"/>
  <c r="K83" i="50" s="1"/>
  <c r="J80" i="50"/>
  <c r="I80" i="50"/>
  <c r="H80" i="50"/>
  <c r="H83" i="50" s="1"/>
  <c r="G80" i="50"/>
  <c r="G85" i="50" s="1"/>
  <c r="F80" i="50"/>
  <c r="E80" i="50"/>
  <c r="E85" i="50" s="1"/>
  <c r="D80" i="50"/>
  <c r="D83" i="50" s="1"/>
  <c r="C80" i="50"/>
  <c r="C83" i="50" s="1"/>
  <c r="M79" i="50"/>
  <c r="L79" i="50"/>
  <c r="M78" i="50"/>
  <c r="L78" i="50"/>
  <c r="M77" i="50"/>
  <c r="L77" i="50"/>
  <c r="M76" i="50"/>
  <c r="L76" i="50"/>
  <c r="V75" i="50"/>
  <c r="U75" i="50"/>
  <c r="T75" i="50"/>
  <c r="S75" i="50"/>
  <c r="M75" i="50"/>
  <c r="L75" i="50"/>
  <c r="V74" i="50"/>
  <c r="U74" i="50"/>
  <c r="T74" i="50"/>
  <c r="W74" i="50" s="1"/>
  <c r="X74" i="50" s="1"/>
  <c r="S74" i="50"/>
  <c r="M74" i="50"/>
  <c r="L74" i="50"/>
  <c r="V73" i="50"/>
  <c r="U73" i="50"/>
  <c r="T73" i="50"/>
  <c r="S73" i="50"/>
  <c r="M73" i="50"/>
  <c r="L73" i="50"/>
  <c r="V72" i="50"/>
  <c r="U72" i="50"/>
  <c r="T72" i="50"/>
  <c r="S72" i="50"/>
  <c r="M72" i="50"/>
  <c r="L72" i="50"/>
  <c r="V71" i="50"/>
  <c r="U71" i="50"/>
  <c r="T71" i="50"/>
  <c r="S71" i="50"/>
  <c r="M71" i="50"/>
  <c r="L71" i="50"/>
  <c r="V70" i="50"/>
  <c r="U70" i="50"/>
  <c r="T70" i="50"/>
  <c r="S70" i="50"/>
  <c r="M70" i="50"/>
  <c r="L70" i="50"/>
  <c r="V69" i="50"/>
  <c r="U69" i="50"/>
  <c r="T69" i="50"/>
  <c r="W69" i="50" s="1"/>
  <c r="X69" i="50" s="1"/>
  <c r="S69" i="50"/>
  <c r="M69" i="50"/>
  <c r="L69" i="50"/>
  <c r="M68" i="50"/>
  <c r="L68" i="50"/>
  <c r="M67" i="50"/>
  <c r="L67" i="50"/>
  <c r="M66" i="50"/>
  <c r="L66" i="50"/>
  <c r="M65" i="50"/>
  <c r="L65" i="50"/>
  <c r="M64" i="50"/>
  <c r="L64" i="50"/>
  <c r="M63" i="50"/>
  <c r="L63" i="50"/>
  <c r="M62" i="50"/>
  <c r="L62" i="50"/>
  <c r="M61" i="50"/>
  <c r="L61" i="50"/>
  <c r="M60" i="50"/>
  <c r="L60" i="50"/>
  <c r="M59" i="50"/>
  <c r="L59" i="50"/>
  <c r="M58" i="50"/>
  <c r="L58" i="50"/>
  <c r="V57" i="50"/>
  <c r="U57" i="50"/>
  <c r="T57" i="50"/>
  <c r="S57" i="50"/>
  <c r="M57" i="50"/>
  <c r="L57" i="50"/>
  <c r="V56" i="50"/>
  <c r="U56" i="50"/>
  <c r="T56" i="50"/>
  <c r="S56" i="50"/>
  <c r="M56" i="50"/>
  <c r="L56" i="50"/>
  <c r="V55" i="50"/>
  <c r="U55" i="50"/>
  <c r="T55" i="50"/>
  <c r="S55" i="50"/>
  <c r="M55" i="50"/>
  <c r="L55" i="50"/>
  <c r="V54" i="50"/>
  <c r="U54" i="50"/>
  <c r="T54" i="50"/>
  <c r="S54" i="50"/>
  <c r="M54" i="50"/>
  <c r="L54" i="50"/>
  <c r="V53" i="50"/>
  <c r="U53" i="50"/>
  <c r="T53" i="50"/>
  <c r="S53" i="50"/>
  <c r="M53" i="50"/>
  <c r="L53" i="50"/>
  <c r="V52" i="50"/>
  <c r="U52" i="50"/>
  <c r="T52" i="50"/>
  <c r="S52" i="50"/>
  <c r="M52" i="50"/>
  <c r="L52" i="50"/>
  <c r="V51" i="50"/>
  <c r="U51" i="50"/>
  <c r="T51" i="50"/>
  <c r="S51" i="50"/>
  <c r="M51" i="50"/>
  <c r="L51" i="50"/>
  <c r="M50" i="50"/>
  <c r="L50" i="50"/>
  <c r="C46" i="50"/>
  <c r="G11" i="9" s="1"/>
  <c r="C40" i="50"/>
  <c r="G5" i="9" s="1"/>
  <c r="K34" i="50"/>
  <c r="J34" i="50"/>
  <c r="I34" i="50"/>
  <c r="H34" i="50"/>
  <c r="G34" i="50"/>
  <c r="F34" i="50"/>
  <c r="E34" i="50"/>
  <c r="D34" i="50"/>
  <c r="C34" i="50"/>
  <c r="K33" i="50"/>
  <c r="J33" i="50"/>
  <c r="I33" i="50"/>
  <c r="H33" i="50"/>
  <c r="G33" i="50"/>
  <c r="G38" i="50" s="1"/>
  <c r="F33" i="50"/>
  <c r="F36" i="50" s="1"/>
  <c r="E33" i="50"/>
  <c r="E35" i="50" s="1"/>
  <c r="D33" i="50"/>
  <c r="C33" i="50"/>
  <c r="C36" i="50" s="1"/>
  <c r="M32" i="50"/>
  <c r="L32" i="50"/>
  <c r="M31" i="50"/>
  <c r="L31" i="50"/>
  <c r="M30" i="50"/>
  <c r="L30" i="50"/>
  <c r="M29" i="50"/>
  <c r="L29" i="50"/>
  <c r="V28" i="50"/>
  <c r="U28" i="50"/>
  <c r="D318" i="34" s="1"/>
  <c r="T28" i="50"/>
  <c r="C318" i="34" s="1"/>
  <c r="S28" i="50"/>
  <c r="M28" i="50"/>
  <c r="L28" i="50"/>
  <c r="V27" i="50"/>
  <c r="U27" i="50"/>
  <c r="D317" i="34" s="1"/>
  <c r="T27" i="50"/>
  <c r="C317" i="34" s="1"/>
  <c r="S27" i="50"/>
  <c r="M27" i="50"/>
  <c r="L27" i="50"/>
  <c r="V26" i="50"/>
  <c r="U26" i="50"/>
  <c r="D316" i="34" s="1"/>
  <c r="T26" i="50"/>
  <c r="C316" i="34" s="1"/>
  <c r="S26" i="50"/>
  <c r="M26" i="50"/>
  <c r="L26" i="50"/>
  <c r="V25" i="50"/>
  <c r="U25" i="50"/>
  <c r="D315" i="34" s="1"/>
  <c r="T25" i="50"/>
  <c r="C315" i="34" s="1"/>
  <c r="S25" i="50"/>
  <c r="M25" i="50"/>
  <c r="L25" i="50"/>
  <c r="V24" i="50"/>
  <c r="U24" i="50"/>
  <c r="D314" i="34" s="1"/>
  <c r="T24" i="50"/>
  <c r="C314" i="34" s="1"/>
  <c r="S24" i="50"/>
  <c r="M24" i="50"/>
  <c r="L24" i="50"/>
  <c r="V23" i="50"/>
  <c r="U23" i="50"/>
  <c r="D313" i="34" s="1"/>
  <c r="T23" i="50"/>
  <c r="C313" i="34" s="1"/>
  <c r="S23" i="50"/>
  <c r="M23" i="50"/>
  <c r="L23" i="50"/>
  <c r="V22" i="50"/>
  <c r="U22" i="50"/>
  <c r="D312" i="34" s="1"/>
  <c r="T22" i="50"/>
  <c r="C312" i="34" s="1"/>
  <c r="S22" i="50"/>
  <c r="M22" i="50"/>
  <c r="L22" i="50"/>
  <c r="M21" i="50"/>
  <c r="L21" i="50"/>
  <c r="M20" i="50"/>
  <c r="L20" i="50"/>
  <c r="M19" i="50"/>
  <c r="L19" i="50"/>
  <c r="M18" i="50"/>
  <c r="L18" i="50"/>
  <c r="M17" i="50"/>
  <c r="L17" i="50"/>
  <c r="M16" i="50"/>
  <c r="L16" i="50"/>
  <c r="M15" i="50"/>
  <c r="L15" i="50"/>
  <c r="M14" i="50"/>
  <c r="L14" i="50"/>
  <c r="M13" i="50"/>
  <c r="L13" i="50"/>
  <c r="M12" i="50"/>
  <c r="L12" i="50"/>
  <c r="M11" i="50"/>
  <c r="L11" i="50"/>
  <c r="V10" i="50"/>
  <c r="E301" i="34" s="1"/>
  <c r="U10" i="50"/>
  <c r="D301" i="34" s="1"/>
  <c r="T10" i="50"/>
  <c r="S10" i="50"/>
  <c r="M10" i="50"/>
  <c r="L10" i="50"/>
  <c r="V9" i="50"/>
  <c r="U9" i="50"/>
  <c r="D300" i="34" s="1"/>
  <c r="T9" i="50"/>
  <c r="C300" i="34" s="1"/>
  <c r="S9" i="50"/>
  <c r="M9" i="50"/>
  <c r="L9" i="50"/>
  <c r="V8" i="50"/>
  <c r="U8" i="50"/>
  <c r="D299" i="34" s="1"/>
  <c r="T8" i="50"/>
  <c r="C299" i="34" s="1"/>
  <c r="S8" i="50"/>
  <c r="M8" i="50"/>
  <c r="L8" i="50"/>
  <c r="V7" i="50"/>
  <c r="U7" i="50"/>
  <c r="D298" i="34" s="1"/>
  <c r="T7" i="50"/>
  <c r="C298" i="34" s="1"/>
  <c r="S7" i="50"/>
  <c r="M7" i="50"/>
  <c r="L7" i="50"/>
  <c r="V6" i="50"/>
  <c r="U6" i="50"/>
  <c r="D297" i="34" s="1"/>
  <c r="T6" i="50"/>
  <c r="C297" i="34" s="1"/>
  <c r="S6" i="50"/>
  <c r="M6" i="50"/>
  <c r="L6" i="50"/>
  <c r="V5" i="50"/>
  <c r="E296" i="34" s="1"/>
  <c r="U5" i="50"/>
  <c r="D296" i="34" s="1"/>
  <c r="T5" i="50"/>
  <c r="S5" i="50"/>
  <c r="M5" i="50"/>
  <c r="L5" i="50"/>
  <c r="V4" i="50"/>
  <c r="E295" i="34" s="1"/>
  <c r="U4" i="50"/>
  <c r="D295" i="34" s="1"/>
  <c r="T4" i="50"/>
  <c r="S4" i="50"/>
  <c r="M4" i="50"/>
  <c r="L4" i="50"/>
  <c r="M3" i="50"/>
  <c r="L3" i="50"/>
  <c r="C46" i="49"/>
  <c r="D6" i="7" s="1"/>
  <c r="C40" i="49"/>
  <c r="K34" i="49"/>
  <c r="J83" i="31" s="1"/>
  <c r="I34" i="49"/>
  <c r="H83" i="31" s="1"/>
  <c r="H34" i="49"/>
  <c r="G83" i="31" s="1"/>
  <c r="G34" i="49"/>
  <c r="F83" i="31" s="1"/>
  <c r="F34" i="49"/>
  <c r="E83" i="31" s="1"/>
  <c r="E34" i="49"/>
  <c r="D83" i="31" s="1"/>
  <c r="D34" i="49"/>
  <c r="C83" i="31" s="1"/>
  <c r="C34" i="49"/>
  <c r="B83" i="31" s="1"/>
  <c r="K33" i="49"/>
  <c r="K36" i="49" s="1"/>
  <c r="J85" i="31" s="1"/>
  <c r="I33" i="49"/>
  <c r="H33" i="49"/>
  <c r="H35" i="49" s="1"/>
  <c r="G84" i="31" s="1"/>
  <c r="G33" i="49"/>
  <c r="G38" i="49" s="1"/>
  <c r="F87" i="31" s="1"/>
  <c r="F33" i="49"/>
  <c r="E82" i="31" s="1"/>
  <c r="E33" i="49"/>
  <c r="E35" i="49" s="1"/>
  <c r="D84" i="31" s="1"/>
  <c r="D33" i="49"/>
  <c r="D36" i="49" s="1"/>
  <c r="C85" i="31" s="1"/>
  <c r="C33" i="49"/>
  <c r="C36" i="49" s="1"/>
  <c r="B85" i="31" s="1"/>
  <c r="L32" i="49"/>
  <c r="K81" i="31" s="1"/>
  <c r="V28" i="49"/>
  <c r="E69" i="33" s="1"/>
  <c r="U28" i="49"/>
  <c r="D69" i="33" s="1"/>
  <c r="T28" i="49"/>
  <c r="C69" i="33" s="1"/>
  <c r="S28" i="49"/>
  <c r="B69" i="33" s="1"/>
  <c r="V27" i="49"/>
  <c r="E68" i="33" s="1"/>
  <c r="U27" i="49"/>
  <c r="D68" i="33" s="1"/>
  <c r="T27" i="49"/>
  <c r="C68" i="33" s="1"/>
  <c r="S27" i="49"/>
  <c r="B68" i="33" s="1"/>
  <c r="V26" i="49"/>
  <c r="E67" i="33" s="1"/>
  <c r="U26" i="49"/>
  <c r="D67" i="33" s="1"/>
  <c r="T26" i="49"/>
  <c r="C67" i="33" s="1"/>
  <c r="S26" i="49"/>
  <c r="B67" i="33" s="1"/>
  <c r="V25" i="49"/>
  <c r="E66" i="33" s="1"/>
  <c r="U25" i="49"/>
  <c r="D66" i="33" s="1"/>
  <c r="T25" i="49"/>
  <c r="S25" i="49"/>
  <c r="B66" i="33" s="1"/>
  <c r="V24" i="49"/>
  <c r="E65" i="33" s="1"/>
  <c r="U24" i="49"/>
  <c r="D65" i="33" s="1"/>
  <c r="T24" i="49"/>
  <c r="C65" i="33" s="1"/>
  <c r="S24" i="49"/>
  <c r="B65" i="33" s="1"/>
  <c r="M24" i="49"/>
  <c r="L73" i="31" s="1"/>
  <c r="V23" i="49"/>
  <c r="E64" i="33" s="1"/>
  <c r="U23" i="49"/>
  <c r="D64" i="33" s="1"/>
  <c r="T23" i="49"/>
  <c r="C64" i="33" s="1"/>
  <c r="S23" i="49"/>
  <c r="B64" i="33" s="1"/>
  <c r="L23" i="49"/>
  <c r="K72" i="31" s="1"/>
  <c r="V22" i="49"/>
  <c r="E63" i="33" s="1"/>
  <c r="U22" i="49"/>
  <c r="D63" i="33" s="1"/>
  <c r="T22" i="49"/>
  <c r="C54" i="33" s="1"/>
  <c r="S22" i="49"/>
  <c r="B63" i="33" s="1"/>
  <c r="M21" i="49"/>
  <c r="L70" i="31" s="1"/>
  <c r="M17" i="49"/>
  <c r="L66" i="31" s="1"/>
  <c r="L17" i="49"/>
  <c r="K66" i="31" s="1"/>
  <c r="M16" i="49"/>
  <c r="L65" i="31" s="1"/>
  <c r="L16" i="49"/>
  <c r="K65" i="31" s="1"/>
  <c r="M15" i="49"/>
  <c r="L64" i="31" s="1"/>
  <c r="L15" i="49"/>
  <c r="K64" i="31" s="1"/>
  <c r="M14" i="49"/>
  <c r="L63" i="31" s="1"/>
  <c r="L14" i="49"/>
  <c r="K63" i="31" s="1"/>
  <c r="M13" i="49"/>
  <c r="L62" i="31" s="1"/>
  <c r="L13" i="49"/>
  <c r="K62" i="31" s="1"/>
  <c r="M12" i="49"/>
  <c r="L61" i="31" s="1"/>
  <c r="L12" i="49"/>
  <c r="K61" i="31" s="1"/>
  <c r="M11" i="49"/>
  <c r="L60" i="31" s="1"/>
  <c r="L11" i="49"/>
  <c r="K60" i="31" s="1"/>
  <c r="V10" i="49"/>
  <c r="E52" i="33" s="1"/>
  <c r="U10" i="49"/>
  <c r="D52" i="33" s="1"/>
  <c r="T10" i="49"/>
  <c r="S10" i="49"/>
  <c r="B52" i="33" s="1"/>
  <c r="V9" i="49"/>
  <c r="E51" i="33" s="1"/>
  <c r="U9" i="49"/>
  <c r="D51" i="33" s="1"/>
  <c r="T9" i="49"/>
  <c r="S9" i="49"/>
  <c r="B51" i="33" s="1"/>
  <c r="M9" i="49"/>
  <c r="L58" i="31" s="1"/>
  <c r="L9" i="49"/>
  <c r="K58" i="31" s="1"/>
  <c r="V8" i="49"/>
  <c r="E50" i="33" s="1"/>
  <c r="U8" i="49"/>
  <c r="D50" i="33" s="1"/>
  <c r="T8" i="49"/>
  <c r="S8" i="49"/>
  <c r="B50" i="33" s="1"/>
  <c r="M8" i="49"/>
  <c r="L57" i="31" s="1"/>
  <c r="L8" i="49"/>
  <c r="K57" i="31" s="1"/>
  <c r="V7" i="49"/>
  <c r="E49" i="33" s="1"/>
  <c r="U7" i="49"/>
  <c r="D49" i="33" s="1"/>
  <c r="T7" i="49"/>
  <c r="S7" i="49"/>
  <c r="B49" i="33" s="1"/>
  <c r="M7" i="49"/>
  <c r="L56" i="31" s="1"/>
  <c r="L7" i="49"/>
  <c r="K56" i="31" s="1"/>
  <c r="V6" i="49"/>
  <c r="E48" i="33" s="1"/>
  <c r="U6" i="49"/>
  <c r="D48" i="33" s="1"/>
  <c r="T6" i="49"/>
  <c r="S6" i="49"/>
  <c r="B48" i="33" s="1"/>
  <c r="M6" i="49"/>
  <c r="L55" i="31" s="1"/>
  <c r="L6" i="49"/>
  <c r="K55" i="31" s="1"/>
  <c r="V5" i="49"/>
  <c r="E47" i="33" s="1"/>
  <c r="U5" i="49"/>
  <c r="D47" i="33" s="1"/>
  <c r="T5" i="49"/>
  <c r="C47" i="33" s="1"/>
  <c r="S5" i="49"/>
  <c r="B47" i="33" s="1"/>
  <c r="M5" i="49"/>
  <c r="L54" i="31" s="1"/>
  <c r="L5" i="49"/>
  <c r="K54" i="31" s="1"/>
  <c r="V4" i="49"/>
  <c r="E46" i="33" s="1"/>
  <c r="U4" i="49"/>
  <c r="D46" i="33" s="1"/>
  <c r="T4" i="49"/>
  <c r="C46" i="33" s="1"/>
  <c r="S4" i="49"/>
  <c r="B46" i="33" s="1"/>
  <c r="M4" i="49"/>
  <c r="L53" i="31" s="1"/>
  <c r="L4" i="49"/>
  <c r="K53" i="31" s="1"/>
  <c r="M3" i="49"/>
  <c r="L52" i="31" s="1"/>
  <c r="L3" i="49"/>
  <c r="K52" i="31" s="1"/>
  <c r="C46" i="48"/>
  <c r="E6" i="7" s="1"/>
  <c r="C40" i="48"/>
  <c r="B135" i="31" s="1"/>
  <c r="K34" i="48"/>
  <c r="J130" i="31" s="1"/>
  <c r="I34" i="48"/>
  <c r="H130" i="31" s="1"/>
  <c r="H34" i="48"/>
  <c r="G130" i="31" s="1"/>
  <c r="G34" i="48"/>
  <c r="F130" i="31" s="1"/>
  <c r="F34" i="48"/>
  <c r="E130" i="31" s="1"/>
  <c r="E34" i="48"/>
  <c r="D130" i="31" s="1"/>
  <c r="D34" i="48"/>
  <c r="C130" i="31" s="1"/>
  <c r="C34" i="48"/>
  <c r="B130" i="31" s="1"/>
  <c r="K33" i="48"/>
  <c r="J129" i="31" s="1"/>
  <c r="I33" i="48"/>
  <c r="H129" i="31" s="1"/>
  <c r="H33" i="48"/>
  <c r="G129" i="31" s="1"/>
  <c r="G33" i="48"/>
  <c r="F33" i="48"/>
  <c r="E129" i="31" s="1"/>
  <c r="E33" i="48"/>
  <c r="D33" i="48"/>
  <c r="C33" i="48"/>
  <c r="B129" i="31" s="1"/>
  <c r="M30" i="48"/>
  <c r="L126" i="31" s="1"/>
  <c r="V28" i="48"/>
  <c r="E111" i="33" s="1"/>
  <c r="U28" i="48"/>
  <c r="D111" i="33" s="1"/>
  <c r="T28" i="48"/>
  <c r="S28" i="48"/>
  <c r="B111" i="33" s="1"/>
  <c r="M28" i="48"/>
  <c r="L124" i="31" s="1"/>
  <c r="V27" i="48"/>
  <c r="E110" i="33" s="1"/>
  <c r="U27" i="48"/>
  <c r="D110" i="33" s="1"/>
  <c r="T27" i="48"/>
  <c r="S27" i="48"/>
  <c r="B110" i="33" s="1"/>
  <c r="V26" i="48"/>
  <c r="E109" i="33" s="1"/>
  <c r="U26" i="48"/>
  <c r="D109" i="33" s="1"/>
  <c r="T26" i="48"/>
  <c r="S26" i="48"/>
  <c r="B109" i="33" s="1"/>
  <c r="V25" i="48"/>
  <c r="E108" i="33" s="1"/>
  <c r="U25" i="48"/>
  <c r="D108" i="33" s="1"/>
  <c r="T25" i="48"/>
  <c r="S25" i="48"/>
  <c r="B108" i="33" s="1"/>
  <c r="V24" i="48"/>
  <c r="E107" i="33" s="1"/>
  <c r="U24" i="48"/>
  <c r="D107" i="33" s="1"/>
  <c r="T24" i="48"/>
  <c r="S24" i="48"/>
  <c r="B107" i="33" s="1"/>
  <c r="M24" i="48"/>
  <c r="L120" i="31" s="1"/>
  <c r="V23" i="48"/>
  <c r="E106" i="33" s="1"/>
  <c r="U23" i="48"/>
  <c r="D106" i="33" s="1"/>
  <c r="T23" i="48"/>
  <c r="S23" i="48"/>
  <c r="B106" i="33" s="1"/>
  <c r="V22" i="48"/>
  <c r="E105" i="33" s="1"/>
  <c r="U22" i="48"/>
  <c r="D105" i="33" s="1"/>
  <c r="T22" i="48"/>
  <c r="W22" i="48" s="1"/>
  <c r="S22" i="48"/>
  <c r="B105" i="33" s="1"/>
  <c r="M20" i="48"/>
  <c r="L116" i="31" s="1"/>
  <c r="M17" i="48"/>
  <c r="L113" i="31" s="1"/>
  <c r="L17" i="48"/>
  <c r="K113" i="31" s="1"/>
  <c r="M16" i="48"/>
  <c r="L112" i="31" s="1"/>
  <c r="L16" i="48"/>
  <c r="K112" i="31" s="1"/>
  <c r="M15" i="48"/>
  <c r="L111" i="31" s="1"/>
  <c r="L15" i="48"/>
  <c r="K111" i="31" s="1"/>
  <c r="M14" i="48"/>
  <c r="L110" i="31" s="1"/>
  <c r="L14" i="48"/>
  <c r="K110" i="31" s="1"/>
  <c r="M13" i="48"/>
  <c r="L109" i="31" s="1"/>
  <c r="L13" i="48"/>
  <c r="K109" i="31" s="1"/>
  <c r="M12" i="48"/>
  <c r="L108" i="31" s="1"/>
  <c r="L12" i="48"/>
  <c r="K108" i="31" s="1"/>
  <c r="M11" i="48"/>
  <c r="L107" i="31" s="1"/>
  <c r="L11" i="48"/>
  <c r="K107" i="31" s="1"/>
  <c r="V10" i="48"/>
  <c r="E94" i="33" s="1"/>
  <c r="U10" i="48"/>
  <c r="D94" i="33" s="1"/>
  <c r="T10" i="48"/>
  <c r="S10" i="48"/>
  <c r="B94" i="33" s="1"/>
  <c r="M10" i="48"/>
  <c r="L106" i="31" s="1"/>
  <c r="V9" i="48"/>
  <c r="E93" i="33" s="1"/>
  <c r="U9" i="48"/>
  <c r="D93" i="33" s="1"/>
  <c r="T9" i="48"/>
  <c r="W9" i="48" s="1"/>
  <c r="X9" i="48" s="1"/>
  <c r="G93" i="33" s="1"/>
  <c r="S9" i="48"/>
  <c r="B93" i="33" s="1"/>
  <c r="M9" i="48"/>
  <c r="L105" i="31" s="1"/>
  <c r="L9" i="48"/>
  <c r="K105" i="31" s="1"/>
  <c r="V8" i="48"/>
  <c r="E92" i="33" s="1"/>
  <c r="U8" i="48"/>
  <c r="D92" i="33" s="1"/>
  <c r="T8" i="48"/>
  <c r="S8" i="48"/>
  <c r="B92" i="33" s="1"/>
  <c r="M8" i="48"/>
  <c r="L104" i="31" s="1"/>
  <c r="L8" i="48"/>
  <c r="K104" i="31" s="1"/>
  <c r="V7" i="48"/>
  <c r="E91" i="33" s="1"/>
  <c r="U7" i="48"/>
  <c r="D91" i="33" s="1"/>
  <c r="T7" i="48"/>
  <c r="S7" i="48"/>
  <c r="B91" i="33" s="1"/>
  <c r="M7" i="48"/>
  <c r="L103" i="31" s="1"/>
  <c r="L7" i="48"/>
  <c r="K103" i="31" s="1"/>
  <c r="V6" i="48"/>
  <c r="E90" i="33" s="1"/>
  <c r="U6" i="48"/>
  <c r="D90" i="33" s="1"/>
  <c r="T6" i="48"/>
  <c r="C90" i="33" s="1"/>
  <c r="S6" i="48"/>
  <c r="B90" i="33" s="1"/>
  <c r="M6" i="48"/>
  <c r="L102" i="31" s="1"/>
  <c r="L6" i="48"/>
  <c r="K102" i="31" s="1"/>
  <c r="V5" i="48"/>
  <c r="E89" i="33" s="1"/>
  <c r="U5" i="48"/>
  <c r="D89" i="33" s="1"/>
  <c r="T5" i="48"/>
  <c r="C89" i="33" s="1"/>
  <c r="S5" i="48"/>
  <c r="B89" i="33" s="1"/>
  <c r="M5" i="48"/>
  <c r="L101" i="31" s="1"/>
  <c r="L5" i="48"/>
  <c r="K101" i="31" s="1"/>
  <c r="V4" i="48"/>
  <c r="U4" i="48"/>
  <c r="D88" i="33" s="1"/>
  <c r="T4" i="48"/>
  <c r="C88" i="33" s="1"/>
  <c r="S4" i="48"/>
  <c r="B88" i="33" s="1"/>
  <c r="M4" i="48"/>
  <c r="L100" i="31" s="1"/>
  <c r="L4" i="48"/>
  <c r="K100" i="31" s="1"/>
  <c r="M3" i="48"/>
  <c r="L99" i="31" s="1"/>
  <c r="L3" i="48"/>
  <c r="K99" i="31" s="1"/>
  <c r="C46" i="47"/>
  <c r="F6" i="7" s="1"/>
  <c r="C40" i="47"/>
  <c r="K34" i="47"/>
  <c r="J177" i="31" s="1"/>
  <c r="I34" i="47"/>
  <c r="H177" i="31" s="1"/>
  <c r="H34" i="47"/>
  <c r="G177" i="31" s="1"/>
  <c r="G34" i="47"/>
  <c r="F177" i="31" s="1"/>
  <c r="F34" i="47"/>
  <c r="E177" i="31" s="1"/>
  <c r="E34" i="47"/>
  <c r="D177" i="31" s="1"/>
  <c r="D34" i="47"/>
  <c r="C177" i="31" s="1"/>
  <c r="C34" i="47"/>
  <c r="B177" i="31" s="1"/>
  <c r="K33" i="47"/>
  <c r="I33" i="47"/>
  <c r="H176" i="31" s="1"/>
  <c r="H33" i="47"/>
  <c r="G176" i="31" s="1"/>
  <c r="G33" i="47"/>
  <c r="F33" i="47"/>
  <c r="E33" i="47"/>
  <c r="D33" i="47"/>
  <c r="C33" i="47"/>
  <c r="M31" i="47"/>
  <c r="L174" i="31" s="1"/>
  <c r="V28" i="47"/>
  <c r="E155" i="33" s="1"/>
  <c r="U28" i="47"/>
  <c r="D155" i="33" s="1"/>
  <c r="T28" i="47"/>
  <c r="S28" i="47"/>
  <c r="B155" i="33" s="1"/>
  <c r="V27" i="47"/>
  <c r="E154" i="33" s="1"/>
  <c r="U27" i="47"/>
  <c r="D154" i="33" s="1"/>
  <c r="T27" i="47"/>
  <c r="C154" i="33" s="1"/>
  <c r="S27" i="47"/>
  <c r="B154" i="33" s="1"/>
  <c r="V26" i="47"/>
  <c r="E153" i="33" s="1"/>
  <c r="U26" i="47"/>
  <c r="D153" i="33" s="1"/>
  <c r="T26" i="47"/>
  <c r="C153" i="33" s="1"/>
  <c r="S26" i="47"/>
  <c r="B153" i="33" s="1"/>
  <c r="V25" i="47"/>
  <c r="E152" i="33" s="1"/>
  <c r="U25" i="47"/>
  <c r="D152" i="33" s="1"/>
  <c r="T25" i="47"/>
  <c r="C152" i="33" s="1"/>
  <c r="S25" i="47"/>
  <c r="B152" i="33" s="1"/>
  <c r="M25" i="47"/>
  <c r="L168" i="31" s="1"/>
  <c r="V24" i="47"/>
  <c r="E151" i="33" s="1"/>
  <c r="U24" i="47"/>
  <c r="D151" i="33" s="1"/>
  <c r="T24" i="47"/>
  <c r="C151" i="33" s="1"/>
  <c r="S24" i="47"/>
  <c r="B151" i="33" s="1"/>
  <c r="L24" i="47"/>
  <c r="K167" i="31" s="1"/>
  <c r="V23" i="47"/>
  <c r="E150" i="33" s="1"/>
  <c r="U23" i="47"/>
  <c r="D150" i="33" s="1"/>
  <c r="T23" i="47"/>
  <c r="C150" i="33" s="1"/>
  <c r="S23" i="47"/>
  <c r="B150" i="33" s="1"/>
  <c r="V22" i="47"/>
  <c r="E149" i="33" s="1"/>
  <c r="U22" i="47"/>
  <c r="D149" i="33" s="1"/>
  <c r="T22" i="47"/>
  <c r="W22" i="47" s="1"/>
  <c r="S22" i="47"/>
  <c r="B149" i="33" s="1"/>
  <c r="L21" i="47"/>
  <c r="K164" i="31" s="1"/>
  <c r="M17" i="47"/>
  <c r="L160" i="31" s="1"/>
  <c r="L17" i="47"/>
  <c r="K160" i="31" s="1"/>
  <c r="M16" i="47"/>
  <c r="L159" i="31" s="1"/>
  <c r="L16" i="47"/>
  <c r="K159" i="31" s="1"/>
  <c r="M15" i="47"/>
  <c r="L158" i="31" s="1"/>
  <c r="L15" i="47"/>
  <c r="K158" i="31" s="1"/>
  <c r="M14" i="47"/>
  <c r="L157" i="31" s="1"/>
  <c r="L14" i="47"/>
  <c r="K157" i="31" s="1"/>
  <c r="M13" i="47"/>
  <c r="L156" i="31" s="1"/>
  <c r="L13" i="47"/>
  <c r="K156" i="31" s="1"/>
  <c r="M12" i="47"/>
  <c r="L155" i="31" s="1"/>
  <c r="L12" i="47"/>
  <c r="K155" i="31" s="1"/>
  <c r="M11" i="47"/>
  <c r="L154" i="31" s="1"/>
  <c r="L11" i="47"/>
  <c r="K154" i="31" s="1"/>
  <c r="V10" i="47"/>
  <c r="E138" i="33" s="1"/>
  <c r="U10" i="47"/>
  <c r="D138" i="33" s="1"/>
  <c r="T10" i="47"/>
  <c r="S10" i="47"/>
  <c r="B138" i="33" s="1"/>
  <c r="V9" i="47"/>
  <c r="E137" i="33" s="1"/>
  <c r="U9" i="47"/>
  <c r="D137" i="33" s="1"/>
  <c r="T9" i="47"/>
  <c r="S9" i="47"/>
  <c r="B137" i="33" s="1"/>
  <c r="M9" i="47"/>
  <c r="L152" i="31" s="1"/>
  <c r="L9" i="47"/>
  <c r="K152" i="31" s="1"/>
  <c r="V8" i="47"/>
  <c r="E136" i="33" s="1"/>
  <c r="U8" i="47"/>
  <c r="D136" i="33" s="1"/>
  <c r="T8" i="47"/>
  <c r="S8" i="47"/>
  <c r="B136" i="33" s="1"/>
  <c r="M8" i="47"/>
  <c r="L151" i="31" s="1"/>
  <c r="L8" i="47"/>
  <c r="K151" i="31" s="1"/>
  <c r="V7" i="47"/>
  <c r="E135" i="33" s="1"/>
  <c r="U7" i="47"/>
  <c r="D135" i="33" s="1"/>
  <c r="T7" i="47"/>
  <c r="S7" i="47"/>
  <c r="B135" i="33" s="1"/>
  <c r="M7" i="47"/>
  <c r="L150" i="31" s="1"/>
  <c r="L7" i="47"/>
  <c r="K150" i="31" s="1"/>
  <c r="V6" i="47"/>
  <c r="E134" i="33" s="1"/>
  <c r="U6" i="47"/>
  <c r="D134" i="33" s="1"/>
  <c r="T6" i="47"/>
  <c r="S6" i="47"/>
  <c r="B134" i="33" s="1"/>
  <c r="M6" i="47"/>
  <c r="L149" i="31" s="1"/>
  <c r="L6" i="47"/>
  <c r="K149" i="31" s="1"/>
  <c r="V5" i="47"/>
  <c r="E133" i="33" s="1"/>
  <c r="U5" i="47"/>
  <c r="D133" i="33" s="1"/>
  <c r="T5" i="47"/>
  <c r="S5" i="47"/>
  <c r="B133" i="33" s="1"/>
  <c r="M5" i="47"/>
  <c r="L148" i="31" s="1"/>
  <c r="L5" i="47"/>
  <c r="K148" i="31" s="1"/>
  <c r="V4" i="47"/>
  <c r="E132" i="33" s="1"/>
  <c r="U4" i="47"/>
  <c r="D132" i="33" s="1"/>
  <c r="T4" i="47"/>
  <c r="S4" i="47"/>
  <c r="B132" i="33" s="1"/>
  <c r="M4" i="47"/>
  <c r="L147" i="31" s="1"/>
  <c r="L4" i="47"/>
  <c r="K147" i="31" s="1"/>
  <c r="M3" i="47"/>
  <c r="L146" i="31" s="1"/>
  <c r="L3" i="47"/>
  <c r="K146" i="31" s="1"/>
  <c r="C46" i="46"/>
  <c r="C40" i="46"/>
  <c r="K36" i="46"/>
  <c r="J226" i="31" s="1"/>
  <c r="K34" i="46"/>
  <c r="J224" i="31" s="1"/>
  <c r="I34" i="46"/>
  <c r="H224" i="31" s="1"/>
  <c r="H34" i="46"/>
  <c r="G224" i="31" s="1"/>
  <c r="G34" i="46"/>
  <c r="F224" i="31" s="1"/>
  <c r="F34" i="46"/>
  <c r="E224" i="31" s="1"/>
  <c r="E34" i="46"/>
  <c r="D224" i="31" s="1"/>
  <c r="D34" i="46"/>
  <c r="C224" i="31" s="1"/>
  <c r="C34" i="46"/>
  <c r="B224" i="31" s="1"/>
  <c r="K33" i="46"/>
  <c r="I33" i="46"/>
  <c r="H33" i="46"/>
  <c r="G223" i="31" s="1"/>
  <c r="G33" i="46"/>
  <c r="F33" i="46"/>
  <c r="E223" i="31" s="1"/>
  <c r="E33" i="46"/>
  <c r="D33" i="46"/>
  <c r="C223" i="31" s="1"/>
  <c r="C33" i="46"/>
  <c r="M29" i="46"/>
  <c r="L219" i="31" s="1"/>
  <c r="V28" i="46"/>
  <c r="U28" i="46"/>
  <c r="D198" i="33" s="1"/>
  <c r="T28" i="46"/>
  <c r="C198" i="33" s="1"/>
  <c r="S28" i="46"/>
  <c r="B198" i="33" s="1"/>
  <c r="V27" i="46"/>
  <c r="U27" i="46"/>
  <c r="D197" i="33" s="1"/>
  <c r="T27" i="46"/>
  <c r="C197" i="33" s="1"/>
  <c r="S27" i="46"/>
  <c r="B197" i="33" s="1"/>
  <c r="V26" i="46"/>
  <c r="U26" i="46"/>
  <c r="D196" i="33" s="1"/>
  <c r="T26" i="46"/>
  <c r="C196" i="33" s="1"/>
  <c r="S26" i="46"/>
  <c r="B196" i="33" s="1"/>
  <c r="V25" i="46"/>
  <c r="U25" i="46"/>
  <c r="D195" i="33" s="1"/>
  <c r="T25" i="46"/>
  <c r="C195" i="33" s="1"/>
  <c r="S25" i="46"/>
  <c r="B195" i="33" s="1"/>
  <c r="M25" i="46"/>
  <c r="L215" i="31" s="1"/>
  <c r="V24" i="46"/>
  <c r="U24" i="46"/>
  <c r="D194" i="33" s="1"/>
  <c r="T24" i="46"/>
  <c r="C194" i="33" s="1"/>
  <c r="S24" i="46"/>
  <c r="B194" i="33" s="1"/>
  <c r="V23" i="46"/>
  <c r="U23" i="46"/>
  <c r="D193" i="33" s="1"/>
  <c r="T23" i="46"/>
  <c r="C193" i="33" s="1"/>
  <c r="S23" i="46"/>
  <c r="B193" i="33" s="1"/>
  <c r="V22" i="46"/>
  <c r="U22" i="46"/>
  <c r="D192" i="33" s="1"/>
  <c r="T22" i="46"/>
  <c r="C192" i="33" s="1"/>
  <c r="S22" i="46"/>
  <c r="B192" i="33" s="1"/>
  <c r="M19" i="46"/>
  <c r="L209" i="31" s="1"/>
  <c r="M17" i="46"/>
  <c r="L207" i="31" s="1"/>
  <c r="L17" i="46"/>
  <c r="K207" i="31" s="1"/>
  <c r="M16" i="46"/>
  <c r="L206" i="31" s="1"/>
  <c r="L16" i="46"/>
  <c r="K206" i="31" s="1"/>
  <c r="M15" i="46"/>
  <c r="L205" i="31" s="1"/>
  <c r="L15" i="46"/>
  <c r="K205" i="31" s="1"/>
  <c r="M14" i="46"/>
  <c r="L204" i="31" s="1"/>
  <c r="L14" i="46"/>
  <c r="K204" i="31" s="1"/>
  <c r="M13" i="46"/>
  <c r="L203" i="31" s="1"/>
  <c r="L13" i="46"/>
  <c r="K203" i="31" s="1"/>
  <c r="M12" i="46"/>
  <c r="L202" i="31" s="1"/>
  <c r="L12" i="46"/>
  <c r="K202" i="31" s="1"/>
  <c r="M11" i="46"/>
  <c r="L201" i="31" s="1"/>
  <c r="L11" i="46"/>
  <c r="K201" i="31" s="1"/>
  <c r="V10" i="46"/>
  <c r="E181" i="33" s="1"/>
  <c r="U10" i="46"/>
  <c r="D181" i="33" s="1"/>
  <c r="T10" i="46"/>
  <c r="S10" i="46"/>
  <c r="B181" i="33" s="1"/>
  <c r="L10" i="46"/>
  <c r="K200" i="31" s="1"/>
  <c r="V9" i="46"/>
  <c r="E180" i="33" s="1"/>
  <c r="U9" i="46"/>
  <c r="D180" i="33" s="1"/>
  <c r="T9" i="46"/>
  <c r="S9" i="46"/>
  <c r="B180" i="33" s="1"/>
  <c r="M9" i="46"/>
  <c r="L199" i="31" s="1"/>
  <c r="L9" i="46"/>
  <c r="K199" i="31" s="1"/>
  <c r="V8" i="46"/>
  <c r="E179" i="33" s="1"/>
  <c r="U8" i="46"/>
  <c r="D179" i="33" s="1"/>
  <c r="T8" i="46"/>
  <c r="S8" i="46"/>
  <c r="B179" i="33" s="1"/>
  <c r="M8" i="46"/>
  <c r="L198" i="31" s="1"/>
  <c r="L8" i="46"/>
  <c r="K198" i="31" s="1"/>
  <c r="V7" i="46"/>
  <c r="E178" i="33" s="1"/>
  <c r="U7" i="46"/>
  <c r="D178" i="33" s="1"/>
  <c r="T7" i="46"/>
  <c r="S7" i="46"/>
  <c r="B178" i="33" s="1"/>
  <c r="M7" i="46"/>
  <c r="L197" i="31" s="1"/>
  <c r="L7" i="46"/>
  <c r="K197" i="31" s="1"/>
  <c r="V6" i="46"/>
  <c r="E177" i="33" s="1"/>
  <c r="U6" i="46"/>
  <c r="D177" i="33" s="1"/>
  <c r="T6" i="46"/>
  <c r="S6" i="46"/>
  <c r="B177" i="33" s="1"/>
  <c r="M6" i="46"/>
  <c r="L196" i="31" s="1"/>
  <c r="L6" i="46"/>
  <c r="K196" i="31" s="1"/>
  <c r="V5" i="46"/>
  <c r="E176" i="33" s="1"/>
  <c r="U5" i="46"/>
  <c r="D176" i="33" s="1"/>
  <c r="T5" i="46"/>
  <c r="C176" i="33" s="1"/>
  <c r="S5" i="46"/>
  <c r="B176" i="33" s="1"/>
  <c r="M5" i="46"/>
  <c r="L195" i="31" s="1"/>
  <c r="L5" i="46"/>
  <c r="K195" i="31" s="1"/>
  <c r="V4" i="46"/>
  <c r="E175" i="33" s="1"/>
  <c r="U4" i="46"/>
  <c r="D175" i="33" s="1"/>
  <c r="T4" i="46"/>
  <c r="C175" i="33" s="1"/>
  <c r="S4" i="46"/>
  <c r="B175" i="33" s="1"/>
  <c r="M4" i="46"/>
  <c r="L194" i="31" s="1"/>
  <c r="L4" i="46"/>
  <c r="K194" i="31" s="1"/>
  <c r="M3" i="46"/>
  <c r="L193" i="31" s="1"/>
  <c r="L3" i="46"/>
  <c r="K193" i="31" s="1"/>
  <c r="C46" i="45"/>
  <c r="C40" i="45"/>
  <c r="K34" i="45"/>
  <c r="J318" i="31" s="1"/>
  <c r="I34" i="45"/>
  <c r="H318" i="31" s="1"/>
  <c r="H34" i="45"/>
  <c r="G318" i="31" s="1"/>
  <c r="G34" i="45"/>
  <c r="F318" i="31" s="1"/>
  <c r="F34" i="45"/>
  <c r="E318" i="31" s="1"/>
  <c r="E34" i="45"/>
  <c r="D318" i="31" s="1"/>
  <c r="D34" i="45"/>
  <c r="C318" i="31" s="1"/>
  <c r="C34" i="45"/>
  <c r="B318" i="31" s="1"/>
  <c r="K33" i="45"/>
  <c r="J317" i="31" s="1"/>
  <c r="I33" i="45"/>
  <c r="H317" i="31" s="1"/>
  <c r="H33" i="45"/>
  <c r="G317" i="31" s="1"/>
  <c r="G33" i="45"/>
  <c r="F33" i="45"/>
  <c r="E317" i="31" s="1"/>
  <c r="E33" i="45"/>
  <c r="D33" i="45"/>
  <c r="C33" i="45"/>
  <c r="B317" i="31" s="1"/>
  <c r="M29" i="45"/>
  <c r="L313" i="31" s="1"/>
  <c r="V28" i="45"/>
  <c r="E286" i="33" s="1"/>
  <c r="U28" i="45"/>
  <c r="D286" i="33" s="1"/>
  <c r="T28" i="45"/>
  <c r="S28" i="45"/>
  <c r="B286" i="33" s="1"/>
  <c r="V27" i="45"/>
  <c r="E285" i="33" s="1"/>
  <c r="U27" i="45"/>
  <c r="D285" i="33" s="1"/>
  <c r="T27" i="45"/>
  <c r="S27" i="45"/>
  <c r="B285" i="33" s="1"/>
  <c r="V26" i="45"/>
  <c r="E284" i="33" s="1"/>
  <c r="U26" i="45"/>
  <c r="D284" i="33" s="1"/>
  <c r="T26" i="45"/>
  <c r="S26" i="45"/>
  <c r="B284" i="33" s="1"/>
  <c r="V25" i="45"/>
  <c r="E283" i="33" s="1"/>
  <c r="U25" i="45"/>
  <c r="D283" i="33" s="1"/>
  <c r="T25" i="45"/>
  <c r="S25" i="45"/>
  <c r="B283" i="33" s="1"/>
  <c r="M25" i="45"/>
  <c r="L309" i="31" s="1"/>
  <c r="V24" i="45"/>
  <c r="E282" i="33" s="1"/>
  <c r="U24" i="45"/>
  <c r="D282" i="33" s="1"/>
  <c r="T24" i="45"/>
  <c r="S24" i="45"/>
  <c r="B282" i="33" s="1"/>
  <c r="V23" i="45"/>
  <c r="E281" i="33" s="1"/>
  <c r="U23" i="45"/>
  <c r="D281" i="33" s="1"/>
  <c r="T23" i="45"/>
  <c r="S23" i="45"/>
  <c r="B281" i="33" s="1"/>
  <c r="V22" i="45"/>
  <c r="E280" i="33" s="1"/>
  <c r="U22" i="45"/>
  <c r="D280" i="33" s="1"/>
  <c r="T22" i="45"/>
  <c r="S22" i="45"/>
  <c r="B280" i="33" s="1"/>
  <c r="M19" i="45"/>
  <c r="L303" i="31" s="1"/>
  <c r="M17" i="45"/>
  <c r="L301" i="31" s="1"/>
  <c r="L17" i="45"/>
  <c r="K301" i="31" s="1"/>
  <c r="M16" i="45"/>
  <c r="L300" i="31" s="1"/>
  <c r="L16" i="45"/>
  <c r="K300" i="31" s="1"/>
  <c r="M15" i="45"/>
  <c r="L299" i="31" s="1"/>
  <c r="L15" i="45"/>
  <c r="K299" i="31" s="1"/>
  <c r="M14" i="45"/>
  <c r="L298" i="31" s="1"/>
  <c r="L14" i="45"/>
  <c r="K298" i="31" s="1"/>
  <c r="M13" i="45"/>
  <c r="L297" i="31" s="1"/>
  <c r="L13" i="45"/>
  <c r="K297" i="31" s="1"/>
  <c r="M12" i="45"/>
  <c r="L296" i="31" s="1"/>
  <c r="L12" i="45"/>
  <c r="K296" i="31" s="1"/>
  <c r="M11" i="45"/>
  <c r="L295" i="31" s="1"/>
  <c r="L11" i="45"/>
  <c r="K295" i="31" s="1"/>
  <c r="V10" i="45"/>
  <c r="U10" i="45"/>
  <c r="D269" i="33" s="1"/>
  <c r="T10" i="45"/>
  <c r="S10" i="45"/>
  <c r="B269" i="33" s="1"/>
  <c r="V9" i="45"/>
  <c r="U9" i="45"/>
  <c r="D268" i="33" s="1"/>
  <c r="T9" i="45"/>
  <c r="C268" i="33" s="1"/>
  <c r="S9" i="45"/>
  <c r="B268" i="33" s="1"/>
  <c r="M9" i="45"/>
  <c r="L293" i="31" s="1"/>
  <c r="L9" i="45"/>
  <c r="K293" i="31" s="1"/>
  <c r="V8" i="45"/>
  <c r="U8" i="45"/>
  <c r="D267" i="33" s="1"/>
  <c r="T8" i="45"/>
  <c r="C267" i="33" s="1"/>
  <c r="S8" i="45"/>
  <c r="B267" i="33" s="1"/>
  <c r="M8" i="45"/>
  <c r="L292" i="31" s="1"/>
  <c r="L8" i="45"/>
  <c r="K292" i="31" s="1"/>
  <c r="V7" i="45"/>
  <c r="U7" i="45"/>
  <c r="D266" i="33" s="1"/>
  <c r="T7" i="45"/>
  <c r="C266" i="33" s="1"/>
  <c r="S7" i="45"/>
  <c r="B266" i="33" s="1"/>
  <c r="M7" i="45"/>
  <c r="L291" i="31" s="1"/>
  <c r="L7" i="45"/>
  <c r="K291" i="31" s="1"/>
  <c r="V6" i="45"/>
  <c r="U6" i="45"/>
  <c r="D265" i="33" s="1"/>
  <c r="T6" i="45"/>
  <c r="C265" i="33" s="1"/>
  <c r="S6" i="45"/>
  <c r="B265" i="33" s="1"/>
  <c r="M6" i="45"/>
  <c r="L290" i="31" s="1"/>
  <c r="L6" i="45"/>
  <c r="K290" i="31" s="1"/>
  <c r="V5" i="45"/>
  <c r="E264" i="33" s="1"/>
  <c r="U5" i="45"/>
  <c r="D264" i="33" s="1"/>
  <c r="T5" i="45"/>
  <c r="C264" i="33" s="1"/>
  <c r="S5" i="45"/>
  <c r="B264" i="33" s="1"/>
  <c r="M5" i="45"/>
  <c r="L289" i="31" s="1"/>
  <c r="L5" i="45"/>
  <c r="K289" i="31" s="1"/>
  <c r="V4" i="45"/>
  <c r="E263" i="33" s="1"/>
  <c r="U4" i="45"/>
  <c r="D263" i="33" s="1"/>
  <c r="T4" i="45"/>
  <c r="C263" i="33" s="1"/>
  <c r="S4" i="45"/>
  <c r="B263" i="33" s="1"/>
  <c r="M4" i="45"/>
  <c r="L288" i="31" s="1"/>
  <c r="L4" i="45"/>
  <c r="K288" i="31" s="1"/>
  <c r="M3" i="45"/>
  <c r="L287" i="31" s="1"/>
  <c r="L3" i="45"/>
  <c r="K287" i="31" s="1"/>
  <c r="C46" i="44"/>
  <c r="C40" i="44"/>
  <c r="K34" i="44"/>
  <c r="J365" i="31" s="1"/>
  <c r="J34" i="44"/>
  <c r="I365" i="31" s="1"/>
  <c r="H34" i="44"/>
  <c r="G365" i="31" s="1"/>
  <c r="G34" i="44"/>
  <c r="F365" i="31" s="1"/>
  <c r="F34" i="44"/>
  <c r="E365" i="31" s="1"/>
  <c r="E34" i="44"/>
  <c r="D365" i="31" s="1"/>
  <c r="D34" i="44"/>
  <c r="C365" i="31" s="1"/>
  <c r="C34" i="44"/>
  <c r="B365" i="31" s="1"/>
  <c r="K33" i="44"/>
  <c r="J33" i="44"/>
  <c r="H33" i="44"/>
  <c r="G33" i="44"/>
  <c r="F33" i="44"/>
  <c r="E33" i="44"/>
  <c r="D33" i="44"/>
  <c r="C33" i="44"/>
  <c r="L30" i="44"/>
  <c r="K361" i="31" s="1"/>
  <c r="V28" i="44"/>
  <c r="U28" i="44"/>
  <c r="D330" i="33" s="1"/>
  <c r="T28" i="44"/>
  <c r="C330" i="33" s="1"/>
  <c r="S28" i="44"/>
  <c r="B330" i="33" s="1"/>
  <c r="L28" i="44"/>
  <c r="K359" i="31" s="1"/>
  <c r="V27" i="44"/>
  <c r="U27" i="44"/>
  <c r="D329" i="33" s="1"/>
  <c r="T27" i="44"/>
  <c r="C329" i="33" s="1"/>
  <c r="S27" i="44"/>
  <c r="B329" i="33" s="1"/>
  <c r="V26" i="44"/>
  <c r="U26" i="44"/>
  <c r="D328" i="33" s="1"/>
  <c r="T26" i="44"/>
  <c r="C328" i="33" s="1"/>
  <c r="S26" i="44"/>
  <c r="B328" i="33" s="1"/>
  <c r="V25" i="44"/>
  <c r="U25" i="44"/>
  <c r="D327" i="33" s="1"/>
  <c r="T25" i="44"/>
  <c r="C327" i="33" s="1"/>
  <c r="S25" i="44"/>
  <c r="B327" i="33" s="1"/>
  <c r="V24" i="44"/>
  <c r="U24" i="44"/>
  <c r="D326" i="33" s="1"/>
  <c r="T24" i="44"/>
  <c r="C326" i="33" s="1"/>
  <c r="S24" i="44"/>
  <c r="B326" i="33" s="1"/>
  <c r="L24" i="44"/>
  <c r="K355" i="31" s="1"/>
  <c r="V23" i="44"/>
  <c r="U23" i="44"/>
  <c r="D325" i="33" s="1"/>
  <c r="T23" i="44"/>
  <c r="C325" i="33" s="1"/>
  <c r="S23" i="44"/>
  <c r="B325" i="33" s="1"/>
  <c r="V22" i="44"/>
  <c r="U22" i="44"/>
  <c r="D324" i="33" s="1"/>
  <c r="T22" i="44"/>
  <c r="C324" i="33" s="1"/>
  <c r="S22" i="44"/>
  <c r="B324" i="33" s="1"/>
  <c r="M20" i="44"/>
  <c r="L351" i="31" s="1"/>
  <c r="M16" i="44"/>
  <c r="L347" i="31" s="1"/>
  <c r="L16" i="44"/>
  <c r="K347" i="31" s="1"/>
  <c r="M15" i="44"/>
  <c r="L346" i="31" s="1"/>
  <c r="L15" i="44"/>
  <c r="K346" i="31" s="1"/>
  <c r="M14" i="44"/>
  <c r="L345" i="31" s="1"/>
  <c r="L14" i="44"/>
  <c r="K345" i="31" s="1"/>
  <c r="M13" i="44"/>
  <c r="L344" i="31" s="1"/>
  <c r="L13" i="44"/>
  <c r="K344" i="31" s="1"/>
  <c r="M12" i="44"/>
  <c r="L343" i="31" s="1"/>
  <c r="L12" i="44"/>
  <c r="K343" i="31" s="1"/>
  <c r="M11" i="44"/>
  <c r="L342" i="31" s="1"/>
  <c r="L11" i="44"/>
  <c r="K342" i="31" s="1"/>
  <c r="V10" i="44"/>
  <c r="E313" i="33" s="1"/>
  <c r="U10" i="44"/>
  <c r="D313" i="33" s="1"/>
  <c r="T10" i="44"/>
  <c r="S10" i="44"/>
  <c r="B313" i="33" s="1"/>
  <c r="M10" i="44"/>
  <c r="L341" i="31" s="1"/>
  <c r="L10" i="44"/>
  <c r="K341" i="31" s="1"/>
  <c r="V9" i="44"/>
  <c r="E312" i="33" s="1"/>
  <c r="U9" i="44"/>
  <c r="D312" i="33" s="1"/>
  <c r="T9" i="44"/>
  <c r="C312" i="33" s="1"/>
  <c r="S9" i="44"/>
  <c r="B312" i="33" s="1"/>
  <c r="M9" i="44"/>
  <c r="L340" i="31" s="1"/>
  <c r="V8" i="44"/>
  <c r="E311" i="33" s="1"/>
  <c r="U8" i="44"/>
  <c r="D311" i="33" s="1"/>
  <c r="T8" i="44"/>
  <c r="S8" i="44"/>
  <c r="B311" i="33" s="1"/>
  <c r="M8" i="44"/>
  <c r="L339" i="31" s="1"/>
  <c r="L8" i="44"/>
  <c r="K339" i="31" s="1"/>
  <c r="V7" i="44"/>
  <c r="E310" i="33" s="1"/>
  <c r="U7" i="44"/>
  <c r="D310" i="33" s="1"/>
  <c r="T7" i="44"/>
  <c r="C310" i="33" s="1"/>
  <c r="S7" i="44"/>
  <c r="B310" i="33" s="1"/>
  <c r="M7" i="44"/>
  <c r="L338" i="31" s="1"/>
  <c r="L7" i="44"/>
  <c r="K338" i="31" s="1"/>
  <c r="V6" i="44"/>
  <c r="E309" i="33" s="1"/>
  <c r="U6" i="44"/>
  <c r="D309" i="33" s="1"/>
  <c r="T6" i="44"/>
  <c r="C309" i="33" s="1"/>
  <c r="S6" i="44"/>
  <c r="B309" i="33" s="1"/>
  <c r="M6" i="44"/>
  <c r="L337" i="31" s="1"/>
  <c r="L6" i="44"/>
  <c r="K337" i="31" s="1"/>
  <c r="V5" i="44"/>
  <c r="E308" i="33" s="1"/>
  <c r="U5" i="44"/>
  <c r="D308" i="33" s="1"/>
  <c r="T5" i="44"/>
  <c r="S5" i="44"/>
  <c r="B308" i="33" s="1"/>
  <c r="M5" i="44"/>
  <c r="L336" i="31" s="1"/>
  <c r="L5" i="44"/>
  <c r="K336" i="31" s="1"/>
  <c r="V4" i="44"/>
  <c r="E307" i="33" s="1"/>
  <c r="U4" i="44"/>
  <c r="D307" i="33" s="1"/>
  <c r="T4" i="44"/>
  <c r="S4" i="44"/>
  <c r="B307" i="33" s="1"/>
  <c r="M4" i="44"/>
  <c r="L335" i="31" s="1"/>
  <c r="L4" i="44"/>
  <c r="K335" i="31" s="1"/>
  <c r="M3" i="44"/>
  <c r="L334" i="31" s="1"/>
  <c r="L3" i="44"/>
  <c r="K334" i="31" s="1"/>
  <c r="C46" i="43"/>
  <c r="C40" i="43"/>
  <c r="K34" i="43"/>
  <c r="J271" i="31" s="1"/>
  <c r="J34" i="43"/>
  <c r="I271" i="31" s="1"/>
  <c r="H34" i="43"/>
  <c r="G271" i="31" s="1"/>
  <c r="G34" i="43"/>
  <c r="F271" i="31" s="1"/>
  <c r="F34" i="43"/>
  <c r="E271" i="31" s="1"/>
  <c r="E34" i="43"/>
  <c r="D271" i="31" s="1"/>
  <c r="D34" i="43"/>
  <c r="C271" i="31" s="1"/>
  <c r="C34" i="43"/>
  <c r="B271" i="31" s="1"/>
  <c r="K33" i="43"/>
  <c r="J33" i="43"/>
  <c r="I33" i="43"/>
  <c r="H270" i="31" s="1"/>
  <c r="H33" i="43"/>
  <c r="G33" i="43"/>
  <c r="F33" i="43"/>
  <c r="E270" i="31" s="1"/>
  <c r="E33" i="43"/>
  <c r="D33" i="43"/>
  <c r="C33" i="43"/>
  <c r="L32" i="43"/>
  <c r="K269" i="31" s="1"/>
  <c r="V28" i="43"/>
  <c r="E242" i="33" s="1"/>
  <c r="U28" i="43"/>
  <c r="D242" i="33" s="1"/>
  <c r="T28" i="43"/>
  <c r="S28" i="43"/>
  <c r="B242" i="33" s="1"/>
  <c r="V27" i="43"/>
  <c r="E241" i="33" s="1"/>
  <c r="U27" i="43"/>
  <c r="D241" i="33" s="1"/>
  <c r="T27" i="43"/>
  <c r="S27" i="43"/>
  <c r="B241" i="33" s="1"/>
  <c r="V26" i="43"/>
  <c r="E240" i="33" s="1"/>
  <c r="U26" i="43"/>
  <c r="D240" i="33" s="1"/>
  <c r="T26" i="43"/>
  <c r="S26" i="43"/>
  <c r="B240" i="33" s="1"/>
  <c r="L26" i="43"/>
  <c r="K263" i="31" s="1"/>
  <c r="V25" i="43"/>
  <c r="E239" i="33" s="1"/>
  <c r="U25" i="43"/>
  <c r="D239" i="33" s="1"/>
  <c r="T25" i="43"/>
  <c r="S25" i="43"/>
  <c r="B239" i="33" s="1"/>
  <c r="V24" i="43"/>
  <c r="E238" i="33" s="1"/>
  <c r="U24" i="43"/>
  <c r="D238" i="33" s="1"/>
  <c r="T24" i="43"/>
  <c r="S24" i="43"/>
  <c r="B238" i="33" s="1"/>
  <c r="V23" i="43"/>
  <c r="E237" i="33" s="1"/>
  <c r="U23" i="43"/>
  <c r="D237" i="33" s="1"/>
  <c r="T23" i="43"/>
  <c r="S23" i="43"/>
  <c r="B237" i="33" s="1"/>
  <c r="V22" i="43"/>
  <c r="E236" i="33" s="1"/>
  <c r="U22" i="43"/>
  <c r="D236" i="33" s="1"/>
  <c r="T22" i="43"/>
  <c r="S22" i="43"/>
  <c r="B236" i="33" s="1"/>
  <c r="L22" i="43"/>
  <c r="K259" i="31" s="1"/>
  <c r="L18" i="43"/>
  <c r="K255" i="31" s="1"/>
  <c r="M16" i="43"/>
  <c r="L253" i="31" s="1"/>
  <c r="L16" i="43"/>
  <c r="K253" i="31" s="1"/>
  <c r="M15" i="43"/>
  <c r="L252" i="31" s="1"/>
  <c r="L15" i="43"/>
  <c r="K252" i="31" s="1"/>
  <c r="M14" i="43"/>
  <c r="L251" i="31" s="1"/>
  <c r="L14" i="43"/>
  <c r="K251" i="31" s="1"/>
  <c r="M13" i="43"/>
  <c r="L250" i="31" s="1"/>
  <c r="L13" i="43"/>
  <c r="K250" i="31" s="1"/>
  <c r="M12" i="43"/>
  <c r="L249" i="31" s="1"/>
  <c r="L12" i="43"/>
  <c r="K249" i="31" s="1"/>
  <c r="M11" i="43"/>
  <c r="L248" i="31" s="1"/>
  <c r="L11" i="43"/>
  <c r="K248" i="31" s="1"/>
  <c r="V10" i="43"/>
  <c r="E225" i="33" s="1"/>
  <c r="U10" i="43"/>
  <c r="D225" i="33" s="1"/>
  <c r="T10" i="43"/>
  <c r="S10" i="43"/>
  <c r="B225" i="33" s="1"/>
  <c r="M10" i="43"/>
  <c r="L247" i="31" s="1"/>
  <c r="L10" i="43"/>
  <c r="K247" i="31" s="1"/>
  <c r="V9" i="43"/>
  <c r="E224" i="33" s="1"/>
  <c r="U9" i="43"/>
  <c r="D224" i="33" s="1"/>
  <c r="T9" i="43"/>
  <c r="C224" i="33" s="1"/>
  <c r="S9" i="43"/>
  <c r="B224" i="33" s="1"/>
  <c r="V8" i="43"/>
  <c r="E223" i="33" s="1"/>
  <c r="U8" i="43"/>
  <c r="D223" i="33" s="1"/>
  <c r="T8" i="43"/>
  <c r="C223" i="33" s="1"/>
  <c r="S8" i="43"/>
  <c r="B223" i="33" s="1"/>
  <c r="M8" i="43"/>
  <c r="L245" i="31" s="1"/>
  <c r="L8" i="43"/>
  <c r="K245" i="31" s="1"/>
  <c r="V7" i="43"/>
  <c r="E222" i="33" s="1"/>
  <c r="U7" i="43"/>
  <c r="D222" i="33" s="1"/>
  <c r="T7" i="43"/>
  <c r="C222" i="33" s="1"/>
  <c r="S7" i="43"/>
  <c r="B222" i="33" s="1"/>
  <c r="M7" i="43"/>
  <c r="L244" i="31" s="1"/>
  <c r="L7" i="43"/>
  <c r="K244" i="31" s="1"/>
  <c r="V6" i="43"/>
  <c r="E221" i="33" s="1"/>
  <c r="U6" i="43"/>
  <c r="D221" i="33" s="1"/>
  <c r="T6" i="43"/>
  <c r="C221" i="33" s="1"/>
  <c r="S6" i="43"/>
  <c r="B221" i="33" s="1"/>
  <c r="M6" i="43"/>
  <c r="L243" i="31" s="1"/>
  <c r="L6" i="43"/>
  <c r="K243" i="31" s="1"/>
  <c r="V5" i="43"/>
  <c r="E220" i="33" s="1"/>
  <c r="U5" i="43"/>
  <c r="D220" i="33" s="1"/>
  <c r="T5" i="43"/>
  <c r="S5" i="43"/>
  <c r="B220" i="33" s="1"/>
  <c r="M5" i="43"/>
  <c r="L242" i="31" s="1"/>
  <c r="L5" i="43"/>
  <c r="K242" i="31" s="1"/>
  <c r="V4" i="43"/>
  <c r="E219" i="33" s="1"/>
  <c r="U4" i="43"/>
  <c r="D219" i="33" s="1"/>
  <c r="T4" i="43"/>
  <c r="S4" i="43"/>
  <c r="B219" i="33" s="1"/>
  <c r="M4" i="43"/>
  <c r="L241" i="31" s="1"/>
  <c r="L4" i="43"/>
  <c r="K241" i="31" s="1"/>
  <c r="M3" i="43"/>
  <c r="L240" i="31" s="1"/>
  <c r="L3" i="43"/>
  <c r="K240" i="31" s="1"/>
  <c r="S23" i="5"/>
  <c r="B21" i="33" s="1"/>
  <c r="T23" i="5"/>
  <c r="C21" i="33" s="1"/>
  <c r="U23" i="5"/>
  <c r="D21" i="33" s="1"/>
  <c r="V23" i="5"/>
  <c r="E21" i="33" s="1"/>
  <c r="S24" i="5"/>
  <c r="B22" i="33" s="1"/>
  <c r="T24" i="5"/>
  <c r="C22" i="33" s="1"/>
  <c r="U24" i="5"/>
  <c r="D22" i="33" s="1"/>
  <c r="V24" i="5"/>
  <c r="E22" i="33" s="1"/>
  <c r="S25" i="5"/>
  <c r="B23" i="33" s="1"/>
  <c r="T25" i="5"/>
  <c r="C23" i="33" s="1"/>
  <c r="U25" i="5"/>
  <c r="D23" i="33" s="1"/>
  <c r="V25" i="5"/>
  <c r="E23" i="33" s="1"/>
  <c r="S26" i="5"/>
  <c r="B24" i="33" s="1"/>
  <c r="T26" i="5"/>
  <c r="C24" i="33" s="1"/>
  <c r="U26" i="5"/>
  <c r="D24" i="33" s="1"/>
  <c r="V26" i="5"/>
  <c r="E24" i="33" s="1"/>
  <c r="S27" i="5"/>
  <c r="B25" i="33" s="1"/>
  <c r="T27" i="5"/>
  <c r="C25" i="33" s="1"/>
  <c r="U27" i="5"/>
  <c r="D25" i="33" s="1"/>
  <c r="V27" i="5"/>
  <c r="E25" i="33" s="1"/>
  <c r="S28" i="5"/>
  <c r="B26" i="33" s="1"/>
  <c r="T28" i="5"/>
  <c r="C26" i="33" s="1"/>
  <c r="U28" i="5"/>
  <c r="D26" i="33" s="1"/>
  <c r="V28" i="5"/>
  <c r="E26" i="33" s="1"/>
  <c r="T22" i="5"/>
  <c r="C20" i="33" s="1"/>
  <c r="U22" i="5"/>
  <c r="D20" i="33" s="1"/>
  <c r="V22" i="5"/>
  <c r="E20" i="33" s="1"/>
  <c r="S22" i="5"/>
  <c r="B20" i="33" s="1"/>
  <c r="S23" i="6"/>
  <c r="T23" i="6"/>
  <c r="C21" i="34" s="1"/>
  <c r="U23" i="6"/>
  <c r="D21" i="34" s="1"/>
  <c r="V23" i="6"/>
  <c r="E21" i="34" s="1"/>
  <c r="S24" i="6"/>
  <c r="T24" i="6"/>
  <c r="C22" i="34" s="1"/>
  <c r="U24" i="6"/>
  <c r="D22" i="34" s="1"/>
  <c r="V24" i="6"/>
  <c r="E22" i="34" s="1"/>
  <c r="S25" i="6"/>
  <c r="T25" i="6"/>
  <c r="C23" i="34" s="1"/>
  <c r="U25" i="6"/>
  <c r="D23" i="34" s="1"/>
  <c r="V25" i="6"/>
  <c r="E23" i="34" s="1"/>
  <c r="S26" i="6"/>
  <c r="T26" i="6"/>
  <c r="C24" i="34" s="1"/>
  <c r="U26" i="6"/>
  <c r="D24" i="34" s="1"/>
  <c r="V26" i="6"/>
  <c r="E24" i="34" s="1"/>
  <c r="S27" i="6"/>
  <c r="T27" i="6"/>
  <c r="C25" i="34" s="1"/>
  <c r="U27" i="6"/>
  <c r="D25" i="34" s="1"/>
  <c r="V27" i="6"/>
  <c r="E25" i="34" s="1"/>
  <c r="S28" i="6"/>
  <c r="T28" i="6"/>
  <c r="C26" i="34" s="1"/>
  <c r="U28" i="6"/>
  <c r="D26" i="34" s="1"/>
  <c r="V28" i="6"/>
  <c r="E26" i="34" s="1"/>
  <c r="T22" i="6"/>
  <c r="C20" i="34" s="1"/>
  <c r="U22" i="6"/>
  <c r="D20" i="34" s="1"/>
  <c r="V22" i="6"/>
  <c r="E20" i="34" s="1"/>
  <c r="S22" i="6"/>
  <c r="S5" i="6"/>
  <c r="T5" i="6"/>
  <c r="C4" i="34" s="1"/>
  <c r="U5" i="6"/>
  <c r="D4" i="34" s="1"/>
  <c r="V5" i="6"/>
  <c r="E4" i="34" s="1"/>
  <c r="S6" i="6"/>
  <c r="T6" i="6"/>
  <c r="C5" i="34" s="1"/>
  <c r="U6" i="6"/>
  <c r="D5" i="34" s="1"/>
  <c r="V6" i="6"/>
  <c r="E5" i="34" s="1"/>
  <c r="S7" i="6"/>
  <c r="T7" i="6"/>
  <c r="C6" i="34" s="1"/>
  <c r="U7" i="6"/>
  <c r="D6" i="34" s="1"/>
  <c r="V7" i="6"/>
  <c r="E6" i="34" s="1"/>
  <c r="S8" i="6"/>
  <c r="T8" i="6"/>
  <c r="C7" i="34" s="1"/>
  <c r="U8" i="6"/>
  <c r="D7" i="34" s="1"/>
  <c r="V8" i="6"/>
  <c r="E7" i="34" s="1"/>
  <c r="S9" i="6"/>
  <c r="T9" i="6"/>
  <c r="C8" i="34" s="1"/>
  <c r="U9" i="6"/>
  <c r="D8" i="34" s="1"/>
  <c r="V9" i="6"/>
  <c r="E8" i="34" s="1"/>
  <c r="S10" i="6"/>
  <c r="T10" i="6"/>
  <c r="C9" i="34" s="1"/>
  <c r="U10" i="6"/>
  <c r="D9" i="34" s="1"/>
  <c r="V10" i="6"/>
  <c r="E9" i="34" s="1"/>
  <c r="T4" i="6"/>
  <c r="C3" i="34" s="1"/>
  <c r="U4" i="6"/>
  <c r="D3" i="34" s="1"/>
  <c r="V4" i="6"/>
  <c r="E3" i="34" s="1"/>
  <c r="S4" i="6"/>
  <c r="S70" i="6"/>
  <c r="T70" i="6"/>
  <c r="U70" i="6"/>
  <c r="V70" i="6"/>
  <c r="S71" i="6"/>
  <c r="T71" i="6"/>
  <c r="U71" i="6"/>
  <c r="V71" i="6"/>
  <c r="S72" i="6"/>
  <c r="T72" i="6"/>
  <c r="U72" i="6"/>
  <c r="V72" i="6"/>
  <c r="S73" i="6"/>
  <c r="T73" i="6"/>
  <c r="U73" i="6"/>
  <c r="V73" i="6"/>
  <c r="S74" i="6"/>
  <c r="T74" i="6"/>
  <c r="U74" i="6"/>
  <c r="V74" i="6"/>
  <c r="S75" i="6"/>
  <c r="T75" i="6"/>
  <c r="U75" i="6"/>
  <c r="V75" i="6"/>
  <c r="T69" i="6"/>
  <c r="U69" i="6"/>
  <c r="V69" i="6"/>
  <c r="S69" i="6"/>
  <c r="S52" i="6"/>
  <c r="T52" i="6"/>
  <c r="U52" i="6"/>
  <c r="V52" i="6"/>
  <c r="S53" i="6"/>
  <c r="T53" i="6"/>
  <c r="U53" i="6"/>
  <c r="V53" i="6"/>
  <c r="S54" i="6"/>
  <c r="T54" i="6"/>
  <c r="U54" i="6"/>
  <c r="V54" i="6"/>
  <c r="S55" i="6"/>
  <c r="T55" i="6"/>
  <c r="U55" i="6"/>
  <c r="V55" i="6"/>
  <c r="S56" i="6"/>
  <c r="T56" i="6"/>
  <c r="U56" i="6"/>
  <c r="V56" i="6"/>
  <c r="S57" i="6"/>
  <c r="T57" i="6"/>
  <c r="U57" i="6"/>
  <c r="V57" i="6"/>
  <c r="T51" i="6"/>
  <c r="U51" i="6"/>
  <c r="V51" i="6"/>
  <c r="S51" i="6"/>
  <c r="S5" i="5"/>
  <c r="B4" i="33" s="1"/>
  <c r="T5" i="5"/>
  <c r="C4" i="33" s="1"/>
  <c r="U5" i="5"/>
  <c r="D4" i="33" s="1"/>
  <c r="V5" i="5"/>
  <c r="E4" i="33" s="1"/>
  <c r="S6" i="5"/>
  <c r="B5" i="33" s="1"/>
  <c r="T6" i="5"/>
  <c r="C5" i="33" s="1"/>
  <c r="U6" i="5"/>
  <c r="D5" i="33" s="1"/>
  <c r="V6" i="5"/>
  <c r="E5" i="33" s="1"/>
  <c r="S7" i="5"/>
  <c r="B6" i="33" s="1"/>
  <c r="T7" i="5"/>
  <c r="C6" i="33" s="1"/>
  <c r="U7" i="5"/>
  <c r="D6" i="33" s="1"/>
  <c r="V7" i="5"/>
  <c r="E6" i="33" s="1"/>
  <c r="S8" i="5"/>
  <c r="B7" i="33" s="1"/>
  <c r="T8" i="5"/>
  <c r="C7" i="33" s="1"/>
  <c r="U8" i="5"/>
  <c r="D7" i="33" s="1"/>
  <c r="V8" i="5"/>
  <c r="E7" i="33" s="1"/>
  <c r="S9" i="5"/>
  <c r="B8" i="33" s="1"/>
  <c r="T9" i="5"/>
  <c r="C8" i="33" s="1"/>
  <c r="U9" i="5"/>
  <c r="D8" i="33" s="1"/>
  <c r="V9" i="5"/>
  <c r="E8" i="33" s="1"/>
  <c r="S10" i="5"/>
  <c r="B9" i="33" s="1"/>
  <c r="T10" i="5"/>
  <c r="C9" i="33" s="1"/>
  <c r="U10" i="5"/>
  <c r="D9" i="33" s="1"/>
  <c r="V10" i="5"/>
  <c r="E9" i="33" s="1"/>
  <c r="T4" i="5"/>
  <c r="C3" i="33" s="1"/>
  <c r="U4" i="5"/>
  <c r="D3" i="33" s="1"/>
  <c r="V4" i="5"/>
  <c r="E3" i="33" s="1"/>
  <c r="S4" i="5"/>
  <c r="B3" i="33" s="1"/>
  <c r="H21" i="9"/>
  <c r="H18" i="9"/>
  <c r="K6" i="7"/>
  <c r="K5" i="7"/>
  <c r="H17" i="9"/>
  <c r="H16" i="9"/>
  <c r="H10" i="9"/>
  <c r="H7" i="9"/>
  <c r="H6" i="9"/>
  <c r="H5" i="9"/>
  <c r="K15" i="7"/>
  <c r="K13" i="7"/>
  <c r="K12" i="7"/>
  <c r="K11" i="7"/>
  <c r="K3" i="7"/>
  <c r="W3" i="36"/>
  <c r="V3" i="36"/>
  <c r="U3" i="36"/>
  <c r="S3" i="36"/>
  <c r="A68" i="37"/>
  <c r="A67" i="37"/>
  <c r="F85" i="52" l="1"/>
  <c r="J85" i="52"/>
  <c r="D82" i="50"/>
  <c r="W5" i="46"/>
  <c r="W51" i="51"/>
  <c r="W71" i="53"/>
  <c r="X71" i="53" s="1"/>
  <c r="W73" i="53"/>
  <c r="X73" i="53" s="1"/>
  <c r="W75" i="53"/>
  <c r="X75" i="53" s="1"/>
  <c r="W70" i="50"/>
  <c r="X70" i="50" s="1"/>
  <c r="W72" i="50"/>
  <c r="X72" i="50" s="1"/>
  <c r="I38" i="52"/>
  <c r="W10" i="53"/>
  <c r="F82" i="34" s="1"/>
  <c r="I38" i="49"/>
  <c r="H87" i="31" s="1"/>
  <c r="W52" i="52"/>
  <c r="W73" i="52"/>
  <c r="X73" i="52" s="1"/>
  <c r="O10" i="50"/>
  <c r="T11" i="50" s="1"/>
  <c r="W11" i="50" s="1"/>
  <c r="W10" i="50"/>
  <c r="H38" i="50"/>
  <c r="O57" i="51"/>
  <c r="T58" i="51" s="1"/>
  <c r="C83" i="51"/>
  <c r="C38" i="52"/>
  <c r="K38" i="52"/>
  <c r="H38" i="53"/>
  <c r="W72" i="53"/>
  <c r="X72" i="53" s="1"/>
  <c r="F85" i="53"/>
  <c r="E38" i="52"/>
  <c r="H36" i="52"/>
  <c r="W51" i="52"/>
  <c r="X51" i="52" s="1"/>
  <c r="W69" i="52"/>
  <c r="X69" i="52" s="1"/>
  <c r="O10" i="53"/>
  <c r="T11" i="53" s="1"/>
  <c r="W11" i="53" s="1"/>
  <c r="X11" i="53" s="1"/>
  <c r="G83" i="34" s="1"/>
  <c r="H85" i="53"/>
  <c r="W70" i="53"/>
  <c r="X70" i="53" s="1"/>
  <c r="I85" i="53"/>
  <c r="W71" i="50"/>
  <c r="X71" i="50" s="1"/>
  <c r="W75" i="50"/>
  <c r="X75" i="50" s="1"/>
  <c r="W72" i="52"/>
  <c r="X72" i="52" s="1"/>
  <c r="S79" i="52" s="1"/>
  <c r="W74" i="53"/>
  <c r="X74" i="53" s="1"/>
  <c r="J85" i="53"/>
  <c r="O10" i="52"/>
  <c r="T11" i="52" s="1"/>
  <c r="W11" i="52" s="1"/>
  <c r="X11" i="52" s="1"/>
  <c r="G156" i="34" s="1"/>
  <c r="D85" i="53"/>
  <c r="W73" i="50"/>
  <c r="X73" i="50" s="1"/>
  <c r="O51" i="51"/>
  <c r="O53" i="51" s="1"/>
  <c r="Q57" i="51" s="1"/>
  <c r="T60" i="51" s="1"/>
  <c r="C267" i="34" s="1"/>
  <c r="G82" i="51"/>
  <c r="J38" i="52"/>
  <c r="E85" i="53"/>
  <c r="E82" i="53"/>
  <c r="X11" i="50"/>
  <c r="G302" i="34" s="1"/>
  <c r="F302" i="34"/>
  <c r="X52" i="52"/>
  <c r="F186" i="34"/>
  <c r="F203" i="34"/>
  <c r="D84" i="50"/>
  <c r="F185" i="34"/>
  <c r="F202" i="34"/>
  <c r="F156" i="34"/>
  <c r="W60" i="51"/>
  <c r="W24" i="50"/>
  <c r="E314" i="34"/>
  <c r="W28" i="50"/>
  <c r="E318" i="34"/>
  <c r="J38" i="50"/>
  <c r="W53" i="50"/>
  <c r="C333" i="34"/>
  <c r="C304" i="34"/>
  <c r="C350" i="34"/>
  <c r="E334" i="34"/>
  <c r="E351" i="34"/>
  <c r="W57" i="50"/>
  <c r="C354" i="34"/>
  <c r="C337" i="34"/>
  <c r="I85" i="50"/>
  <c r="I38" i="51"/>
  <c r="D261" i="34"/>
  <c r="D278" i="34"/>
  <c r="X9" i="52"/>
  <c r="G154" i="34" s="1"/>
  <c r="F154" i="34"/>
  <c r="E202" i="34"/>
  <c r="E185" i="34"/>
  <c r="W55" i="52"/>
  <c r="C189" i="34"/>
  <c r="C206" i="34"/>
  <c r="E190" i="34"/>
  <c r="E207" i="34"/>
  <c r="D82" i="52"/>
  <c r="W7" i="53"/>
  <c r="E79" i="34"/>
  <c r="G35" i="53"/>
  <c r="C41" i="53"/>
  <c r="D6" i="9" s="1"/>
  <c r="D129" i="34"/>
  <c r="D112" i="34"/>
  <c r="D116" i="34"/>
  <c r="D133" i="34"/>
  <c r="D45" i="34"/>
  <c r="D62" i="34"/>
  <c r="C62" i="34"/>
  <c r="C45" i="34"/>
  <c r="E44" i="34"/>
  <c r="E61" i="34"/>
  <c r="E42" i="34"/>
  <c r="E59" i="34"/>
  <c r="E40" i="34"/>
  <c r="E57" i="34"/>
  <c r="W4" i="50"/>
  <c r="C295" i="34"/>
  <c r="W9" i="50"/>
  <c r="E300" i="34"/>
  <c r="C38" i="50"/>
  <c r="K38" i="50"/>
  <c r="G36" i="50"/>
  <c r="D333" i="34"/>
  <c r="D350" i="34"/>
  <c r="D354" i="34"/>
  <c r="D337" i="34"/>
  <c r="J85" i="50"/>
  <c r="E83" i="50"/>
  <c r="W5" i="51"/>
  <c r="C223" i="34"/>
  <c r="W9" i="51"/>
  <c r="C227" i="34"/>
  <c r="W23" i="51"/>
  <c r="C240" i="34"/>
  <c r="W27" i="51"/>
  <c r="C244" i="34"/>
  <c r="J38" i="51"/>
  <c r="F36" i="51"/>
  <c r="W53" i="51"/>
  <c r="C277" i="34"/>
  <c r="C260" i="34"/>
  <c r="E278" i="34"/>
  <c r="E261" i="34"/>
  <c r="C264" i="34"/>
  <c r="C281" i="34"/>
  <c r="H85" i="51"/>
  <c r="W8" i="52"/>
  <c r="W23" i="52"/>
  <c r="E167" i="34"/>
  <c r="W27" i="52"/>
  <c r="E171" i="34"/>
  <c r="D189" i="34"/>
  <c r="D206" i="34"/>
  <c r="F82" i="52"/>
  <c r="F84" i="52" s="1"/>
  <c r="X10" i="53"/>
  <c r="G82" i="34" s="1"/>
  <c r="W25" i="53"/>
  <c r="E96" i="34"/>
  <c r="H35" i="53"/>
  <c r="E129" i="34"/>
  <c r="E112" i="34"/>
  <c r="W54" i="53"/>
  <c r="C115" i="34"/>
  <c r="C132" i="34"/>
  <c r="E116" i="34"/>
  <c r="E133" i="34"/>
  <c r="F82" i="53"/>
  <c r="E39" i="34"/>
  <c r="E56" i="34"/>
  <c r="D44" i="34"/>
  <c r="D61" i="34"/>
  <c r="D42" i="34"/>
  <c r="D59" i="34"/>
  <c r="D57" i="34"/>
  <c r="D40" i="34"/>
  <c r="W23" i="50"/>
  <c r="E313" i="34"/>
  <c r="W27" i="50"/>
  <c r="E317" i="34"/>
  <c r="D38" i="50"/>
  <c r="H36" i="50"/>
  <c r="O57" i="50"/>
  <c r="T58" i="50" s="1"/>
  <c r="W52" i="50"/>
  <c r="C332" i="34"/>
  <c r="C303" i="34"/>
  <c r="C349" i="34"/>
  <c r="E333" i="34"/>
  <c r="E350" i="34"/>
  <c r="W56" i="50"/>
  <c r="C336" i="34"/>
  <c r="C353" i="34"/>
  <c r="E337" i="34"/>
  <c r="E354" i="34"/>
  <c r="C38" i="51"/>
  <c r="K38" i="51"/>
  <c r="I36" i="51"/>
  <c r="I37" i="51" s="1"/>
  <c r="C259" i="34"/>
  <c r="C276" i="34"/>
  <c r="D277" i="34"/>
  <c r="D260" i="34"/>
  <c r="D264" i="34"/>
  <c r="D281" i="34"/>
  <c r="I85" i="51"/>
  <c r="P57" i="51"/>
  <c r="T59" i="51" s="1"/>
  <c r="H83" i="51"/>
  <c r="W5" i="52"/>
  <c r="C150" i="34"/>
  <c r="W7" i="52"/>
  <c r="E35" i="52"/>
  <c r="O57" i="52"/>
  <c r="T58" i="52" s="1"/>
  <c r="W54" i="52"/>
  <c r="C188" i="34"/>
  <c r="C205" i="34"/>
  <c r="E189" i="34"/>
  <c r="E206" i="34"/>
  <c r="J82" i="52"/>
  <c r="W5" i="53"/>
  <c r="C77" i="34"/>
  <c r="W6" i="53"/>
  <c r="E78" i="34"/>
  <c r="I38" i="53"/>
  <c r="I35" i="53"/>
  <c r="D115" i="34"/>
  <c r="D132" i="34"/>
  <c r="P57" i="53"/>
  <c r="T59" i="53" s="1"/>
  <c r="I82" i="53"/>
  <c r="D39" i="34"/>
  <c r="D56" i="34"/>
  <c r="C44" i="34"/>
  <c r="C61" i="34"/>
  <c r="C42" i="34"/>
  <c r="C59" i="34"/>
  <c r="C57" i="34"/>
  <c r="C40" i="34"/>
  <c r="W8" i="50"/>
  <c r="E299" i="34"/>
  <c r="E38" i="50"/>
  <c r="D35" i="50"/>
  <c r="K36" i="50"/>
  <c r="D349" i="34"/>
  <c r="D332" i="34"/>
  <c r="D336" i="34"/>
  <c r="D353" i="34"/>
  <c r="D85" i="50"/>
  <c r="O51" i="50"/>
  <c r="O53" i="50" s="1"/>
  <c r="Q57" i="50" s="1"/>
  <c r="T60" i="50" s="1"/>
  <c r="W4" i="51"/>
  <c r="C222" i="34"/>
  <c r="W8" i="51"/>
  <c r="C226" i="34"/>
  <c r="W22" i="51"/>
  <c r="C239" i="34"/>
  <c r="W26" i="51"/>
  <c r="C243" i="34"/>
  <c r="D38" i="51"/>
  <c r="C41" i="51"/>
  <c r="F6" i="9" s="1"/>
  <c r="C258" i="34"/>
  <c r="C275" i="34"/>
  <c r="D259" i="34"/>
  <c r="D276" i="34"/>
  <c r="E277" i="34"/>
  <c r="E260" i="34"/>
  <c r="W56" i="51"/>
  <c r="C280" i="34"/>
  <c r="C263" i="34"/>
  <c r="W57" i="51"/>
  <c r="E264" i="34"/>
  <c r="E281" i="34"/>
  <c r="W70" i="51"/>
  <c r="X70" i="51" s="1"/>
  <c r="W74" i="51"/>
  <c r="X74" i="51" s="1"/>
  <c r="J85" i="51"/>
  <c r="K83" i="51"/>
  <c r="K84" i="51" s="1"/>
  <c r="W6" i="52"/>
  <c r="W22" i="52"/>
  <c r="E166" i="34"/>
  <c r="W26" i="52"/>
  <c r="E170" i="34"/>
  <c r="G35" i="52"/>
  <c r="D188" i="34"/>
  <c r="D205" i="34"/>
  <c r="H85" i="52"/>
  <c r="P57" i="52"/>
  <c r="T59" i="52" s="1"/>
  <c r="E83" i="52"/>
  <c r="E84" i="52" s="1"/>
  <c r="C94" i="34"/>
  <c r="C85" i="34"/>
  <c r="W24" i="53"/>
  <c r="E95" i="34"/>
  <c r="W28" i="53"/>
  <c r="E99" i="34"/>
  <c r="J38" i="53"/>
  <c r="W53" i="53"/>
  <c r="C131" i="34"/>
  <c r="C114" i="34"/>
  <c r="E115" i="34"/>
  <c r="E132" i="34"/>
  <c r="W57" i="53"/>
  <c r="C118" i="34"/>
  <c r="C135" i="34"/>
  <c r="D83" i="53"/>
  <c r="D41" i="34"/>
  <c r="D58" i="34"/>
  <c r="C39" i="34"/>
  <c r="C56" i="34"/>
  <c r="W22" i="50"/>
  <c r="E312" i="34"/>
  <c r="W26" i="50"/>
  <c r="E316" i="34"/>
  <c r="W51" i="50"/>
  <c r="C331" i="34"/>
  <c r="C302" i="34"/>
  <c r="C348" i="34"/>
  <c r="E349" i="34"/>
  <c r="E332" i="34"/>
  <c r="W55" i="50"/>
  <c r="C335" i="34"/>
  <c r="C352" i="34"/>
  <c r="E336" i="34"/>
  <c r="E353" i="34"/>
  <c r="C88" i="50"/>
  <c r="G17" i="9" s="1"/>
  <c r="G16" i="9"/>
  <c r="E38" i="51"/>
  <c r="D275" i="34"/>
  <c r="D258" i="34"/>
  <c r="E259" i="34"/>
  <c r="E276" i="34"/>
  <c r="D280" i="34"/>
  <c r="D263" i="34"/>
  <c r="C84" i="51"/>
  <c r="W4" i="52"/>
  <c r="C149" i="34"/>
  <c r="G37" i="52"/>
  <c r="I35" i="52"/>
  <c r="W53" i="52"/>
  <c r="C204" i="34"/>
  <c r="C187" i="34"/>
  <c r="E205" i="34"/>
  <c r="E188" i="34"/>
  <c r="W57" i="52"/>
  <c r="C191" i="34"/>
  <c r="C208" i="34"/>
  <c r="I85" i="52"/>
  <c r="J83" i="52"/>
  <c r="W4" i="53"/>
  <c r="C76" i="34"/>
  <c r="W9" i="53"/>
  <c r="E81" i="34"/>
  <c r="C38" i="53"/>
  <c r="K38" i="53"/>
  <c r="G36" i="53"/>
  <c r="D131" i="34"/>
  <c r="D114" i="34"/>
  <c r="D118" i="34"/>
  <c r="D135" i="34"/>
  <c r="E83" i="53"/>
  <c r="E84" i="53" s="1"/>
  <c r="D60" i="34"/>
  <c r="D43" i="34"/>
  <c r="E45" i="34"/>
  <c r="E62" i="34"/>
  <c r="E60" i="34"/>
  <c r="E43" i="34"/>
  <c r="E41" i="34"/>
  <c r="E58" i="34"/>
  <c r="W7" i="50"/>
  <c r="E298" i="34"/>
  <c r="G35" i="50"/>
  <c r="G37" i="50" s="1"/>
  <c r="C41" i="50"/>
  <c r="G6" i="9" s="1"/>
  <c r="D331" i="34"/>
  <c r="D348" i="34"/>
  <c r="D335" i="34"/>
  <c r="D352" i="34"/>
  <c r="F85" i="50"/>
  <c r="E82" i="50"/>
  <c r="W7" i="51"/>
  <c r="C225" i="34"/>
  <c r="W25" i="51"/>
  <c r="C242" i="34"/>
  <c r="F37" i="51"/>
  <c r="E35" i="51"/>
  <c r="E275" i="34"/>
  <c r="E258" i="34"/>
  <c r="X52" i="51"/>
  <c r="F259" i="34"/>
  <c r="F276" i="34"/>
  <c r="W55" i="51"/>
  <c r="C279" i="34"/>
  <c r="C262" i="34"/>
  <c r="E280" i="34"/>
  <c r="E263" i="34"/>
  <c r="O69" i="51"/>
  <c r="T76" i="51" s="1"/>
  <c r="W76" i="51" s="1"/>
  <c r="X76" i="51" s="1"/>
  <c r="C88" i="51"/>
  <c r="F17" i="9" s="1"/>
  <c r="F16" i="9"/>
  <c r="X10" i="52"/>
  <c r="G155" i="34" s="1"/>
  <c r="F155" i="34"/>
  <c r="W25" i="52"/>
  <c r="E169" i="34"/>
  <c r="H37" i="52"/>
  <c r="E36" i="52"/>
  <c r="C186" i="34"/>
  <c r="C203" i="34"/>
  <c r="D187" i="34"/>
  <c r="D204" i="34"/>
  <c r="D191" i="34"/>
  <c r="D208" i="34"/>
  <c r="C88" i="52"/>
  <c r="E17" i="9" s="1"/>
  <c r="E16" i="9"/>
  <c r="C84" i="34"/>
  <c r="C93" i="34"/>
  <c r="W23" i="53"/>
  <c r="E94" i="34"/>
  <c r="W27" i="53"/>
  <c r="E98" i="34"/>
  <c r="D38" i="53"/>
  <c r="H36" i="53"/>
  <c r="O57" i="53"/>
  <c r="T58" i="53" s="1"/>
  <c r="W52" i="53"/>
  <c r="C130" i="34"/>
  <c r="C113" i="34"/>
  <c r="E131" i="34"/>
  <c r="E114" i="34"/>
  <c r="W56" i="53"/>
  <c r="C117" i="34"/>
  <c r="C134" i="34"/>
  <c r="E118" i="34"/>
  <c r="E135" i="34"/>
  <c r="H83" i="53"/>
  <c r="X10" i="50"/>
  <c r="G301" i="34" s="1"/>
  <c r="F301" i="34"/>
  <c r="W25" i="50"/>
  <c r="E315" i="34"/>
  <c r="H35" i="50"/>
  <c r="H37" i="50" s="1"/>
  <c r="E331" i="34"/>
  <c r="E348" i="34"/>
  <c r="W54" i="50"/>
  <c r="C351" i="34"/>
  <c r="C334" i="34"/>
  <c r="E352" i="34"/>
  <c r="E335" i="34"/>
  <c r="F82" i="50"/>
  <c r="W58" i="51"/>
  <c r="C282" i="34"/>
  <c r="C265" i="34"/>
  <c r="X51" i="51"/>
  <c r="F275" i="34"/>
  <c r="F258" i="34"/>
  <c r="D262" i="34"/>
  <c r="D279" i="34"/>
  <c r="C185" i="34"/>
  <c r="C202" i="34"/>
  <c r="D186" i="34"/>
  <c r="D203" i="34"/>
  <c r="E187" i="34"/>
  <c r="E204" i="34"/>
  <c r="W56" i="52"/>
  <c r="C207" i="34"/>
  <c r="C190" i="34"/>
  <c r="E191" i="34"/>
  <c r="E208" i="34"/>
  <c r="W8" i="53"/>
  <c r="E80" i="34"/>
  <c r="E38" i="53"/>
  <c r="D35" i="53"/>
  <c r="K36" i="53"/>
  <c r="D130" i="34"/>
  <c r="D113" i="34"/>
  <c r="D117" i="34"/>
  <c r="D134" i="34"/>
  <c r="O51" i="53"/>
  <c r="O53" i="53" s="1"/>
  <c r="Q57" i="53" s="1"/>
  <c r="T60" i="53" s="1"/>
  <c r="C43" i="34"/>
  <c r="C60" i="34"/>
  <c r="C41" i="34"/>
  <c r="C58" i="34"/>
  <c r="W5" i="50"/>
  <c r="C296" i="34"/>
  <c r="W6" i="50"/>
  <c r="E297" i="34"/>
  <c r="I38" i="50"/>
  <c r="I35" i="50"/>
  <c r="D334" i="34"/>
  <c r="D351" i="34"/>
  <c r="H85" i="50"/>
  <c r="P57" i="50"/>
  <c r="T59" i="50" s="1"/>
  <c r="I82" i="50"/>
  <c r="O10" i="51"/>
  <c r="T11" i="51" s="1"/>
  <c r="W11" i="51" s="1"/>
  <c r="W6" i="51"/>
  <c r="C224" i="34"/>
  <c r="W10" i="51"/>
  <c r="W24" i="51"/>
  <c r="C241" i="34"/>
  <c r="W28" i="51"/>
  <c r="C245" i="34"/>
  <c r="J35" i="51"/>
  <c r="J37" i="51" s="1"/>
  <c r="W54" i="51"/>
  <c r="C261" i="34"/>
  <c r="C278" i="34"/>
  <c r="E262" i="34"/>
  <c r="E279" i="34"/>
  <c r="W72" i="51"/>
  <c r="X72" i="51" s="1"/>
  <c r="F85" i="51"/>
  <c r="H82" i="51"/>
  <c r="H84" i="51" s="1"/>
  <c r="W24" i="52"/>
  <c r="E168" i="34"/>
  <c r="W28" i="52"/>
  <c r="E172" i="34"/>
  <c r="C41" i="52"/>
  <c r="E6" i="9" s="1"/>
  <c r="D202" i="34"/>
  <c r="D185" i="34"/>
  <c r="E186" i="34"/>
  <c r="E203" i="34"/>
  <c r="D207" i="34"/>
  <c r="D190" i="34"/>
  <c r="D84" i="52"/>
  <c r="O69" i="52"/>
  <c r="T76" i="52" s="1"/>
  <c r="W76" i="52" s="1"/>
  <c r="X76" i="52" s="1"/>
  <c r="W22" i="53"/>
  <c r="E93" i="34"/>
  <c r="W26" i="53"/>
  <c r="E97" i="34"/>
  <c r="E35" i="53"/>
  <c r="W51" i="53"/>
  <c r="C129" i="34"/>
  <c r="C112" i="34"/>
  <c r="E130" i="34"/>
  <c r="E113" i="34"/>
  <c r="W55" i="53"/>
  <c r="C116" i="34"/>
  <c r="C133" i="34"/>
  <c r="E134" i="34"/>
  <c r="E117" i="34"/>
  <c r="D82" i="53"/>
  <c r="C88" i="53"/>
  <c r="D17" i="9" s="1"/>
  <c r="D16" i="9"/>
  <c r="W7" i="48"/>
  <c r="X7" i="48" s="1"/>
  <c r="G91" i="33" s="1"/>
  <c r="W23" i="48"/>
  <c r="X23" i="48" s="1"/>
  <c r="G106" i="33" s="1"/>
  <c r="W7" i="49"/>
  <c r="F49" i="33" s="1"/>
  <c r="W10" i="49"/>
  <c r="X10" i="49" s="1"/>
  <c r="G52" i="33" s="1"/>
  <c r="W22" i="49"/>
  <c r="X22" i="49" s="1"/>
  <c r="G63" i="33" s="1"/>
  <c r="W4" i="49"/>
  <c r="X4" i="49" s="1"/>
  <c r="G46" i="33" s="1"/>
  <c r="W26" i="47"/>
  <c r="X26" i="47" s="1"/>
  <c r="G153" i="33" s="1"/>
  <c r="W26" i="49"/>
  <c r="X26" i="49" s="1"/>
  <c r="G67" i="33" s="1"/>
  <c r="F38" i="44"/>
  <c r="E369" i="31" s="1"/>
  <c r="E364" i="31"/>
  <c r="D36" i="45"/>
  <c r="C320" i="31" s="1"/>
  <c r="C317" i="31"/>
  <c r="I6" i="7"/>
  <c r="B325" i="31"/>
  <c r="E35" i="48"/>
  <c r="D131" i="31" s="1"/>
  <c r="D129" i="31"/>
  <c r="C41" i="49"/>
  <c r="B89" i="31" s="1"/>
  <c r="D4" i="7"/>
  <c r="B82" i="31"/>
  <c r="J82" i="31"/>
  <c r="J36" i="43"/>
  <c r="I273" i="31" s="1"/>
  <c r="I270" i="31"/>
  <c r="G38" i="44"/>
  <c r="F369" i="31" s="1"/>
  <c r="F364" i="31"/>
  <c r="E35" i="45"/>
  <c r="D319" i="31" s="1"/>
  <c r="D317" i="31"/>
  <c r="W4" i="46"/>
  <c r="X4" i="46" s="1"/>
  <c r="G175" i="33" s="1"/>
  <c r="I36" i="46"/>
  <c r="H226" i="31" s="1"/>
  <c r="H223" i="31"/>
  <c r="C82" i="31"/>
  <c r="C36" i="43"/>
  <c r="B273" i="31" s="1"/>
  <c r="B270" i="31"/>
  <c r="K36" i="43"/>
  <c r="J273" i="31" s="1"/>
  <c r="J270" i="31"/>
  <c r="W4" i="44"/>
  <c r="F307" i="33" s="1"/>
  <c r="H38" i="44"/>
  <c r="G369" i="31" s="1"/>
  <c r="G364" i="31"/>
  <c r="W7" i="46"/>
  <c r="F178" i="33" s="1"/>
  <c r="K35" i="46"/>
  <c r="J225" i="31" s="1"/>
  <c r="J223" i="31"/>
  <c r="K36" i="47"/>
  <c r="J179" i="31" s="1"/>
  <c r="J176" i="31"/>
  <c r="W8" i="48"/>
  <c r="F92" i="33" s="1"/>
  <c r="G38" i="48"/>
  <c r="F134" i="31" s="1"/>
  <c r="F129" i="31"/>
  <c r="D82" i="31"/>
  <c r="W8" i="43"/>
  <c r="X8" i="43" s="1"/>
  <c r="G223" i="33" s="1"/>
  <c r="D35" i="43"/>
  <c r="C272" i="31" s="1"/>
  <c r="C270" i="31"/>
  <c r="C41" i="43"/>
  <c r="B277" i="31" s="1"/>
  <c r="H4" i="7"/>
  <c r="B276" i="31"/>
  <c r="W8" i="44"/>
  <c r="X8" i="44" s="1"/>
  <c r="G311" i="33" s="1"/>
  <c r="J38" i="44"/>
  <c r="I369" i="31" s="1"/>
  <c r="I364" i="31"/>
  <c r="G38" i="45"/>
  <c r="F322" i="31" s="1"/>
  <c r="F317" i="31"/>
  <c r="C35" i="46"/>
  <c r="B225" i="31" s="1"/>
  <c r="B223" i="31"/>
  <c r="W25" i="47"/>
  <c r="X25" i="47" s="1"/>
  <c r="G152" i="33" s="1"/>
  <c r="C36" i="47"/>
  <c r="B179" i="31" s="1"/>
  <c r="B176" i="31"/>
  <c r="C41" i="47"/>
  <c r="B183" i="31" s="1"/>
  <c r="F4" i="7"/>
  <c r="B137" i="31"/>
  <c r="B182" i="31"/>
  <c r="E35" i="43"/>
  <c r="D272" i="31" s="1"/>
  <c r="D270" i="31"/>
  <c r="H6" i="7"/>
  <c r="B278" i="31"/>
  <c r="K36" i="44"/>
  <c r="J367" i="31" s="1"/>
  <c r="J364" i="31"/>
  <c r="C41" i="46"/>
  <c r="B230" i="31" s="1"/>
  <c r="G4" i="7"/>
  <c r="B229" i="31"/>
  <c r="D36" i="47"/>
  <c r="C179" i="31" s="1"/>
  <c r="C176" i="31"/>
  <c r="W24" i="49"/>
  <c r="X24" i="49" s="1"/>
  <c r="G65" i="33" s="1"/>
  <c r="F82" i="31"/>
  <c r="B184" i="31"/>
  <c r="C36" i="44"/>
  <c r="B367" i="31" s="1"/>
  <c r="B364" i="31"/>
  <c r="C41" i="44"/>
  <c r="J4" i="7"/>
  <c r="B370" i="31"/>
  <c r="E38" i="46"/>
  <c r="D228" i="31" s="1"/>
  <c r="D223" i="31"/>
  <c r="B231" i="31"/>
  <c r="G6" i="7"/>
  <c r="W24" i="47"/>
  <c r="F151" i="33" s="1"/>
  <c r="W27" i="47"/>
  <c r="F154" i="33" s="1"/>
  <c r="E35" i="47"/>
  <c r="D178" i="31" s="1"/>
  <c r="D176" i="31"/>
  <c r="G82" i="31"/>
  <c r="W6" i="43"/>
  <c r="F221" i="33" s="1"/>
  <c r="G38" i="43"/>
  <c r="F275" i="31" s="1"/>
  <c r="F270" i="31"/>
  <c r="D38" i="44"/>
  <c r="C369" i="31" s="1"/>
  <c r="C364" i="31"/>
  <c r="J6" i="7"/>
  <c r="B372" i="31"/>
  <c r="W9" i="46"/>
  <c r="F180" i="33" s="1"/>
  <c r="F35" i="47"/>
  <c r="E178" i="31" s="1"/>
  <c r="E176" i="31"/>
  <c r="C41" i="48"/>
  <c r="B136" i="31" s="1"/>
  <c r="E4" i="7"/>
  <c r="W23" i="49"/>
  <c r="X23" i="49" s="1"/>
  <c r="G64" i="33" s="1"/>
  <c r="W25" i="49"/>
  <c r="X25" i="49" s="1"/>
  <c r="G66" i="33" s="1"/>
  <c r="W28" i="49"/>
  <c r="X28" i="49" s="1"/>
  <c r="G69" i="33" s="1"/>
  <c r="H82" i="31"/>
  <c r="B88" i="31"/>
  <c r="H35" i="43"/>
  <c r="G272" i="31" s="1"/>
  <c r="G270" i="31"/>
  <c r="W7" i="44"/>
  <c r="F310" i="33" s="1"/>
  <c r="E38" i="44"/>
  <c r="D369" i="31" s="1"/>
  <c r="D364" i="31"/>
  <c r="W4" i="45"/>
  <c r="F263" i="33" s="1"/>
  <c r="C41" i="45"/>
  <c r="B324" i="31" s="1"/>
  <c r="I4" i="7"/>
  <c r="B323" i="31"/>
  <c r="G38" i="46"/>
  <c r="F228" i="31" s="1"/>
  <c r="F223" i="31"/>
  <c r="W23" i="47"/>
  <c r="X23" i="47" s="1"/>
  <c r="G150" i="33" s="1"/>
  <c r="W28" i="47"/>
  <c r="X28" i="47" s="1"/>
  <c r="G155" i="33" s="1"/>
  <c r="G38" i="47"/>
  <c r="F181" i="31" s="1"/>
  <c r="F176" i="31"/>
  <c r="D36" i="48"/>
  <c r="C132" i="31" s="1"/>
  <c r="C129" i="31"/>
  <c r="W5" i="49"/>
  <c r="X5" i="49" s="1"/>
  <c r="G47" i="33" s="1"/>
  <c r="W8" i="49"/>
  <c r="X8" i="49" s="1"/>
  <c r="G50" i="33" s="1"/>
  <c r="B90" i="31"/>
  <c r="F311" i="33"/>
  <c r="X22" i="47"/>
  <c r="G149" i="33" s="1"/>
  <c r="F149" i="33"/>
  <c r="W28" i="48"/>
  <c r="C111" i="33"/>
  <c r="C178" i="33"/>
  <c r="W26" i="43"/>
  <c r="C240" i="33"/>
  <c r="X22" i="48"/>
  <c r="G105" i="33" s="1"/>
  <c r="F105" i="33"/>
  <c r="W23" i="46"/>
  <c r="E193" i="33"/>
  <c r="W5" i="48"/>
  <c r="W23" i="43"/>
  <c r="C237" i="33"/>
  <c r="W25" i="43"/>
  <c r="C239" i="33"/>
  <c r="W6" i="44"/>
  <c r="W10" i="44"/>
  <c r="W25" i="44"/>
  <c r="E327" i="33"/>
  <c r="W27" i="44"/>
  <c r="E329" i="33"/>
  <c r="W5" i="45"/>
  <c r="W9" i="45"/>
  <c r="E268" i="33"/>
  <c r="W25" i="46"/>
  <c r="E195" i="33"/>
  <c r="W27" i="46"/>
  <c r="E197" i="33"/>
  <c r="W7" i="47"/>
  <c r="W10" i="47"/>
  <c r="W6" i="49"/>
  <c r="W27" i="49"/>
  <c r="C91" i="33"/>
  <c r="F106" i="33"/>
  <c r="C307" i="33"/>
  <c r="W5" i="44"/>
  <c r="C308" i="33"/>
  <c r="X8" i="48"/>
  <c r="G92" i="33" s="1"/>
  <c r="W27" i="43"/>
  <c r="C241" i="33"/>
  <c r="W23" i="45"/>
  <c r="C281" i="33"/>
  <c r="X9" i="46"/>
  <c r="G180" i="33" s="1"/>
  <c r="X24" i="47"/>
  <c r="G151" i="33" s="1"/>
  <c r="W4" i="48"/>
  <c r="C49" i="33"/>
  <c r="W24" i="45"/>
  <c r="C282" i="33"/>
  <c r="W23" i="44"/>
  <c r="E325" i="33"/>
  <c r="W6" i="46"/>
  <c r="C177" i="33"/>
  <c r="W5" i="43"/>
  <c r="C220" i="33"/>
  <c r="W7" i="43"/>
  <c r="W10" i="43"/>
  <c r="W8" i="45"/>
  <c r="W25" i="45"/>
  <c r="C283" i="33"/>
  <c r="W27" i="45"/>
  <c r="C285" i="33"/>
  <c r="W6" i="47"/>
  <c r="W10" i="48"/>
  <c r="W25" i="48"/>
  <c r="W27" i="48"/>
  <c r="W9" i="49"/>
  <c r="C55" i="33"/>
  <c r="C63" i="33"/>
  <c r="C66" i="33"/>
  <c r="E88" i="33"/>
  <c r="F91" i="33"/>
  <c r="C93" i="33"/>
  <c r="C105" i="33"/>
  <c r="C134" i="33"/>
  <c r="C155" i="33"/>
  <c r="C180" i="33"/>
  <c r="W28" i="43"/>
  <c r="C242" i="33"/>
  <c r="W22" i="45"/>
  <c r="C280" i="33"/>
  <c r="X7" i="46"/>
  <c r="G178" i="33" s="1"/>
  <c r="W22" i="44"/>
  <c r="E324" i="33"/>
  <c r="X5" i="46"/>
  <c r="G176" i="33" s="1"/>
  <c r="F176" i="33"/>
  <c r="W8" i="46"/>
  <c r="C179" i="33"/>
  <c r="W22" i="46"/>
  <c r="E192" i="33"/>
  <c r="W24" i="46"/>
  <c r="E194" i="33"/>
  <c r="W6" i="48"/>
  <c r="C51" i="33"/>
  <c r="F52" i="33"/>
  <c r="C311" i="33"/>
  <c r="W4" i="43"/>
  <c r="C219" i="33"/>
  <c r="W22" i="43"/>
  <c r="C236" i="33"/>
  <c r="W24" i="43"/>
  <c r="C238" i="33"/>
  <c r="W9" i="44"/>
  <c r="W24" i="44"/>
  <c r="E326" i="33"/>
  <c r="W26" i="44"/>
  <c r="E328" i="33"/>
  <c r="W7" i="45"/>
  <c r="E266" i="33"/>
  <c r="W10" i="45"/>
  <c r="E269" i="33"/>
  <c r="F175" i="33"/>
  <c r="W26" i="46"/>
  <c r="E196" i="33"/>
  <c r="W28" i="46"/>
  <c r="E198" i="33"/>
  <c r="W5" i="47"/>
  <c r="C133" i="33"/>
  <c r="W9" i="47"/>
  <c r="C137" i="33"/>
  <c r="F46" i="33"/>
  <c r="C48" i="33"/>
  <c r="F69" i="33"/>
  <c r="C135" i="33"/>
  <c r="C149" i="33"/>
  <c r="F63" i="33"/>
  <c r="C92" i="33"/>
  <c r="F93" i="33"/>
  <c r="C110" i="33"/>
  <c r="W28" i="44"/>
  <c r="E330" i="33"/>
  <c r="W9" i="43"/>
  <c r="W6" i="45"/>
  <c r="E265" i="33"/>
  <c r="W26" i="45"/>
  <c r="C284" i="33"/>
  <c r="W28" i="45"/>
  <c r="C286" i="33"/>
  <c r="W10" i="46"/>
  <c r="W4" i="47"/>
  <c r="C132" i="33"/>
  <c r="W8" i="47"/>
  <c r="C136" i="33"/>
  <c r="W24" i="48"/>
  <c r="C107" i="33"/>
  <c r="W26" i="48"/>
  <c r="C109" i="33"/>
  <c r="X7" i="49"/>
  <c r="G49" i="33" s="1"/>
  <c r="C50" i="33"/>
  <c r="C106" i="33"/>
  <c r="C108" i="33"/>
  <c r="E267" i="33"/>
  <c r="G3" i="9"/>
  <c r="F3" i="9"/>
  <c r="C3" i="9"/>
  <c r="E3" i="9"/>
  <c r="D3" i="9"/>
  <c r="I5" i="7"/>
  <c r="G5" i="7"/>
  <c r="O10" i="44"/>
  <c r="T11" i="44" s="1"/>
  <c r="W11" i="44" s="1"/>
  <c r="O22" i="44"/>
  <c r="T29" i="44" s="1"/>
  <c r="O4" i="44"/>
  <c r="O6" i="44" s="1"/>
  <c r="Q10" i="44" s="1"/>
  <c r="T13" i="44" s="1"/>
  <c r="W13" i="44" s="1"/>
  <c r="D35" i="44"/>
  <c r="C366" i="31" s="1"/>
  <c r="L17" i="44"/>
  <c r="K348" i="31" s="1"/>
  <c r="L21" i="44"/>
  <c r="K352" i="31" s="1"/>
  <c r="E35" i="44"/>
  <c r="D366" i="31" s="1"/>
  <c r="L23" i="44"/>
  <c r="K354" i="31" s="1"/>
  <c r="L27" i="44"/>
  <c r="K358" i="31" s="1"/>
  <c r="L31" i="44"/>
  <c r="K362" i="31" s="1"/>
  <c r="L18" i="44"/>
  <c r="K349" i="31" s="1"/>
  <c r="L22" i="44"/>
  <c r="K353" i="31" s="1"/>
  <c r="P10" i="44"/>
  <c r="T12" i="44" s="1"/>
  <c r="W12" i="44" s="1"/>
  <c r="D36" i="44"/>
  <c r="L26" i="44"/>
  <c r="K357" i="31" s="1"/>
  <c r="L32" i="44"/>
  <c r="K363" i="31" s="1"/>
  <c r="I33" i="44"/>
  <c r="E36" i="44"/>
  <c r="D367" i="31" s="1"/>
  <c r="L19" i="44"/>
  <c r="K350" i="31" s="1"/>
  <c r="H36" i="44"/>
  <c r="G367" i="31" s="1"/>
  <c r="L25" i="44"/>
  <c r="K356" i="31" s="1"/>
  <c r="L29" i="44"/>
  <c r="K360" i="31" s="1"/>
  <c r="F38" i="45"/>
  <c r="E322" i="31" s="1"/>
  <c r="H38" i="45"/>
  <c r="G322" i="31" s="1"/>
  <c r="O10" i="45"/>
  <c r="T11" i="45" s="1"/>
  <c r="W11" i="45" s="1"/>
  <c r="C42" i="45"/>
  <c r="H36" i="45"/>
  <c r="G320" i="31" s="1"/>
  <c r="J38" i="45"/>
  <c r="I322" i="31" s="1"/>
  <c r="K38" i="45"/>
  <c r="J322" i="31" s="1"/>
  <c r="J34" i="45"/>
  <c r="P10" i="45" s="1"/>
  <c r="T12" i="45" s="1"/>
  <c r="W12" i="45" s="1"/>
  <c r="G36" i="45"/>
  <c r="F320" i="31" s="1"/>
  <c r="L10" i="45"/>
  <c r="K294" i="31" s="1"/>
  <c r="L20" i="45"/>
  <c r="K304" i="31" s="1"/>
  <c r="L24" i="45"/>
  <c r="K308" i="31" s="1"/>
  <c r="L28" i="45"/>
  <c r="K312" i="31" s="1"/>
  <c r="L30" i="45"/>
  <c r="K314" i="31" s="1"/>
  <c r="C35" i="45"/>
  <c r="B319" i="31" s="1"/>
  <c r="K36" i="45"/>
  <c r="J320" i="31" s="1"/>
  <c r="G35" i="45"/>
  <c r="L21" i="45"/>
  <c r="K305" i="31" s="1"/>
  <c r="L23" i="45"/>
  <c r="K307" i="31" s="1"/>
  <c r="L27" i="45"/>
  <c r="K311" i="31" s="1"/>
  <c r="L31" i="45"/>
  <c r="K315" i="31" s="1"/>
  <c r="H35" i="45"/>
  <c r="G319" i="31" s="1"/>
  <c r="K35" i="45"/>
  <c r="J319" i="31" s="1"/>
  <c r="L18" i="45"/>
  <c r="K302" i="31" s="1"/>
  <c r="L22" i="45"/>
  <c r="K306" i="31" s="1"/>
  <c r="L26" i="45"/>
  <c r="K310" i="31" s="1"/>
  <c r="L32" i="45"/>
  <c r="K316" i="31" s="1"/>
  <c r="I38" i="45"/>
  <c r="H322" i="31" s="1"/>
  <c r="C36" i="45"/>
  <c r="B320" i="31" s="1"/>
  <c r="F36" i="45"/>
  <c r="E320" i="31" s="1"/>
  <c r="K35" i="43"/>
  <c r="F38" i="43"/>
  <c r="E275" i="31" s="1"/>
  <c r="O10" i="43"/>
  <c r="T11" i="43" s="1"/>
  <c r="W11" i="43" s="1"/>
  <c r="I38" i="43"/>
  <c r="H275" i="31" s="1"/>
  <c r="I35" i="43"/>
  <c r="H272" i="31" s="1"/>
  <c r="I34" i="43"/>
  <c r="O22" i="43" s="1"/>
  <c r="T29" i="43" s="1"/>
  <c r="F36" i="43"/>
  <c r="E273" i="31" s="1"/>
  <c r="L19" i="43"/>
  <c r="K256" i="31" s="1"/>
  <c r="L25" i="43"/>
  <c r="K262" i="31" s="1"/>
  <c r="L29" i="43"/>
  <c r="K266" i="31" s="1"/>
  <c r="G36" i="43"/>
  <c r="F273" i="31" s="1"/>
  <c r="L20" i="43"/>
  <c r="K257" i="31" s="1"/>
  <c r="L24" i="43"/>
  <c r="K261" i="31" s="1"/>
  <c r="L28" i="43"/>
  <c r="K265" i="31" s="1"/>
  <c r="L30" i="43"/>
  <c r="K267" i="31" s="1"/>
  <c r="C35" i="43"/>
  <c r="L9" i="43"/>
  <c r="K246" i="31" s="1"/>
  <c r="G35" i="43"/>
  <c r="F272" i="31" s="1"/>
  <c r="L17" i="43"/>
  <c r="K254" i="31" s="1"/>
  <c r="L21" i="43"/>
  <c r="K258" i="31" s="1"/>
  <c r="L23" i="43"/>
  <c r="K260" i="31" s="1"/>
  <c r="L27" i="43"/>
  <c r="K264" i="31" s="1"/>
  <c r="L31" i="43"/>
  <c r="K268" i="31" s="1"/>
  <c r="H38" i="43"/>
  <c r="G275" i="31" s="1"/>
  <c r="H38" i="46"/>
  <c r="G228" i="31" s="1"/>
  <c r="D38" i="46"/>
  <c r="C228" i="31" s="1"/>
  <c r="O10" i="46"/>
  <c r="T11" i="46" s="1"/>
  <c r="W11" i="46" s="1"/>
  <c r="J38" i="46"/>
  <c r="I228" i="31" s="1"/>
  <c r="J34" i="46"/>
  <c r="H36" i="46"/>
  <c r="G226" i="31" s="1"/>
  <c r="L20" i="46"/>
  <c r="K210" i="31" s="1"/>
  <c r="L24" i="46"/>
  <c r="K214" i="31" s="1"/>
  <c r="L28" i="46"/>
  <c r="K218" i="31" s="1"/>
  <c r="L30" i="46"/>
  <c r="K220" i="31" s="1"/>
  <c r="D35" i="46"/>
  <c r="C225" i="31" s="1"/>
  <c r="C42" i="46"/>
  <c r="E35" i="46"/>
  <c r="D225" i="31" s="1"/>
  <c r="L21" i="46"/>
  <c r="K211" i="31" s="1"/>
  <c r="L23" i="46"/>
  <c r="K213" i="31" s="1"/>
  <c r="L27" i="46"/>
  <c r="K217" i="31" s="1"/>
  <c r="L31" i="46"/>
  <c r="K221" i="31" s="1"/>
  <c r="J35" i="46"/>
  <c r="I225" i="31" s="1"/>
  <c r="C36" i="46"/>
  <c r="L18" i="46"/>
  <c r="K208" i="31" s="1"/>
  <c r="L22" i="46"/>
  <c r="K212" i="31" s="1"/>
  <c r="L26" i="46"/>
  <c r="K216" i="31" s="1"/>
  <c r="L32" i="46"/>
  <c r="K222" i="31" s="1"/>
  <c r="D36" i="46"/>
  <c r="C226" i="31" s="1"/>
  <c r="E36" i="46"/>
  <c r="D226" i="31" s="1"/>
  <c r="O4" i="47"/>
  <c r="O6" i="47" s="1"/>
  <c r="Q10" i="47" s="1"/>
  <c r="T13" i="47" s="1"/>
  <c r="W13" i="47" s="1"/>
  <c r="E36" i="47"/>
  <c r="P10" i="47"/>
  <c r="T12" i="47" s="1"/>
  <c r="W12" i="47" s="1"/>
  <c r="H38" i="47"/>
  <c r="G181" i="31" s="1"/>
  <c r="M10" i="47"/>
  <c r="L153" i="31" s="1"/>
  <c r="M20" i="47"/>
  <c r="L163" i="31" s="1"/>
  <c r="M26" i="47"/>
  <c r="L169" i="31" s="1"/>
  <c r="L23" i="47"/>
  <c r="K166" i="31" s="1"/>
  <c r="L32" i="47"/>
  <c r="K175" i="31" s="1"/>
  <c r="I38" i="47"/>
  <c r="H181" i="31" s="1"/>
  <c r="H36" i="47"/>
  <c r="G179" i="31" s="1"/>
  <c r="L18" i="47"/>
  <c r="K161" i="31" s="1"/>
  <c r="L22" i="47"/>
  <c r="K165" i="31" s="1"/>
  <c r="J33" i="47"/>
  <c r="C42" i="47" s="1"/>
  <c r="I36" i="47"/>
  <c r="H179" i="31" s="1"/>
  <c r="L29" i="47"/>
  <c r="K172" i="31" s="1"/>
  <c r="L19" i="47"/>
  <c r="K162" i="31" s="1"/>
  <c r="L28" i="47"/>
  <c r="K171" i="31" s="1"/>
  <c r="L27" i="47"/>
  <c r="K170" i="31" s="1"/>
  <c r="L30" i="47"/>
  <c r="K173" i="31" s="1"/>
  <c r="F38" i="47"/>
  <c r="E181" i="31" s="1"/>
  <c r="I35" i="47"/>
  <c r="H178" i="31" s="1"/>
  <c r="O4" i="48"/>
  <c r="O6" i="48" s="1"/>
  <c r="Q10" i="48" s="1"/>
  <c r="T13" i="48" s="1"/>
  <c r="W13" i="48" s="1"/>
  <c r="I38" i="48"/>
  <c r="H134" i="31" s="1"/>
  <c r="O10" i="48"/>
  <c r="T11" i="48" s="1"/>
  <c r="W11" i="48" s="1"/>
  <c r="K38" i="48"/>
  <c r="J134" i="31" s="1"/>
  <c r="C38" i="48"/>
  <c r="B134" i="31" s="1"/>
  <c r="O22" i="48"/>
  <c r="T29" i="48" s="1"/>
  <c r="G35" i="48"/>
  <c r="F131" i="31" s="1"/>
  <c r="P10" i="48"/>
  <c r="T12" i="48" s="1"/>
  <c r="W12" i="48" s="1"/>
  <c r="H38" i="48"/>
  <c r="G134" i="31" s="1"/>
  <c r="F38" i="48"/>
  <c r="E134" i="31" s="1"/>
  <c r="C35" i="48"/>
  <c r="B131" i="31" s="1"/>
  <c r="L21" i="48"/>
  <c r="K117" i="31" s="1"/>
  <c r="L23" i="48"/>
  <c r="K119" i="31" s="1"/>
  <c r="L27" i="48"/>
  <c r="K123" i="31" s="1"/>
  <c r="L31" i="48"/>
  <c r="K127" i="31" s="1"/>
  <c r="K35" i="48"/>
  <c r="J131" i="31" s="1"/>
  <c r="L18" i="48"/>
  <c r="K114" i="31" s="1"/>
  <c r="L22" i="48"/>
  <c r="K118" i="31" s="1"/>
  <c r="L26" i="48"/>
  <c r="K122" i="31" s="1"/>
  <c r="L32" i="48"/>
  <c r="K128" i="31" s="1"/>
  <c r="C36" i="48"/>
  <c r="B132" i="31" s="1"/>
  <c r="J33" i="48"/>
  <c r="F36" i="48"/>
  <c r="E132" i="31" s="1"/>
  <c r="L19" i="48"/>
  <c r="K115" i="31" s="1"/>
  <c r="L25" i="48"/>
  <c r="K121" i="31" s="1"/>
  <c r="L29" i="48"/>
  <c r="K125" i="31" s="1"/>
  <c r="K36" i="48"/>
  <c r="J132" i="31" s="1"/>
  <c r="G36" i="49"/>
  <c r="F85" i="31" s="1"/>
  <c r="O22" i="49"/>
  <c r="T29" i="49" s="1"/>
  <c r="M25" i="49"/>
  <c r="M31" i="49"/>
  <c r="L80" i="31" s="1"/>
  <c r="H38" i="49"/>
  <c r="G87" i="31" s="1"/>
  <c r="P10" i="49"/>
  <c r="T12" i="49" s="1"/>
  <c r="W12" i="49" s="1"/>
  <c r="E36" i="49"/>
  <c r="L18" i="49"/>
  <c r="K67" i="31" s="1"/>
  <c r="L22" i="49"/>
  <c r="K71" i="31" s="1"/>
  <c r="J33" i="49"/>
  <c r="H36" i="49"/>
  <c r="L29" i="49"/>
  <c r="K78" i="31" s="1"/>
  <c r="C38" i="49"/>
  <c r="L19" i="49"/>
  <c r="K68" i="31" s="1"/>
  <c r="L28" i="49"/>
  <c r="K77" i="31" s="1"/>
  <c r="L10" i="49"/>
  <c r="K59" i="31" s="1"/>
  <c r="L27" i="49"/>
  <c r="K76" i="31" s="1"/>
  <c r="L30" i="49"/>
  <c r="K79" i="31" s="1"/>
  <c r="D35" i="49"/>
  <c r="C84" i="31" s="1"/>
  <c r="L20" i="49"/>
  <c r="K69" i="31" s="1"/>
  <c r="L26" i="49"/>
  <c r="K75" i="31" s="1"/>
  <c r="F38" i="49"/>
  <c r="E87" i="31" s="1"/>
  <c r="F35" i="49"/>
  <c r="E84" i="31" s="1"/>
  <c r="F38" i="53"/>
  <c r="K85" i="53"/>
  <c r="J35" i="53"/>
  <c r="I36" i="53"/>
  <c r="I37" i="53" s="1"/>
  <c r="C42" i="53"/>
  <c r="D7" i="9" s="1"/>
  <c r="G82" i="53"/>
  <c r="F83" i="53"/>
  <c r="C85" i="53"/>
  <c r="C35" i="53"/>
  <c r="K35" i="53"/>
  <c r="K37" i="53" s="1"/>
  <c r="J36" i="53"/>
  <c r="H82" i="53"/>
  <c r="G83" i="53"/>
  <c r="O69" i="53"/>
  <c r="T76" i="53" s="1"/>
  <c r="W76" i="53" s="1"/>
  <c r="X76" i="53" s="1"/>
  <c r="D36" i="53"/>
  <c r="D37" i="53" s="1"/>
  <c r="J82" i="53"/>
  <c r="J84" i="53" s="1"/>
  <c r="I83" i="53"/>
  <c r="I84" i="53" s="1"/>
  <c r="C89" i="53"/>
  <c r="D18" i="9" s="1"/>
  <c r="F35" i="53"/>
  <c r="F37" i="53" s="1"/>
  <c r="E36" i="53"/>
  <c r="E37" i="53" s="1"/>
  <c r="C82" i="53"/>
  <c r="C84" i="53" s="1"/>
  <c r="K82" i="53"/>
  <c r="K84" i="53" s="1"/>
  <c r="J83" i="53"/>
  <c r="F38" i="52"/>
  <c r="K85" i="52"/>
  <c r="J35" i="52"/>
  <c r="I36" i="52"/>
  <c r="I37" i="52" s="1"/>
  <c r="G38" i="52"/>
  <c r="C42" i="52"/>
  <c r="E7" i="9" s="1"/>
  <c r="O51" i="52"/>
  <c r="O53" i="52" s="1"/>
  <c r="Q57" i="52" s="1"/>
  <c r="T60" i="52" s="1"/>
  <c r="G82" i="52"/>
  <c r="F83" i="52"/>
  <c r="D85" i="52"/>
  <c r="C85" i="52"/>
  <c r="C35" i="52"/>
  <c r="K35" i="52"/>
  <c r="J36" i="52"/>
  <c r="H38" i="52"/>
  <c r="H82" i="52"/>
  <c r="G83" i="52"/>
  <c r="E85" i="52"/>
  <c r="D35" i="52"/>
  <c r="C36" i="52"/>
  <c r="K36" i="52"/>
  <c r="I82" i="52"/>
  <c r="H83" i="52"/>
  <c r="D36" i="52"/>
  <c r="I83" i="52"/>
  <c r="C89" i="52"/>
  <c r="E18" i="9" s="1"/>
  <c r="F35" i="52"/>
  <c r="F37" i="52" s="1"/>
  <c r="C82" i="52"/>
  <c r="C84" i="52" s="1"/>
  <c r="K82" i="52"/>
  <c r="K84" i="52" s="1"/>
  <c r="S79" i="51"/>
  <c r="H36" i="51"/>
  <c r="H37" i="51" s="1"/>
  <c r="F38" i="51"/>
  <c r="F82" i="51"/>
  <c r="F84" i="51" s="1"/>
  <c r="E83" i="51"/>
  <c r="E84" i="51" s="1"/>
  <c r="C85" i="51"/>
  <c r="K85" i="51"/>
  <c r="G38" i="51"/>
  <c r="J36" i="51"/>
  <c r="H38" i="51"/>
  <c r="G83" i="51"/>
  <c r="G84" i="51" s="1"/>
  <c r="E85" i="51"/>
  <c r="C42" i="51"/>
  <c r="F7" i="9" s="1"/>
  <c r="D35" i="51"/>
  <c r="C36" i="51"/>
  <c r="C37" i="51" s="1"/>
  <c r="K36" i="51"/>
  <c r="K37" i="51" s="1"/>
  <c r="I82" i="51"/>
  <c r="D85" i="51"/>
  <c r="D36" i="51"/>
  <c r="J82" i="51"/>
  <c r="I83" i="51"/>
  <c r="C89" i="51"/>
  <c r="F18" i="9" s="1"/>
  <c r="E36" i="51"/>
  <c r="J83" i="51"/>
  <c r="G35" i="51"/>
  <c r="G37" i="51" s="1"/>
  <c r="D82" i="51"/>
  <c r="D84" i="51" s="1"/>
  <c r="F38" i="50"/>
  <c r="K85" i="50"/>
  <c r="J35" i="50"/>
  <c r="I36" i="50"/>
  <c r="I37" i="50" s="1"/>
  <c r="C42" i="50"/>
  <c r="G7" i="9" s="1"/>
  <c r="G82" i="50"/>
  <c r="F83" i="50"/>
  <c r="F84" i="50" s="1"/>
  <c r="C85" i="50"/>
  <c r="C35" i="50"/>
  <c r="K35" i="50"/>
  <c r="J36" i="50"/>
  <c r="H82" i="50"/>
  <c r="H84" i="50" s="1"/>
  <c r="G83" i="50"/>
  <c r="O69" i="50"/>
  <c r="T76" i="50" s="1"/>
  <c r="W76" i="50" s="1"/>
  <c r="X76" i="50" s="1"/>
  <c r="D36" i="50"/>
  <c r="J82" i="50"/>
  <c r="I83" i="50"/>
  <c r="C89" i="50"/>
  <c r="G18" i="9" s="1"/>
  <c r="F35" i="50"/>
  <c r="F37" i="50" s="1"/>
  <c r="E36" i="50"/>
  <c r="E37" i="50" s="1"/>
  <c r="C82" i="50"/>
  <c r="C84" i="50" s="1"/>
  <c r="K82" i="50"/>
  <c r="K84" i="50" s="1"/>
  <c r="J83" i="50"/>
  <c r="K38" i="49"/>
  <c r="J87" i="31" s="1"/>
  <c r="O4" i="49"/>
  <c r="O6" i="49" s="1"/>
  <c r="Q10" i="49" s="1"/>
  <c r="T13" i="49" s="1"/>
  <c r="W13" i="49" s="1"/>
  <c r="G35" i="49"/>
  <c r="F36" i="49"/>
  <c r="D38" i="49"/>
  <c r="C87" i="31" s="1"/>
  <c r="E38" i="49"/>
  <c r="D87" i="31" s="1"/>
  <c r="I35" i="49"/>
  <c r="H84" i="31" s="1"/>
  <c r="I36" i="49"/>
  <c r="H85" i="31" s="1"/>
  <c r="C35" i="49"/>
  <c r="K35" i="49"/>
  <c r="F35" i="48"/>
  <c r="E131" i="31" s="1"/>
  <c r="E36" i="48"/>
  <c r="H35" i="48"/>
  <c r="G131" i="31" s="1"/>
  <c r="G36" i="48"/>
  <c r="E38" i="48"/>
  <c r="D134" i="31" s="1"/>
  <c r="D38" i="48"/>
  <c r="C134" i="31" s="1"/>
  <c r="I35" i="48"/>
  <c r="H131" i="31" s="1"/>
  <c r="H36" i="48"/>
  <c r="G132" i="31" s="1"/>
  <c r="I36" i="48"/>
  <c r="H132" i="31" s="1"/>
  <c r="D35" i="48"/>
  <c r="K38" i="47"/>
  <c r="J181" i="31" s="1"/>
  <c r="G35" i="47"/>
  <c r="F178" i="31" s="1"/>
  <c r="F36" i="47"/>
  <c r="D38" i="47"/>
  <c r="C181" i="31" s="1"/>
  <c r="C38" i="47"/>
  <c r="B181" i="31" s="1"/>
  <c r="H35" i="47"/>
  <c r="G36" i="47"/>
  <c r="F179" i="31" s="1"/>
  <c r="E38" i="47"/>
  <c r="D181" i="31" s="1"/>
  <c r="O22" i="47"/>
  <c r="T29" i="47" s="1"/>
  <c r="C35" i="47"/>
  <c r="K35" i="47"/>
  <c r="D35" i="47"/>
  <c r="K38" i="46"/>
  <c r="J228" i="31" s="1"/>
  <c r="G35" i="46"/>
  <c r="F225" i="31" s="1"/>
  <c r="F36" i="46"/>
  <c r="E226" i="31" s="1"/>
  <c r="I38" i="46"/>
  <c r="H228" i="31" s="1"/>
  <c r="F35" i="46"/>
  <c r="E225" i="31" s="1"/>
  <c r="C38" i="46"/>
  <c r="B228" i="31" s="1"/>
  <c r="H35" i="46"/>
  <c r="G36" i="46"/>
  <c r="F226" i="31" s="1"/>
  <c r="I35" i="46"/>
  <c r="F38" i="46"/>
  <c r="E228" i="31" s="1"/>
  <c r="J36" i="46"/>
  <c r="D38" i="45"/>
  <c r="C322" i="31" s="1"/>
  <c r="F35" i="45"/>
  <c r="E319" i="31" s="1"/>
  <c r="E36" i="45"/>
  <c r="C38" i="45"/>
  <c r="B322" i="31" s="1"/>
  <c r="E38" i="45"/>
  <c r="D322" i="31" s="1"/>
  <c r="O22" i="45"/>
  <c r="T29" i="45" s="1"/>
  <c r="I35" i="45"/>
  <c r="H319" i="31" s="1"/>
  <c r="J35" i="45"/>
  <c r="I319" i="31" s="1"/>
  <c r="I36" i="45"/>
  <c r="H320" i="31" s="1"/>
  <c r="J36" i="45"/>
  <c r="I320" i="31" s="1"/>
  <c r="D35" i="45"/>
  <c r="K38" i="44"/>
  <c r="J369" i="31" s="1"/>
  <c r="G35" i="44"/>
  <c r="F366" i="31" s="1"/>
  <c r="F36" i="44"/>
  <c r="E367" i="31" s="1"/>
  <c r="F35" i="44"/>
  <c r="C38" i="44"/>
  <c r="B369" i="31" s="1"/>
  <c r="H35" i="44"/>
  <c r="G36" i="44"/>
  <c r="F367" i="31" s="1"/>
  <c r="J35" i="44"/>
  <c r="I366" i="31" s="1"/>
  <c r="C35" i="44"/>
  <c r="K35" i="44"/>
  <c r="J36" i="44"/>
  <c r="I367" i="31" s="1"/>
  <c r="D36" i="43"/>
  <c r="J38" i="43"/>
  <c r="I275" i="31" s="1"/>
  <c r="F35" i="43"/>
  <c r="E272" i="31" s="1"/>
  <c r="E36" i="43"/>
  <c r="C38" i="43"/>
  <c r="B275" i="31" s="1"/>
  <c r="K38" i="43"/>
  <c r="J275" i="31" s="1"/>
  <c r="E38" i="43"/>
  <c r="D275" i="31" s="1"/>
  <c r="D38" i="43"/>
  <c r="C275" i="31" s="1"/>
  <c r="H36" i="43"/>
  <c r="J35" i="43"/>
  <c r="I36" i="43"/>
  <c r="C42" i="43"/>
  <c r="S79" i="53" l="1"/>
  <c r="X7" i="44"/>
  <c r="G310" i="33" s="1"/>
  <c r="F67" i="33"/>
  <c r="S79" i="50"/>
  <c r="C44" i="50"/>
  <c r="G9" i="9" s="1"/>
  <c r="F47" i="33"/>
  <c r="K37" i="50"/>
  <c r="X27" i="47"/>
  <c r="G154" i="33" s="1"/>
  <c r="D37" i="50"/>
  <c r="F84" i="53"/>
  <c r="E5" i="7"/>
  <c r="D84" i="53"/>
  <c r="C92" i="53" s="1"/>
  <c r="D21" i="9" s="1"/>
  <c r="E84" i="50"/>
  <c r="H84" i="52"/>
  <c r="C44" i="53"/>
  <c r="D9" i="9" s="1"/>
  <c r="F83" i="34"/>
  <c r="J84" i="50"/>
  <c r="X22" i="53"/>
  <c r="G93" i="34" s="1"/>
  <c r="F93" i="34"/>
  <c r="X27" i="53"/>
  <c r="G98" i="34" s="1"/>
  <c r="F98" i="34"/>
  <c r="X28" i="51"/>
  <c r="G245" i="34" s="1"/>
  <c r="F245" i="34"/>
  <c r="W59" i="50"/>
  <c r="C339" i="34"/>
  <c r="X54" i="50"/>
  <c r="F334" i="34"/>
  <c r="F351" i="34"/>
  <c r="X57" i="52"/>
  <c r="F208" i="34"/>
  <c r="F191" i="34"/>
  <c r="X53" i="53"/>
  <c r="F131" i="34"/>
  <c r="F114" i="34"/>
  <c r="X8" i="50"/>
  <c r="G299" i="34" s="1"/>
  <c r="F299" i="34"/>
  <c r="X6" i="53"/>
  <c r="G78" i="34" s="1"/>
  <c r="F78" i="34"/>
  <c r="X54" i="52"/>
  <c r="F205" i="34"/>
  <c r="F188" i="34"/>
  <c r="X8" i="52"/>
  <c r="G153" i="34" s="1"/>
  <c r="F153" i="34"/>
  <c r="X53" i="51"/>
  <c r="F260" i="34"/>
  <c r="F277" i="34"/>
  <c r="X9" i="51"/>
  <c r="G227" i="34" s="1"/>
  <c r="F227" i="34"/>
  <c r="X24" i="50"/>
  <c r="G314" i="34" s="1"/>
  <c r="F314" i="34"/>
  <c r="G275" i="34"/>
  <c r="G258" i="34"/>
  <c r="E37" i="51"/>
  <c r="W60" i="52"/>
  <c r="C194" i="34"/>
  <c r="X5" i="50"/>
  <c r="G296" i="34" s="1"/>
  <c r="F296" i="34"/>
  <c r="X23" i="53"/>
  <c r="G94" i="34" s="1"/>
  <c r="F94" i="34"/>
  <c r="X55" i="51"/>
  <c r="F262" i="34"/>
  <c r="F279" i="34"/>
  <c r="X9" i="53"/>
  <c r="G81" i="34" s="1"/>
  <c r="F81" i="34"/>
  <c r="X4" i="52"/>
  <c r="G149" i="34" s="1"/>
  <c r="F149" i="34"/>
  <c r="X55" i="50"/>
  <c r="F352" i="34"/>
  <c r="F335" i="34"/>
  <c r="X26" i="50"/>
  <c r="G316" i="34" s="1"/>
  <c r="F316" i="34"/>
  <c r="W59" i="52"/>
  <c r="C193" i="34"/>
  <c r="X22" i="52"/>
  <c r="G166" i="34" s="1"/>
  <c r="F166" i="34"/>
  <c r="X57" i="51"/>
  <c r="F281" i="34"/>
  <c r="F264" i="34"/>
  <c r="X22" i="51"/>
  <c r="G239" i="34" s="1"/>
  <c r="F239" i="34"/>
  <c r="W58" i="52"/>
  <c r="C192" i="34"/>
  <c r="C209" i="34"/>
  <c r="X27" i="50"/>
  <c r="G317" i="34" s="1"/>
  <c r="F317" i="34"/>
  <c r="X54" i="53"/>
  <c r="F115" i="34"/>
  <c r="F132" i="34"/>
  <c r="G37" i="53"/>
  <c r="G185" i="34"/>
  <c r="G202" i="34"/>
  <c r="X6" i="50"/>
  <c r="G297" i="34" s="1"/>
  <c r="F297" i="34"/>
  <c r="X51" i="53"/>
  <c r="F129" i="34"/>
  <c r="F112" i="34"/>
  <c r="X24" i="51"/>
  <c r="G241" i="34" s="1"/>
  <c r="F241" i="34"/>
  <c r="X58" i="51"/>
  <c r="F265" i="34"/>
  <c r="F282" i="34"/>
  <c r="X52" i="53"/>
  <c r="F130" i="34"/>
  <c r="F113" i="34"/>
  <c r="X25" i="51"/>
  <c r="G242" i="34" s="1"/>
  <c r="F242" i="34"/>
  <c r="X6" i="52"/>
  <c r="G151" i="34" s="1"/>
  <c r="F151" i="34"/>
  <c r="W59" i="53"/>
  <c r="C120" i="34"/>
  <c r="X5" i="53"/>
  <c r="G77" i="34" s="1"/>
  <c r="F77" i="34"/>
  <c r="E37" i="52"/>
  <c r="X5" i="51"/>
  <c r="G223" i="34" s="1"/>
  <c r="F223" i="34"/>
  <c r="X55" i="52"/>
  <c r="F189" i="34"/>
  <c r="F206" i="34"/>
  <c r="X60" i="51"/>
  <c r="G267" i="34" s="1"/>
  <c r="F267" i="34"/>
  <c r="X8" i="53"/>
  <c r="G80" i="34" s="1"/>
  <c r="F80" i="34"/>
  <c r="X25" i="52"/>
  <c r="G169" i="34" s="1"/>
  <c r="F169" i="34"/>
  <c r="I84" i="50"/>
  <c r="G84" i="53"/>
  <c r="C43" i="53"/>
  <c r="D8" i="9" s="1"/>
  <c r="X28" i="52"/>
  <c r="G172" i="34" s="1"/>
  <c r="F172" i="34"/>
  <c r="X10" i="51"/>
  <c r="G228" i="34" s="1"/>
  <c r="F228" i="34"/>
  <c r="W58" i="53"/>
  <c r="C136" i="34"/>
  <c r="C119" i="34"/>
  <c r="X4" i="53"/>
  <c r="G76" i="34" s="1"/>
  <c r="F76" i="34"/>
  <c r="X22" i="50"/>
  <c r="G312" i="34" s="1"/>
  <c r="F312" i="34"/>
  <c r="X57" i="53"/>
  <c r="F118" i="34"/>
  <c r="F135" i="34"/>
  <c r="X28" i="53"/>
  <c r="G99" i="34" s="1"/>
  <c r="F99" i="34"/>
  <c r="X8" i="51"/>
  <c r="G226" i="34" s="1"/>
  <c r="F226" i="34"/>
  <c r="J84" i="52"/>
  <c r="X7" i="52"/>
  <c r="G152" i="34" s="1"/>
  <c r="F152" i="34"/>
  <c r="X23" i="50"/>
  <c r="G313" i="34" s="1"/>
  <c r="F313" i="34"/>
  <c r="X7" i="53"/>
  <c r="G79" i="34" s="1"/>
  <c r="F79" i="34"/>
  <c r="X53" i="50"/>
  <c r="F333" i="34"/>
  <c r="F350" i="34"/>
  <c r="C44" i="51"/>
  <c r="F9" i="9" s="1"/>
  <c r="X56" i="52"/>
  <c r="F190" i="34"/>
  <c r="F207" i="34"/>
  <c r="G276" i="34"/>
  <c r="G259" i="34"/>
  <c r="X7" i="51"/>
  <c r="G225" i="34" s="1"/>
  <c r="F225" i="34"/>
  <c r="X56" i="51"/>
  <c r="F280" i="34"/>
  <c r="F263" i="34"/>
  <c r="X52" i="50"/>
  <c r="F332" i="34"/>
  <c r="F349" i="34"/>
  <c r="H37" i="53"/>
  <c r="X27" i="51"/>
  <c r="G244" i="34" s="1"/>
  <c r="F244" i="34"/>
  <c r="X7" i="50"/>
  <c r="G298" i="34" s="1"/>
  <c r="F298" i="34"/>
  <c r="H84" i="53"/>
  <c r="X55" i="53"/>
  <c r="F116" i="34"/>
  <c r="F133" i="34"/>
  <c r="X26" i="53"/>
  <c r="G97" i="34" s="1"/>
  <c r="F97" i="34"/>
  <c r="X24" i="52"/>
  <c r="G168" i="34" s="1"/>
  <c r="F168" i="34"/>
  <c r="X54" i="51"/>
  <c r="F278" i="34"/>
  <c r="F261" i="34"/>
  <c r="X6" i="51"/>
  <c r="G224" i="34" s="1"/>
  <c r="F224" i="34"/>
  <c r="X25" i="50"/>
  <c r="G315" i="34" s="1"/>
  <c r="F315" i="34"/>
  <c r="X56" i="53"/>
  <c r="F117" i="34"/>
  <c r="F134" i="34"/>
  <c r="X53" i="52"/>
  <c r="F187" i="34"/>
  <c r="F204" i="34"/>
  <c r="X24" i="53"/>
  <c r="G95" i="34" s="1"/>
  <c r="F95" i="34"/>
  <c r="X4" i="51"/>
  <c r="G222" i="34" s="1"/>
  <c r="F222" i="34"/>
  <c r="X5" i="52"/>
  <c r="G150" i="34" s="1"/>
  <c r="F150" i="34"/>
  <c r="W58" i="50"/>
  <c r="C338" i="34"/>
  <c r="C355" i="34"/>
  <c r="X27" i="52"/>
  <c r="G171" i="34" s="1"/>
  <c r="F171" i="34"/>
  <c r="X9" i="50"/>
  <c r="G300" i="34" s="1"/>
  <c r="F300" i="34"/>
  <c r="X57" i="50"/>
  <c r="F337" i="34"/>
  <c r="F354" i="34"/>
  <c r="G203" i="34"/>
  <c r="G186" i="34"/>
  <c r="C43" i="52"/>
  <c r="E8" i="9" s="1"/>
  <c r="X11" i="51"/>
  <c r="G229" i="34" s="1"/>
  <c r="F229" i="34"/>
  <c r="W60" i="53"/>
  <c r="C121" i="34"/>
  <c r="W60" i="50"/>
  <c r="C340" i="34"/>
  <c r="X56" i="50"/>
  <c r="F336" i="34"/>
  <c r="F353" i="34"/>
  <c r="X25" i="53"/>
  <c r="G96" i="34" s="1"/>
  <c r="F96" i="34"/>
  <c r="X23" i="51"/>
  <c r="G240" i="34" s="1"/>
  <c r="F240" i="34"/>
  <c r="X28" i="50"/>
  <c r="G318" i="34" s="1"/>
  <c r="F318" i="34"/>
  <c r="X51" i="50"/>
  <c r="F331" i="34"/>
  <c r="F348" i="34"/>
  <c r="X26" i="52"/>
  <c r="G170" i="34" s="1"/>
  <c r="F170" i="34"/>
  <c r="X26" i="51"/>
  <c r="G243" i="34" s="1"/>
  <c r="F243" i="34"/>
  <c r="W59" i="51"/>
  <c r="C266" i="34"/>
  <c r="X23" i="52"/>
  <c r="G167" i="34" s="1"/>
  <c r="F167" i="34"/>
  <c r="X4" i="50"/>
  <c r="G295" i="34" s="1"/>
  <c r="F295" i="34"/>
  <c r="X4" i="45"/>
  <c r="G263" i="33" s="1"/>
  <c r="K37" i="46"/>
  <c r="J227" i="31" s="1"/>
  <c r="F153" i="33"/>
  <c r="F152" i="33"/>
  <c r="F155" i="33"/>
  <c r="F66" i="33"/>
  <c r="W29" i="43"/>
  <c r="C243" i="33"/>
  <c r="G37" i="49"/>
  <c r="F86" i="31" s="1"/>
  <c r="F84" i="31"/>
  <c r="X11" i="48"/>
  <c r="G95" i="33" s="1"/>
  <c r="F95" i="33"/>
  <c r="X13" i="47"/>
  <c r="G141" i="33" s="1"/>
  <c r="F141" i="33"/>
  <c r="X11" i="45"/>
  <c r="G270" i="33" s="1"/>
  <c r="F270" i="33"/>
  <c r="I38" i="44"/>
  <c r="H369" i="31" s="1"/>
  <c r="H364" i="31"/>
  <c r="X11" i="44"/>
  <c r="G314" i="33" s="1"/>
  <c r="F314" i="33"/>
  <c r="X6" i="43"/>
  <c r="G221" i="33" s="1"/>
  <c r="F64" i="33"/>
  <c r="X4" i="44"/>
  <c r="G307" i="33" s="1"/>
  <c r="B279" i="31"/>
  <c r="H7" i="7"/>
  <c r="I36" i="44"/>
  <c r="H367" i="31" s="1"/>
  <c r="H37" i="46"/>
  <c r="G227" i="31" s="1"/>
  <c r="G225" i="31"/>
  <c r="D37" i="47"/>
  <c r="C180" i="31" s="1"/>
  <c r="C178" i="31"/>
  <c r="K37" i="49"/>
  <c r="J86" i="31" s="1"/>
  <c r="J84" i="31"/>
  <c r="X13" i="49"/>
  <c r="G55" i="33" s="1"/>
  <c r="F55" i="33"/>
  <c r="E37" i="49"/>
  <c r="D86" i="31" s="1"/>
  <c r="D85" i="31"/>
  <c r="X11" i="46"/>
  <c r="G182" i="33" s="1"/>
  <c r="F182" i="33"/>
  <c r="X11" i="43"/>
  <c r="G226" i="33" s="1"/>
  <c r="F226" i="33"/>
  <c r="G37" i="45"/>
  <c r="F321" i="31" s="1"/>
  <c r="F319" i="31"/>
  <c r="D5" i="7"/>
  <c r="F50" i="33"/>
  <c r="F65" i="33"/>
  <c r="I37" i="43"/>
  <c r="H274" i="31" s="1"/>
  <c r="H273" i="31"/>
  <c r="K37" i="47"/>
  <c r="J180" i="31" s="1"/>
  <c r="J178" i="31"/>
  <c r="X12" i="45"/>
  <c r="G271" i="33" s="1"/>
  <c r="F271" i="33"/>
  <c r="E37" i="43"/>
  <c r="D274" i="31" s="1"/>
  <c r="D273" i="31"/>
  <c r="E37" i="45"/>
  <c r="D321" i="31" s="1"/>
  <c r="D320" i="31"/>
  <c r="C37" i="47"/>
  <c r="B180" i="31" s="1"/>
  <c r="B178" i="31"/>
  <c r="F37" i="47"/>
  <c r="E180" i="31" s="1"/>
  <c r="E179" i="31"/>
  <c r="B87" i="31"/>
  <c r="X12" i="48"/>
  <c r="G96" i="33" s="1"/>
  <c r="F96" i="33"/>
  <c r="J38" i="47"/>
  <c r="I181" i="31" s="1"/>
  <c r="I176" i="31"/>
  <c r="K37" i="43"/>
  <c r="J274" i="31" s="1"/>
  <c r="J272" i="31"/>
  <c r="O4" i="45"/>
  <c r="O6" i="45" s="1"/>
  <c r="Q10" i="45" s="1"/>
  <c r="T13" i="45" s="1"/>
  <c r="W13" i="45" s="1"/>
  <c r="I318" i="31"/>
  <c r="D37" i="44"/>
  <c r="C368" i="31" s="1"/>
  <c r="C367" i="31"/>
  <c r="F5" i="7"/>
  <c r="F150" i="33"/>
  <c r="F223" i="33"/>
  <c r="X12" i="49"/>
  <c r="G54" i="33" s="1"/>
  <c r="F54" i="33"/>
  <c r="H37" i="44"/>
  <c r="G368" i="31" s="1"/>
  <c r="G366" i="31"/>
  <c r="F7" i="7"/>
  <c r="B185" i="31"/>
  <c r="G37" i="48"/>
  <c r="F133" i="31" s="1"/>
  <c r="F132" i="31"/>
  <c r="D37" i="45"/>
  <c r="C321" i="31" s="1"/>
  <c r="C319" i="31"/>
  <c r="C37" i="49"/>
  <c r="B86" i="31" s="1"/>
  <c r="B84" i="31"/>
  <c r="X13" i="48"/>
  <c r="G97" i="33" s="1"/>
  <c r="F97" i="33"/>
  <c r="J37" i="43"/>
  <c r="I274" i="31" s="1"/>
  <c r="I272" i="31"/>
  <c r="H37" i="43"/>
  <c r="G274" i="31" s="1"/>
  <c r="G273" i="31"/>
  <c r="C37" i="43"/>
  <c r="B274" i="31" s="1"/>
  <c r="B272" i="31"/>
  <c r="X12" i="44"/>
  <c r="G315" i="33" s="1"/>
  <c r="F315" i="33"/>
  <c r="D37" i="43"/>
  <c r="C274" i="31" s="1"/>
  <c r="C273" i="31"/>
  <c r="J37" i="46"/>
  <c r="I227" i="31" s="1"/>
  <c r="I226" i="31"/>
  <c r="W29" i="47"/>
  <c r="C156" i="33"/>
  <c r="H37" i="49"/>
  <c r="G86" i="31" s="1"/>
  <c r="G85" i="31"/>
  <c r="O10" i="49"/>
  <c r="T11" i="49" s="1"/>
  <c r="W11" i="49" s="1"/>
  <c r="L74" i="31"/>
  <c r="C42" i="48"/>
  <c r="I129" i="31"/>
  <c r="W29" i="48"/>
  <c r="C112" i="33"/>
  <c r="H5" i="7"/>
  <c r="F37" i="44"/>
  <c r="E368" i="31" s="1"/>
  <c r="E366" i="31"/>
  <c r="X12" i="47"/>
  <c r="G140" i="33" s="1"/>
  <c r="F140" i="33"/>
  <c r="O22" i="46"/>
  <c r="T29" i="46" s="1"/>
  <c r="I224" i="31"/>
  <c r="X13" i="44"/>
  <c r="G316" i="33" s="1"/>
  <c r="F316" i="33"/>
  <c r="J5" i="7"/>
  <c r="B371" i="31"/>
  <c r="E37" i="48"/>
  <c r="D133" i="31" s="1"/>
  <c r="D132" i="31"/>
  <c r="W29" i="49"/>
  <c r="C70" i="33"/>
  <c r="O4" i="43"/>
  <c r="O6" i="43" s="1"/>
  <c r="Q10" i="43" s="1"/>
  <c r="T13" i="43" s="1"/>
  <c r="W13" i="43" s="1"/>
  <c r="H271" i="31"/>
  <c r="K37" i="44"/>
  <c r="J368" i="31" s="1"/>
  <c r="J366" i="31"/>
  <c r="W29" i="45"/>
  <c r="C287" i="33"/>
  <c r="O4" i="46"/>
  <c r="O6" i="46" s="1"/>
  <c r="Q10" i="46" s="1"/>
  <c r="T13" i="46" s="1"/>
  <c r="W13" i="46" s="1"/>
  <c r="F37" i="49"/>
  <c r="E86" i="31" s="1"/>
  <c r="E85" i="31"/>
  <c r="E37" i="47"/>
  <c r="D180" i="31" s="1"/>
  <c r="D179" i="31"/>
  <c r="C37" i="46"/>
  <c r="B227" i="31" s="1"/>
  <c r="B226" i="31"/>
  <c r="P10" i="46"/>
  <c r="T12" i="46" s="1"/>
  <c r="W12" i="46" s="1"/>
  <c r="I7" i="7"/>
  <c r="B326" i="31"/>
  <c r="W29" i="44"/>
  <c r="C331" i="33"/>
  <c r="D37" i="48"/>
  <c r="C133" i="31" s="1"/>
  <c r="C131" i="31"/>
  <c r="J38" i="49"/>
  <c r="I87" i="31" s="1"/>
  <c r="I82" i="31"/>
  <c r="B232" i="31"/>
  <c r="G7" i="7"/>
  <c r="I37" i="46"/>
  <c r="H227" i="31" s="1"/>
  <c r="H225" i="31"/>
  <c r="C37" i="44"/>
  <c r="B368" i="31" s="1"/>
  <c r="B366" i="31"/>
  <c r="H37" i="47"/>
  <c r="G180" i="31" s="1"/>
  <c r="G178" i="31"/>
  <c r="J36" i="49"/>
  <c r="I85" i="31" s="1"/>
  <c r="D37" i="49"/>
  <c r="C86" i="31" s="1"/>
  <c r="X28" i="45"/>
  <c r="G286" i="33" s="1"/>
  <c r="F286" i="33"/>
  <c r="X26" i="44"/>
  <c r="G328" i="33" s="1"/>
  <c r="F328" i="33"/>
  <c r="X25" i="48"/>
  <c r="G108" i="33" s="1"/>
  <c r="F108" i="33"/>
  <c r="X4" i="43"/>
  <c r="G219" i="33" s="1"/>
  <c r="F219" i="33"/>
  <c r="X22" i="44"/>
  <c r="F324" i="33"/>
  <c r="X7" i="43"/>
  <c r="G222" i="33" s="1"/>
  <c r="F222" i="33"/>
  <c r="X10" i="47"/>
  <c r="G138" i="33" s="1"/>
  <c r="F138" i="33"/>
  <c r="X5" i="45"/>
  <c r="G264" i="33" s="1"/>
  <c r="F264" i="33"/>
  <c r="X25" i="43"/>
  <c r="G239" i="33" s="1"/>
  <c r="F239" i="33"/>
  <c r="X26" i="45"/>
  <c r="G284" i="33" s="1"/>
  <c r="F284" i="33"/>
  <c r="X9" i="47"/>
  <c r="G137" i="33" s="1"/>
  <c r="F137" i="33"/>
  <c r="X24" i="44"/>
  <c r="G326" i="33" s="1"/>
  <c r="F326" i="33"/>
  <c r="X6" i="47"/>
  <c r="G134" i="33" s="1"/>
  <c r="F134" i="33"/>
  <c r="X7" i="47"/>
  <c r="G135" i="33" s="1"/>
  <c r="F135" i="33"/>
  <c r="X26" i="43"/>
  <c r="G240" i="33" s="1"/>
  <c r="F240" i="33"/>
  <c r="X6" i="49"/>
  <c r="G48" i="33" s="1"/>
  <c r="F48" i="33"/>
  <c r="X9" i="45"/>
  <c r="G268" i="33" s="1"/>
  <c r="F268" i="33"/>
  <c r="X24" i="48"/>
  <c r="G107" i="33" s="1"/>
  <c r="F107" i="33"/>
  <c r="X24" i="46"/>
  <c r="G194" i="33" s="1"/>
  <c r="F194" i="33"/>
  <c r="X28" i="43"/>
  <c r="G242" i="33" s="1"/>
  <c r="F242" i="33"/>
  <c r="X10" i="48"/>
  <c r="G94" i="33" s="1"/>
  <c r="F94" i="33"/>
  <c r="X8" i="47"/>
  <c r="G136" i="33" s="1"/>
  <c r="F136" i="33"/>
  <c r="X9" i="44"/>
  <c r="G312" i="33" s="1"/>
  <c r="F312" i="33"/>
  <c r="X22" i="46"/>
  <c r="G192" i="33" s="1"/>
  <c r="F192" i="33"/>
  <c r="X5" i="43"/>
  <c r="G220" i="33" s="1"/>
  <c r="F220" i="33"/>
  <c r="X24" i="45"/>
  <c r="G282" i="33" s="1"/>
  <c r="F282" i="33"/>
  <c r="X5" i="44"/>
  <c r="F308" i="33"/>
  <c r="X27" i="44"/>
  <c r="G329" i="33" s="1"/>
  <c r="F329" i="33"/>
  <c r="X23" i="43"/>
  <c r="G237" i="33" s="1"/>
  <c r="F237" i="33"/>
  <c r="X26" i="46"/>
  <c r="G196" i="33" s="1"/>
  <c r="F196" i="33"/>
  <c r="X10" i="43"/>
  <c r="G225" i="33" s="1"/>
  <c r="F225" i="33"/>
  <c r="X6" i="45"/>
  <c r="G265" i="33" s="1"/>
  <c r="F265" i="33"/>
  <c r="X5" i="47"/>
  <c r="G133" i="33" s="1"/>
  <c r="F133" i="33"/>
  <c r="X10" i="45"/>
  <c r="G269" i="33" s="1"/>
  <c r="F269" i="33"/>
  <c r="X27" i="45"/>
  <c r="G285" i="33" s="1"/>
  <c r="F285" i="33"/>
  <c r="X27" i="46"/>
  <c r="G197" i="33" s="1"/>
  <c r="F197" i="33"/>
  <c r="X5" i="48"/>
  <c r="G89" i="33" s="1"/>
  <c r="F89" i="33"/>
  <c r="X4" i="47"/>
  <c r="G132" i="33" s="1"/>
  <c r="F132" i="33"/>
  <c r="X9" i="43"/>
  <c r="G224" i="33" s="1"/>
  <c r="F224" i="33"/>
  <c r="X24" i="43"/>
  <c r="G238" i="33" s="1"/>
  <c r="F238" i="33"/>
  <c r="X6" i="48"/>
  <c r="G90" i="33" s="1"/>
  <c r="F90" i="33"/>
  <c r="X8" i="46"/>
  <c r="G179" i="33" s="1"/>
  <c r="F179" i="33"/>
  <c r="X6" i="46"/>
  <c r="G177" i="33" s="1"/>
  <c r="F177" i="33"/>
  <c r="X27" i="43"/>
  <c r="G241" i="33" s="1"/>
  <c r="F241" i="33"/>
  <c r="X25" i="44"/>
  <c r="G327" i="33" s="1"/>
  <c r="F327" i="33"/>
  <c r="X10" i="46"/>
  <c r="G181" i="33" s="1"/>
  <c r="F181" i="33"/>
  <c r="X28" i="46"/>
  <c r="G198" i="33" s="1"/>
  <c r="F198" i="33"/>
  <c r="X7" i="45"/>
  <c r="G266" i="33" s="1"/>
  <c r="F266" i="33"/>
  <c r="X9" i="49"/>
  <c r="G51" i="33" s="1"/>
  <c r="F51" i="33"/>
  <c r="X25" i="45"/>
  <c r="G283" i="33" s="1"/>
  <c r="F283" i="33"/>
  <c r="X25" i="46"/>
  <c r="G195" i="33" s="1"/>
  <c r="F195" i="33"/>
  <c r="X10" i="44"/>
  <c r="G313" i="33" s="1"/>
  <c r="F313" i="33"/>
  <c r="X23" i="46"/>
  <c r="G193" i="33" s="1"/>
  <c r="F193" i="33"/>
  <c r="X28" i="48"/>
  <c r="G111" i="33" s="1"/>
  <c r="F111" i="33"/>
  <c r="X26" i="48"/>
  <c r="G109" i="33" s="1"/>
  <c r="F109" i="33"/>
  <c r="X28" i="44"/>
  <c r="G330" i="33" s="1"/>
  <c r="F330" i="33"/>
  <c r="X22" i="43"/>
  <c r="G236" i="33" s="1"/>
  <c r="F236" i="33"/>
  <c r="X22" i="45"/>
  <c r="G280" i="33" s="1"/>
  <c r="F280" i="33"/>
  <c r="X27" i="48"/>
  <c r="G110" i="33" s="1"/>
  <c r="F110" i="33"/>
  <c r="X8" i="45"/>
  <c r="G267" i="33" s="1"/>
  <c r="F267" i="33"/>
  <c r="X23" i="44"/>
  <c r="G325" i="33" s="1"/>
  <c r="F325" i="33"/>
  <c r="X4" i="48"/>
  <c r="G88" i="33" s="1"/>
  <c r="F88" i="33"/>
  <c r="X23" i="45"/>
  <c r="G281" i="33" s="1"/>
  <c r="F281" i="33"/>
  <c r="X27" i="49"/>
  <c r="G68" i="33" s="1"/>
  <c r="F68" i="33"/>
  <c r="X6" i="44"/>
  <c r="G309" i="33" s="1"/>
  <c r="F309" i="33"/>
  <c r="E37" i="44"/>
  <c r="D368" i="31" s="1"/>
  <c r="C42" i="44"/>
  <c r="G37" i="44"/>
  <c r="F368" i="31" s="1"/>
  <c r="I35" i="44"/>
  <c r="H37" i="45"/>
  <c r="G321" i="31" s="1"/>
  <c r="J37" i="45"/>
  <c r="I321" i="31" s="1"/>
  <c r="K37" i="45"/>
  <c r="J321" i="31" s="1"/>
  <c r="C37" i="45"/>
  <c r="B321" i="31" s="1"/>
  <c r="F37" i="45"/>
  <c r="E321" i="31" s="1"/>
  <c r="G37" i="43"/>
  <c r="F274" i="31" s="1"/>
  <c r="P10" i="43"/>
  <c r="T12" i="43" s="1"/>
  <c r="W12" i="43" s="1"/>
  <c r="F37" i="43"/>
  <c r="E274" i="31" s="1"/>
  <c r="D37" i="46"/>
  <c r="C227" i="31" s="1"/>
  <c r="G37" i="46"/>
  <c r="F227" i="31" s="1"/>
  <c r="E37" i="46"/>
  <c r="D227" i="31" s="1"/>
  <c r="J36" i="47"/>
  <c r="I179" i="31" s="1"/>
  <c r="O10" i="47"/>
  <c r="T11" i="47" s="1"/>
  <c r="W11" i="47" s="1"/>
  <c r="I37" i="47"/>
  <c r="H180" i="31" s="1"/>
  <c r="J35" i="47"/>
  <c r="I178" i="31" s="1"/>
  <c r="F37" i="48"/>
  <c r="E133" i="31" s="1"/>
  <c r="J35" i="48"/>
  <c r="I131" i="31" s="1"/>
  <c r="C37" i="48"/>
  <c r="B133" i="31" s="1"/>
  <c r="K37" i="48"/>
  <c r="J133" i="31" s="1"/>
  <c r="J38" i="48"/>
  <c r="J36" i="48"/>
  <c r="I132" i="31" s="1"/>
  <c r="C42" i="49"/>
  <c r="J35" i="49"/>
  <c r="I37" i="49"/>
  <c r="V79" i="53"/>
  <c r="S80" i="53"/>
  <c r="A138" i="34" s="1"/>
  <c r="J37" i="53"/>
  <c r="O4" i="53"/>
  <c r="O6" i="53" s="1"/>
  <c r="Q10" i="53" s="1"/>
  <c r="T13" i="53" s="1"/>
  <c r="W13" i="53" s="1"/>
  <c r="C37" i="53"/>
  <c r="O22" i="53"/>
  <c r="T29" i="53" s="1"/>
  <c r="P10" i="53"/>
  <c r="T12" i="53" s="1"/>
  <c r="W12" i="53" s="1"/>
  <c r="C91" i="53"/>
  <c r="D20" i="9" s="1"/>
  <c r="C90" i="53"/>
  <c r="D19" i="9" s="1"/>
  <c r="G84" i="52"/>
  <c r="C44" i="52"/>
  <c r="E9" i="9" s="1"/>
  <c r="I84" i="52"/>
  <c r="K37" i="52"/>
  <c r="O4" i="52"/>
  <c r="O6" i="52" s="1"/>
  <c r="Q10" i="52" s="1"/>
  <c r="T13" i="52" s="1"/>
  <c r="W13" i="52" s="1"/>
  <c r="C37" i="52"/>
  <c r="P10" i="52"/>
  <c r="T12" i="52" s="1"/>
  <c r="W12" i="52" s="1"/>
  <c r="O22" i="52"/>
  <c r="T29" i="52" s="1"/>
  <c r="V79" i="52"/>
  <c r="S80" i="52"/>
  <c r="A211" i="34" s="1"/>
  <c r="D37" i="52"/>
  <c r="C91" i="52"/>
  <c r="E20" i="9" s="1"/>
  <c r="C90" i="52"/>
  <c r="E19" i="9" s="1"/>
  <c r="J37" i="52"/>
  <c r="O4" i="51"/>
  <c r="O6" i="51" s="1"/>
  <c r="Q10" i="51" s="1"/>
  <c r="T13" i="51" s="1"/>
  <c r="W13" i="51" s="1"/>
  <c r="D37" i="51"/>
  <c r="C45" i="51" s="1"/>
  <c r="F10" i="9" s="1"/>
  <c r="O22" i="51"/>
  <c r="T29" i="51" s="1"/>
  <c r="P10" i="51"/>
  <c r="T12" i="51" s="1"/>
  <c r="W12" i="51" s="1"/>
  <c r="C91" i="51"/>
  <c r="F20" i="9" s="1"/>
  <c r="C90" i="51"/>
  <c r="F19" i="9" s="1"/>
  <c r="V79" i="51"/>
  <c r="S80" i="51"/>
  <c r="A284" i="34" s="1"/>
  <c r="J84" i="51"/>
  <c r="C43" i="51"/>
  <c r="F8" i="9" s="1"/>
  <c r="I84" i="51"/>
  <c r="V79" i="50"/>
  <c r="S80" i="50"/>
  <c r="A357" i="34" s="1"/>
  <c r="J37" i="50"/>
  <c r="C43" i="50"/>
  <c r="G8" i="9" s="1"/>
  <c r="O4" i="50"/>
  <c r="O6" i="50" s="1"/>
  <c r="Q10" i="50" s="1"/>
  <c r="T13" i="50" s="1"/>
  <c r="W13" i="50" s="1"/>
  <c r="C37" i="50"/>
  <c r="P10" i="50"/>
  <c r="T12" i="50" s="1"/>
  <c r="W12" i="50" s="1"/>
  <c r="O22" i="50"/>
  <c r="T29" i="50" s="1"/>
  <c r="C91" i="50"/>
  <c r="G20" i="9" s="1"/>
  <c r="C90" i="50"/>
  <c r="G19" i="9" s="1"/>
  <c r="G84" i="50"/>
  <c r="C92" i="50" s="1"/>
  <c r="G21" i="9" s="1"/>
  <c r="I37" i="48"/>
  <c r="H133" i="31" s="1"/>
  <c r="H37" i="48"/>
  <c r="G133" i="31" s="1"/>
  <c r="G37" i="47"/>
  <c r="F180" i="31" s="1"/>
  <c r="C43" i="47"/>
  <c r="F37" i="46"/>
  <c r="C43" i="46"/>
  <c r="C44" i="46"/>
  <c r="C44" i="45"/>
  <c r="C43" i="45"/>
  <c r="I37" i="45"/>
  <c r="H321" i="31" s="1"/>
  <c r="J37" i="44"/>
  <c r="I368" i="31" s="1"/>
  <c r="C44" i="43"/>
  <c r="C43" i="43"/>
  <c r="C92" i="51" l="1"/>
  <c r="F21" i="9" s="1"/>
  <c r="C44" i="49"/>
  <c r="C43" i="44"/>
  <c r="C92" i="52"/>
  <c r="E21" i="9" s="1"/>
  <c r="C45" i="50"/>
  <c r="G10" i="9" s="1"/>
  <c r="X13" i="52"/>
  <c r="G158" i="34" s="1"/>
  <c r="F158" i="34"/>
  <c r="G337" i="34"/>
  <c r="G354" i="34"/>
  <c r="G187" i="34"/>
  <c r="G204" i="34"/>
  <c r="G350" i="34"/>
  <c r="G333" i="34"/>
  <c r="X58" i="52"/>
  <c r="F192" i="34"/>
  <c r="F209" i="34"/>
  <c r="X13" i="50"/>
  <c r="G304" i="34" s="1"/>
  <c r="F304" i="34"/>
  <c r="G116" i="34"/>
  <c r="G133" i="34"/>
  <c r="X59" i="52"/>
  <c r="G193" i="34" s="1"/>
  <c r="F193" i="34"/>
  <c r="G131" i="34"/>
  <c r="G114" i="34"/>
  <c r="X59" i="50"/>
  <c r="G339" i="34" s="1"/>
  <c r="F339" i="34"/>
  <c r="X12" i="51"/>
  <c r="G230" i="34" s="1"/>
  <c r="F230" i="34"/>
  <c r="G331" i="34"/>
  <c r="G348" i="34"/>
  <c r="G278" i="34"/>
  <c r="G261" i="34"/>
  <c r="G332" i="34"/>
  <c r="G349" i="34"/>
  <c r="G188" i="34"/>
  <c r="G205" i="34"/>
  <c r="W29" i="51"/>
  <c r="C246" i="34"/>
  <c r="X12" i="53"/>
  <c r="F84" i="34"/>
  <c r="X59" i="51"/>
  <c r="G266" i="34" s="1"/>
  <c r="F266" i="34"/>
  <c r="G336" i="34"/>
  <c r="G353" i="34"/>
  <c r="G117" i="34"/>
  <c r="G134" i="34"/>
  <c r="G130" i="34"/>
  <c r="G113" i="34"/>
  <c r="G129" i="34"/>
  <c r="G112" i="34"/>
  <c r="G132" i="34"/>
  <c r="G115" i="34"/>
  <c r="X60" i="52"/>
  <c r="G194" i="34" s="1"/>
  <c r="F194" i="34"/>
  <c r="W29" i="53"/>
  <c r="C100" i="34"/>
  <c r="G190" i="34"/>
  <c r="G207" i="34"/>
  <c r="X59" i="53"/>
  <c r="G120" i="34" s="1"/>
  <c r="F120" i="34"/>
  <c r="G208" i="34"/>
  <c r="G191" i="34"/>
  <c r="X13" i="51"/>
  <c r="G231" i="34" s="1"/>
  <c r="F231" i="34"/>
  <c r="W29" i="52"/>
  <c r="C173" i="34"/>
  <c r="X60" i="50"/>
  <c r="G340" i="34" s="1"/>
  <c r="F340" i="34"/>
  <c r="G263" i="34"/>
  <c r="G280" i="34"/>
  <c r="X58" i="53"/>
  <c r="F119" i="34"/>
  <c r="F136" i="34"/>
  <c r="G189" i="34"/>
  <c r="G206" i="34"/>
  <c r="G281" i="34"/>
  <c r="G264" i="34"/>
  <c r="G262" i="34"/>
  <c r="G279" i="34"/>
  <c r="G260" i="34"/>
  <c r="G277" i="34"/>
  <c r="W29" i="50"/>
  <c r="C319" i="34"/>
  <c r="X12" i="52"/>
  <c r="F157" i="34"/>
  <c r="X13" i="53"/>
  <c r="G85" i="34" s="1"/>
  <c r="F85" i="34"/>
  <c r="G118" i="34"/>
  <c r="G135" i="34"/>
  <c r="G265" i="34"/>
  <c r="G282" i="34"/>
  <c r="G335" i="34"/>
  <c r="G352" i="34"/>
  <c r="X12" i="50"/>
  <c r="G303" i="34" s="1"/>
  <c r="F303" i="34"/>
  <c r="C45" i="52"/>
  <c r="E10" i="9" s="1"/>
  <c r="X60" i="53"/>
  <c r="G121" i="34" s="1"/>
  <c r="F121" i="34"/>
  <c r="X58" i="50"/>
  <c r="F355" i="34"/>
  <c r="F338" i="34"/>
  <c r="G334" i="34"/>
  <c r="G351" i="34"/>
  <c r="S16" i="48"/>
  <c r="S17" i="48" s="1"/>
  <c r="C43" i="49"/>
  <c r="D8" i="7" s="1"/>
  <c r="X11" i="49"/>
  <c r="G53" i="33" s="1"/>
  <c r="F53" i="33"/>
  <c r="B280" i="31"/>
  <c r="H8" i="7"/>
  <c r="B281" i="31"/>
  <c r="H9" i="7"/>
  <c r="G9" i="7"/>
  <c r="B234" i="31"/>
  <c r="X29" i="43"/>
  <c r="G243" i="33" s="1"/>
  <c r="F243" i="33"/>
  <c r="C45" i="43"/>
  <c r="G8" i="7"/>
  <c r="B233" i="31"/>
  <c r="D9" i="7"/>
  <c r="B93" i="31"/>
  <c r="X29" i="44"/>
  <c r="G331" i="33" s="1"/>
  <c r="F331" i="33"/>
  <c r="X13" i="43"/>
  <c r="G228" i="33" s="1"/>
  <c r="F228" i="33"/>
  <c r="X29" i="48"/>
  <c r="G112" i="33" s="1"/>
  <c r="F112" i="33"/>
  <c r="X29" i="47"/>
  <c r="F156" i="33"/>
  <c r="J37" i="49"/>
  <c r="I86" i="31" s="1"/>
  <c r="I84" i="31"/>
  <c r="I37" i="44"/>
  <c r="H368" i="31" s="1"/>
  <c r="H366" i="31"/>
  <c r="J8" i="7"/>
  <c r="B374" i="31"/>
  <c r="W29" i="46"/>
  <c r="C199" i="33"/>
  <c r="F8" i="7"/>
  <c r="B186" i="31"/>
  <c r="D7" i="7"/>
  <c r="B91" i="31"/>
  <c r="X12" i="43"/>
  <c r="F227" i="33"/>
  <c r="X13" i="46"/>
  <c r="G184" i="33" s="1"/>
  <c r="F184" i="33"/>
  <c r="X29" i="49"/>
  <c r="G70" i="33" s="1"/>
  <c r="F70" i="33"/>
  <c r="X13" i="45"/>
  <c r="G272" i="33" s="1"/>
  <c r="F272" i="33"/>
  <c r="C44" i="44"/>
  <c r="C44" i="47"/>
  <c r="X11" i="47"/>
  <c r="F139" i="33"/>
  <c r="J7" i="7"/>
  <c r="B373" i="31"/>
  <c r="X12" i="46"/>
  <c r="G183" i="33" s="1"/>
  <c r="F183" i="33"/>
  <c r="E7" i="7"/>
  <c r="B138" i="31"/>
  <c r="C43" i="48"/>
  <c r="I134" i="31"/>
  <c r="X29" i="45"/>
  <c r="G287" i="33" s="1"/>
  <c r="F287" i="33"/>
  <c r="B327" i="31"/>
  <c r="I8" i="7"/>
  <c r="C45" i="46"/>
  <c r="E227" i="31"/>
  <c r="B328" i="31"/>
  <c r="I9" i="7"/>
  <c r="H86" i="31"/>
  <c r="S32" i="43"/>
  <c r="G308" i="33"/>
  <c r="S16" i="44"/>
  <c r="S17" i="44" s="1"/>
  <c r="V16" i="48"/>
  <c r="E16" i="7"/>
  <c r="A99" i="33"/>
  <c r="S16" i="49"/>
  <c r="S17" i="49" s="1"/>
  <c r="G324" i="33"/>
  <c r="C45" i="45"/>
  <c r="J37" i="47"/>
  <c r="C44" i="48"/>
  <c r="J37" i="48"/>
  <c r="X79" i="53"/>
  <c r="X80" i="53" s="1"/>
  <c r="A140" i="34" s="1"/>
  <c r="V80" i="53"/>
  <c r="A139" i="34" s="1"/>
  <c r="C45" i="53"/>
  <c r="D10" i="9" s="1"/>
  <c r="X79" i="52"/>
  <c r="X80" i="52" s="1"/>
  <c r="A213" i="34" s="1"/>
  <c r="V80" i="52"/>
  <c r="A212" i="34" s="1"/>
  <c r="X79" i="51"/>
  <c r="X80" i="51" s="1"/>
  <c r="A286" i="34" s="1"/>
  <c r="V80" i="51"/>
  <c r="A285" i="34" s="1"/>
  <c r="X79" i="50"/>
  <c r="X80" i="50" s="1"/>
  <c r="A359" i="34" s="1"/>
  <c r="V80" i="50"/>
  <c r="A358" i="34" s="1"/>
  <c r="B92" i="31" l="1"/>
  <c r="C45" i="49"/>
  <c r="S16" i="50"/>
  <c r="S63" i="52"/>
  <c r="X29" i="52"/>
  <c r="F173" i="34"/>
  <c r="S64" i="52"/>
  <c r="A196" i="34" s="1"/>
  <c r="V63" i="52"/>
  <c r="G119" i="34"/>
  <c r="G136" i="34"/>
  <c r="X29" i="53"/>
  <c r="F100" i="34"/>
  <c r="S16" i="53"/>
  <c r="G84" i="34"/>
  <c r="S16" i="52"/>
  <c r="G157" i="34"/>
  <c r="G355" i="34"/>
  <c r="G338" i="34"/>
  <c r="S63" i="51"/>
  <c r="X29" i="51"/>
  <c r="F246" i="34"/>
  <c r="G192" i="34"/>
  <c r="G209" i="34"/>
  <c r="S16" i="51"/>
  <c r="V16" i="51" s="1"/>
  <c r="X29" i="50"/>
  <c r="F319" i="34"/>
  <c r="S63" i="53"/>
  <c r="S63" i="50"/>
  <c r="S32" i="48"/>
  <c r="V32" i="48" s="1"/>
  <c r="D10" i="7"/>
  <c r="B94" i="31"/>
  <c r="B282" i="31"/>
  <c r="H10" i="7"/>
  <c r="C45" i="47"/>
  <c r="I180" i="31"/>
  <c r="S16" i="45"/>
  <c r="S17" i="45" s="1"/>
  <c r="V16" i="45" s="1"/>
  <c r="E8" i="7"/>
  <c r="B139" i="31"/>
  <c r="S16" i="47"/>
  <c r="S17" i="47" s="1"/>
  <c r="G139" i="33"/>
  <c r="S32" i="44"/>
  <c r="S33" i="44" s="1"/>
  <c r="A333" i="33" s="1"/>
  <c r="S32" i="45"/>
  <c r="V32" i="45" s="1"/>
  <c r="F9" i="7"/>
  <c r="B187" i="31"/>
  <c r="S16" i="46"/>
  <c r="S17" i="46" s="1"/>
  <c r="E9" i="7"/>
  <c r="B140" i="31"/>
  <c r="G10" i="7"/>
  <c r="B235" i="31"/>
  <c r="B375" i="31"/>
  <c r="J9" i="7"/>
  <c r="X29" i="46"/>
  <c r="F199" i="33"/>
  <c r="G156" i="33"/>
  <c r="S32" i="47"/>
  <c r="I10" i="7"/>
  <c r="B329" i="31"/>
  <c r="C45" i="44"/>
  <c r="S16" i="43"/>
  <c r="S17" i="43" s="1"/>
  <c r="G227" i="33"/>
  <c r="C45" i="48"/>
  <c r="I133" i="31"/>
  <c r="S32" i="49"/>
  <c r="S33" i="49" s="1"/>
  <c r="A72" i="33" s="1"/>
  <c r="V16" i="44"/>
  <c r="J16" i="7"/>
  <c r="A318" i="33"/>
  <c r="V32" i="43"/>
  <c r="S33" i="43"/>
  <c r="A245" i="33" s="1"/>
  <c r="V17" i="48"/>
  <c r="X16" i="48"/>
  <c r="X17" i="48" s="1"/>
  <c r="V32" i="49"/>
  <c r="S33" i="48"/>
  <c r="A114" i="33" s="1"/>
  <c r="V16" i="49"/>
  <c r="D16" i="7"/>
  <c r="A57" i="33"/>
  <c r="V16" i="50"/>
  <c r="S17" i="50"/>
  <c r="S17" i="51" l="1"/>
  <c r="S64" i="51"/>
  <c r="A269" i="34" s="1"/>
  <c r="V63" i="51"/>
  <c r="S32" i="53"/>
  <c r="G100" i="34"/>
  <c r="S32" i="51"/>
  <c r="G246" i="34"/>
  <c r="S32" i="50"/>
  <c r="G319" i="34"/>
  <c r="A306" i="34"/>
  <c r="G12" i="9"/>
  <c r="A233" i="34"/>
  <c r="F12" i="9"/>
  <c r="V64" i="52"/>
  <c r="X63" i="52"/>
  <c r="X64" i="52" s="1"/>
  <c r="S64" i="50"/>
  <c r="A342" i="34" s="1"/>
  <c r="V63" i="50"/>
  <c r="V16" i="52"/>
  <c r="S17" i="52"/>
  <c r="V63" i="53"/>
  <c r="S64" i="53"/>
  <c r="A123" i="34" s="1"/>
  <c r="S17" i="53"/>
  <c r="V16" i="53"/>
  <c r="S32" i="52"/>
  <c r="G173" i="34"/>
  <c r="S33" i="45"/>
  <c r="A289" i="33" s="1"/>
  <c r="V32" i="44"/>
  <c r="A274" i="33"/>
  <c r="V32" i="47"/>
  <c r="S33" i="47"/>
  <c r="A158" i="33" s="1"/>
  <c r="V16" i="47"/>
  <c r="F16" i="7"/>
  <c r="A143" i="33"/>
  <c r="I16" i="7"/>
  <c r="E10" i="7"/>
  <c r="B141" i="31"/>
  <c r="V16" i="46"/>
  <c r="A186" i="33"/>
  <c r="G16" i="7"/>
  <c r="G199" i="33"/>
  <c r="S32" i="46"/>
  <c r="H16" i="7"/>
  <c r="V16" i="43"/>
  <c r="A230" i="33"/>
  <c r="J10" i="7"/>
  <c r="B376" i="31"/>
  <c r="F10" i="7"/>
  <c r="B188" i="31"/>
  <c r="X32" i="49"/>
  <c r="X33" i="49" s="1"/>
  <c r="A74" i="33" s="1"/>
  <c r="V33" i="49"/>
  <c r="A73" i="33" s="1"/>
  <c r="X16" i="44"/>
  <c r="X17" i="44" s="1"/>
  <c r="V17" i="44"/>
  <c r="X32" i="45"/>
  <c r="X33" i="45" s="1"/>
  <c r="A291" i="33" s="1"/>
  <c r="V33" i="45"/>
  <c r="A290" i="33" s="1"/>
  <c r="E18" i="7"/>
  <c r="A101" i="33"/>
  <c r="V17" i="45"/>
  <c r="X16" i="45"/>
  <c r="X17" i="45" s="1"/>
  <c r="X32" i="43"/>
  <c r="X33" i="43" s="1"/>
  <c r="A247" i="33" s="1"/>
  <c r="V33" i="43"/>
  <c r="A246" i="33" s="1"/>
  <c r="X16" i="49"/>
  <c r="X17" i="49" s="1"/>
  <c r="V17" i="49"/>
  <c r="X32" i="48"/>
  <c r="X33" i="48" s="1"/>
  <c r="A116" i="33" s="1"/>
  <c r="V33" i="48"/>
  <c r="A115" i="33" s="1"/>
  <c r="X32" i="44"/>
  <c r="X33" i="44" s="1"/>
  <c r="A335" i="33" s="1"/>
  <c r="V33" i="44"/>
  <c r="A334" i="33" s="1"/>
  <c r="E17" i="7"/>
  <c r="A100" i="33"/>
  <c r="V17" i="51"/>
  <c r="X16" i="51"/>
  <c r="X17" i="51" s="1"/>
  <c r="V17" i="50"/>
  <c r="X16" i="50"/>
  <c r="X17" i="50" s="1"/>
  <c r="V64" i="50" l="1"/>
  <c r="X63" i="50"/>
  <c r="X64" i="50" s="1"/>
  <c r="S33" i="50"/>
  <c r="A321" i="34" s="1"/>
  <c r="V32" i="50"/>
  <c r="A307" i="34"/>
  <c r="G13" i="9"/>
  <c r="V17" i="53"/>
  <c r="X16" i="53"/>
  <c r="X17" i="53" s="1"/>
  <c r="A198" i="34"/>
  <c r="E25" i="9"/>
  <c r="E23" i="9"/>
  <c r="S33" i="52"/>
  <c r="A175" i="34" s="1"/>
  <c r="V32" i="52"/>
  <c r="A87" i="34"/>
  <c r="D12" i="9"/>
  <c r="A197" i="34"/>
  <c r="E24" i="9"/>
  <c r="S33" i="51"/>
  <c r="A248" i="34" s="1"/>
  <c r="V32" i="51"/>
  <c r="S33" i="53"/>
  <c r="A102" i="34" s="1"/>
  <c r="V32" i="53"/>
  <c r="A235" i="34"/>
  <c r="F14" i="9"/>
  <c r="A234" i="34"/>
  <c r="F13" i="9"/>
  <c r="V64" i="53"/>
  <c r="X63" i="53"/>
  <c r="X64" i="53" s="1"/>
  <c r="A160" i="34"/>
  <c r="E12" i="9"/>
  <c r="X63" i="51"/>
  <c r="X64" i="51" s="1"/>
  <c r="V64" i="51"/>
  <c r="A308" i="34"/>
  <c r="G14" i="9"/>
  <c r="X16" i="52"/>
  <c r="X17" i="52" s="1"/>
  <c r="V17" i="52"/>
  <c r="X16" i="46"/>
  <c r="X17" i="46" s="1"/>
  <c r="V17" i="46"/>
  <c r="V33" i="47"/>
  <c r="A159" i="33" s="1"/>
  <c r="X32" i="47"/>
  <c r="X33" i="47" s="1"/>
  <c r="A160" i="33" s="1"/>
  <c r="X16" i="43"/>
  <c r="X17" i="43" s="1"/>
  <c r="V17" i="43"/>
  <c r="S33" i="46"/>
  <c r="A201" i="33" s="1"/>
  <c r="V32" i="46"/>
  <c r="V17" i="47"/>
  <c r="X16" i="47"/>
  <c r="X17" i="47" s="1"/>
  <c r="D17" i="7"/>
  <c r="A58" i="33"/>
  <c r="D18" i="7"/>
  <c r="A59" i="33"/>
  <c r="I18" i="7"/>
  <c r="A276" i="33"/>
  <c r="J17" i="7"/>
  <c r="A319" i="33"/>
  <c r="I17" i="7"/>
  <c r="A275" i="33"/>
  <c r="J18" i="7"/>
  <c r="A320" i="33"/>
  <c r="A53" i="37"/>
  <c r="L53" i="37"/>
  <c r="D24" i="36"/>
  <c r="C24" i="36"/>
  <c r="B24" i="36"/>
  <c r="A89" i="34" l="1"/>
  <c r="D14" i="9"/>
  <c r="A270" i="34"/>
  <c r="F24" i="9"/>
  <c r="A88" i="34"/>
  <c r="D13" i="9"/>
  <c r="V33" i="53"/>
  <c r="A103" i="34" s="1"/>
  <c r="X32" i="53"/>
  <c r="X33" i="53" s="1"/>
  <c r="A104" i="34" s="1"/>
  <c r="V33" i="52"/>
  <c r="A176" i="34" s="1"/>
  <c r="X32" i="52"/>
  <c r="X33" i="52" s="1"/>
  <c r="A177" i="34" s="1"/>
  <c r="X32" i="50"/>
  <c r="X33" i="50" s="1"/>
  <c r="A323" i="34" s="1"/>
  <c r="V33" i="50"/>
  <c r="A322" i="34" s="1"/>
  <c r="A161" i="34"/>
  <c r="E13" i="9"/>
  <c r="V33" i="51"/>
  <c r="A249" i="34" s="1"/>
  <c r="X32" i="51"/>
  <c r="X33" i="51" s="1"/>
  <c r="A250" i="34" s="1"/>
  <c r="A271" i="34"/>
  <c r="F25" i="9"/>
  <c r="F23" i="9"/>
  <c r="A344" i="34"/>
  <c r="G23" i="9"/>
  <c r="G25" i="9"/>
  <c r="D25" i="9"/>
  <c r="D23" i="9"/>
  <c r="A125" i="34"/>
  <c r="A162" i="34"/>
  <c r="E14" i="9"/>
  <c r="D24" i="9"/>
  <c r="A124" i="34"/>
  <c r="A343" i="34"/>
  <c r="G24" i="9"/>
  <c r="A145" i="33"/>
  <c r="F18" i="7"/>
  <c r="A144" i="33"/>
  <c r="F17" i="7"/>
  <c r="V33" i="46"/>
  <c r="A202" i="33" s="1"/>
  <c r="X32" i="46"/>
  <c r="X33" i="46" s="1"/>
  <c r="A203" i="33" s="1"/>
  <c r="A187" i="33"/>
  <c r="G17" i="7"/>
  <c r="A188" i="33"/>
  <c r="G18" i="7"/>
  <c r="A232" i="33"/>
  <c r="H18" i="7"/>
  <c r="A231" i="33"/>
  <c r="H17" i="7"/>
  <c r="A6" i="37"/>
  <c r="P14" i="35" l="1"/>
  <c r="O14" i="35"/>
  <c r="A103" i="37" l="1"/>
  <c r="C17" i="36" l="1"/>
  <c r="A1" i="37" l="1"/>
  <c r="A111" i="37" l="1"/>
  <c r="E20" i="36"/>
  <c r="E17" i="36"/>
  <c r="A179" i="37" s="1"/>
  <c r="A139" i="37"/>
  <c r="D17" i="36"/>
  <c r="A166" i="37" s="1"/>
  <c r="A104" i="37"/>
  <c r="J154" i="37"/>
  <c r="J155" i="37"/>
  <c r="I150" i="37"/>
  <c r="O10" i="35"/>
  <c r="A66" i="37" s="1"/>
  <c r="P10" i="35"/>
  <c r="A65" i="37" s="1"/>
  <c r="A194" i="37"/>
  <c r="H200" i="37"/>
  <c r="A200" i="37"/>
  <c r="B51" i="37"/>
  <c r="B23" i="37"/>
  <c r="A25" i="37"/>
  <c r="L25" i="37"/>
  <c r="L41" i="37"/>
  <c r="A41" i="37"/>
  <c r="B39" i="37"/>
  <c r="A107" i="37"/>
  <c r="A106" i="37"/>
  <c r="A105" i="37"/>
  <c r="A134" i="37"/>
  <c r="K14" i="7"/>
  <c r="L49" i="37"/>
  <c r="A49" i="37"/>
  <c r="B47" i="37"/>
  <c r="L45" i="37"/>
  <c r="A45" i="37"/>
  <c r="B43" i="37"/>
  <c r="L37" i="37"/>
  <c r="A37" i="37"/>
  <c r="B35" i="37"/>
  <c r="L33" i="37"/>
  <c r="A33" i="37"/>
  <c r="B31" i="37"/>
  <c r="L29" i="37"/>
  <c r="A29" i="37"/>
  <c r="B27" i="37"/>
  <c r="L21" i="37"/>
  <c r="A21" i="37"/>
  <c r="B19" i="37"/>
  <c r="L16" i="37"/>
  <c r="A16" i="37"/>
  <c r="B14" i="37"/>
  <c r="H206" i="37"/>
  <c r="A203" i="37"/>
  <c r="H197" i="37"/>
  <c r="A197" i="37"/>
  <c r="H194" i="37"/>
  <c r="H191" i="37"/>
  <c r="A191" i="37"/>
  <c r="H188" i="37"/>
  <c r="A188" i="37"/>
  <c r="H185" i="37"/>
  <c r="A185" i="37"/>
  <c r="H181" i="37"/>
  <c r="A181" i="37"/>
  <c r="O2" i="35"/>
  <c r="O3" i="35"/>
  <c r="O4" i="35"/>
  <c r="O5" i="35"/>
  <c r="O6" i="35"/>
  <c r="O7" i="35"/>
  <c r="O8" i="35"/>
  <c r="O9" i="35"/>
  <c r="O11" i="35"/>
  <c r="O12" i="35"/>
  <c r="O13" i="35"/>
  <c r="P2" i="35"/>
  <c r="P3" i="35"/>
  <c r="P4" i="35"/>
  <c r="P5" i="35"/>
  <c r="P6" i="35"/>
  <c r="P7" i="35"/>
  <c r="P8" i="35"/>
  <c r="P9" i="35"/>
  <c r="P11" i="35"/>
  <c r="P12" i="35"/>
  <c r="P13" i="35"/>
  <c r="C93" i="6"/>
  <c r="C22" i="9" s="1"/>
  <c r="C46" i="6"/>
  <c r="C11" i="9" s="1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3" i="6"/>
  <c r="L4" i="6"/>
  <c r="L5" i="6"/>
  <c r="L6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C46" i="5"/>
  <c r="C10" i="7" s="1"/>
  <c r="M32" i="5"/>
  <c r="L34" i="31" s="1"/>
  <c r="M23" i="5"/>
  <c r="L25" i="31" s="1"/>
  <c r="G34" i="5"/>
  <c r="F36" i="31" s="1"/>
  <c r="C34" i="5"/>
  <c r="B36" i="31" s="1"/>
  <c r="D34" i="5"/>
  <c r="C36" i="31" s="1"/>
  <c r="E34" i="5"/>
  <c r="D36" i="31" s="1"/>
  <c r="F34" i="5"/>
  <c r="E36" i="31" s="1"/>
  <c r="H34" i="5"/>
  <c r="G36" i="31" s="1"/>
  <c r="I34" i="5"/>
  <c r="H36" i="31" s="1"/>
  <c r="J34" i="5"/>
  <c r="K34" i="5"/>
  <c r="J36" i="31" s="1"/>
  <c r="C40" i="5"/>
  <c r="C41" i="5" s="1"/>
  <c r="C5" i="7" s="1"/>
  <c r="A163" i="37"/>
  <c r="I147" i="37"/>
  <c r="A12" i="37"/>
  <c r="A5" i="37"/>
  <c r="A3" i="37"/>
  <c r="A98" i="37"/>
  <c r="F2" i="36"/>
  <c r="A100" i="37"/>
  <c r="A99" i="37"/>
  <c r="A97" i="37"/>
  <c r="A96" i="37"/>
  <c r="A117" i="37"/>
  <c r="A118" i="37"/>
  <c r="A127" i="37"/>
  <c r="A128" i="37"/>
  <c r="A132" i="37"/>
  <c r="A133" i="37"/>
  <c r="N133" i="37"/>
  <c r="F117" i="37"/>
  <c r="H117" i="37"/>
  <c r="N117" i="37"/>
  <c r="F118" i="37"/>
  <c r="H118" i="37"/>
  <c r="N118" i="37"/>
  <c r="F119" i="37"/>
  <c r="H119" i="37"/>
  <c r="F120" i="37"/>
  <c r="H120" i="37"/>
  <c r="F121" i="37"/>
  <c r="H121" i="37"/>
  <c r="F122" i="37"/>
  <c r="H122" i="37"/>
  <c r="F123" i="37"/>
  <c r="H123" i="37"/>
  <c r="F124" i="37"/>
  <c r="H124" i="37"/>
  <c r="F125" i="37"/>
  <c r="H125" i="37"/>
  <c r="F126" i="37"/>
  <c r="H126" i="37"/>
  <c r="F127" i="37"/>
  <c r="H127" i="37"/>
  <c r="N127" i="37"/>
  <c r="F128" i="37"/>
  <c r="H128" i="37"/>
  <c r="N128" i="37"/>
  <c r="F132" i="37"/>
  <c r="H132" i="37"/>
  <c r="N132" i="37"/>
  <c r="F133" i="37"/>
  <c r="H133" i="37"/>
  <c r="A9" i="37"/>
  <c r="A8" i="37"/>
  <c r="A7" i="37"/>
  <c r="C33" i="5"/>
  <c r="D33" i="5"/>
  <c r="E33" i="5"/>
  <c r="D35" i="31" s="1"/>
  <c r="F33" i="5"/>
  <c r="G33" i="5"/>
  <c r="F38" i="5" s="1"/>
  <c r="E40" i="31" s="1"/>
  <c r="H33" i="5"/>
  <c r="G35" i="31" s="1"/>
  <c r="I33" i="5"/>
  <c r="H35" i="31" s="1"/>
  <c r="J33" i="5"/>
  <c r="K33" i="5"/>
  <c r="C35" i="5"/>
  <c r="B37" i="31" s="1"/>
  <c r="I35" i="5"/>
  <c r="H37" i="31" s="1"/>
  <c r="I36" i="5"/>
  <c r="H38" i="31" s="1"/>
  <c r="L4" i="5"/>
  <c r="K6" i="31" s="1"/>
  <c r="M4" i="5"/>
  <c r="L6" i="31" s="1"/>
  <c r="L5" i="5"/>
  <c r="K7" i="31" s="1"/>
  <c r="M5" i="5"/>
  <c r="L7" i="31" s="1"/>
  <c r="L6" i="5"/>
  <c r="K8" i="31" s="1"/>
  <c r="M6" i="5"/>
  <c r="L8" i="31" s="1"/>
  <c r="L7" i="5"/>
  <c r="K9" i="31" s="1"/>
  <c r="M7" i="5"/>
  <c r="L9" i="31" s="1"/>
  <c r="L8" i="5"/>
  <c r="K10" i="31" s="1"/>
  <c r="M8" i="5"/>
  <c r="L10" i="31" s="1"/>
  <c r="L9" i="5"/>
  <c r="K11" i="31" s="1"/>
  <c r="M9" i="5"/>
  <c r="L11" i="31" s="1"/>
  <c r="L10" i="5"/>
  <c r="K12" i="31" s="1"/>
  <c r="M10" i="5"/>
  <c r="L12" i="31" s="1"/>
  <c r="L11" i="5"/>
  <c r="K13" i="31" s="1"/>
  <c r="M11" i="5"/>
  <c r="L13" i="31" s="1"/>
  <c r="L12" i="5"/>
  <c r="K14" i="31" s="1"/>
  <c r="M12" i="5"/>
  <c r="L14" i="31" s="1"/>
  <c r="L13" i="5"/>
  <c r="K15" i="31" s="1"/>
  <c r="M13" i="5"/>
  <c r="L15" i="31" s="1"/>
  <c r="L14" i="5"/>
  <c r="K16" i="31" s="1"/>
  <c r="M14" i="5"/>
  <c r="L16" i="31" s="1"/>
  <c r="L15" i="5"/>
  <c r="K17" i="31" s="1"/>
  <c r="M15" i="5"/>
  <c r="L17" i="31" s="1"/>
  <c r="L16" i="5"/>
  <c r="K18" i="31" s="1"/>
  <c r="M16" i="5"/>
  <c r="L18" i="31" s="1"/>
  <c r="L17" i="5"/>
  <c r="K19" i="31" s="1"/>
  <c r="M17" i="5"/>
  <c r="L19" i="31" s="1"/>
  <c r="L18" i="5"/>
  <c r="K20" i="31" s="1"/>
  <c r="M18" i="5"/>
  <c r="L20" i="31" s="1"/>
  <c r="L19" i="5"/>
  <c r="K21" i="31" s="1"/>
  <c r="M19" i="5"/>
  <c r="L21" i="31" s="1"/>
  <c r="L20" i="5"/>
  <c r="K22" i="31" s="1"/>
  <c r="M20" i="5"/>
  <c r="L22" i="31" s="1"/>
  <c r="L21" i="5"/>
  <c r="K23" i="31" s="1"/>
  <c r="M21" i="5"/>
  <c r="L23" i="31" s="1"/>
  <c r="L22" i="5"/>
  <c r="K24" i="31" s="1"/>
  <c r="M22" i="5"/>
  <c r="L24" i="31" s="1"/>
  <c r="L23" i="5"/>
  <c r="K25" i="31" s="1"/>
  <c r="L24" i="5"/>
  <c r="K26" i="31" s="1"/>
  <c r="M24" i="5"/>
  <c r="L26" i="31" s="1"/>
  <c r="L25" i="5"/>
  <c r="K27" i="31" s="1"/>
  <c r="M25" i="5"/>
  <c r="L27" i="31" s="1"/>
  <c r="L26" i="5"/>
  <c r="K28" i="31" s="1"/>
  <c r="M26" i="5"/>
  <c r="L28" i="31" s="1"/>
  <c r="L27" i="5"/>
  <c r="K29" i="31" s="1"/>
  <c r="M27" i="5"/>
  <c r="L29" i="31" s="1"/>
  <c r="L28" i="5"/>
  <c r="K30" i="31" s="1"/>
  <c r="M28" i="5"/>
  <c r="L30" i="31" s="1"/>
  <c r="L29" i="5"/>
  <c r="K31" i="31" s="1"/>
  <c r="M29" i="5"/>
  <c r="L31" i="31" s="1"/>
  <c r="L30" i="5"/>
  <c r="K32" i="31" s="1"/>
  <c r="M30" i="5"/>
  <c r="L32" i="31" s="1"/>
  <c r="L31" i="5"/>
  <c r="K33" i="31" s="1"/>
  <c r="M31" i="5"/>
  <c r="L33" i="31" s="1"/>
  <c r="L32" i="5"/>
  <c r="K34" i="31" s="1"/>
  <c r="L3" i="5"/>
  <c r="K5" i="31" s="1"/>
  <c r="M3" i="5"/>
  <c r="L5" i="31" s="1"/>
  <c r="C87" i="6"/>
  <c r="C88" i="6" s="1"/>
  <c r="C17" i="9" s="1"/>
  <c r="C80" i="6"/>
  <c r="D80" i="6"/>
  <c r="E80" i="6"/>
  <c r="F80" i="6"/>
  <c r="G80" i="6"/>
  <c r="G83" i="6" s="1"/>
  <c r="H80" i="6"/>
  <c r="I80" i="6"/>
  <c r="J80" i="6"/>
  <c r="K80" i="6"/>
  <c r="H82" i="6"/>
  <c r="H83" i="6"/>
  <c r="I83" i="6"/>
  <c r="J82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D81" i="6"/>
  <c r="E81" i="6"/>
  <c r="F81" i="6"/>
  <c r="G81" i="6"/>
  <c r="H81" i="6"/>
  <c r="I81" i="6"/>
  <c r="J81" i="6"/>
  <c r="K81" i="6"/>
  <c r="C81" i="6"/>
  <c r="C33" i="6"/>
  <c r="C36" i="6" s="1"/>
  <c r="D33" i="6"/>
  <c r="E33" i="6"/>
  <c r="E36" i="6" s="1"/>
  <c r="F33" i="6"/>
  <c r="G33" i="6"/>
  <c r="G36" i="6" s="1"/>
  <c r="H33" i="6"/>
  <c r="H38" i="6" s="1"/>
  <c r="I33" i="6"/>
  <c r="I36" i="6" s="1"/>
  <c r="J33" i="6"/>
  <c r="K33" i="6"/>
  <c r="C40" i="6"/>
  <c r="K34" i="6"/>
  <c r="J34" i="6"/>
  <c r="I34" i="6"/>
  <c r="H34" i="6"/>
  <c r="G34" i="6"/>
  <c r="F34" i="6"/>
  <c r="E34" i="6"/>
  <c r="D34" i="6"/>
  <c r="C34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4" i="6"/>
  <c r="M3" i="6"/>
  <c r="W22" i="5"/>
  <c r="W23" i="5"/>
  <c r="W24" i="5"/>
  <c r="F22" i="33" s="1"/>
  <c r="W25" i="5"/>
  <c r="W26" i="5"/>
  <c r="W27" i="5"/>
  <c r="W28" i="5"/>
  <c r="F26" i="33" s="1"/>
  <c r="X28" i="5"/>
  <c r="G26" i="33" s="1"/>
  <c r="W4" i="5"/>
  <c r="W5" i="5"/>
  <c r="W6" i="5"/>
  <c r="W7" i="5"/>
  <c r="W8" i="5"/>
  <c r="W9" i="5"/>
  <c r="W10" i="5"/>
  <c r="W51" i="6"/>
  <c r="W52" i="6"/>
  <c r="W53" i="6"/>
  <c r="W54" i="6"/>
  <c r="W55" i="6"/>
  <c r="W56" i="6"/>
  <c r="W57" i="6"/>
  <c r="W4" i="6"/>
  <c r="F3" i="34" s="1"/>
  <c r="W5" i="6"/>
  <c r="W6" i="6"/>
  <c r="F5" i="34" s="1"/>
  <c r="W7" i="6"/>
  <c r="F6" i="34" s="1"/>
  <c r="W8" i="6"/>
  <c r="W9" i="6"/>
  <c r="F8" i="34" s="1"/>
  <c r="X9" i="6"/>
  <c r="G8" i="34" s="1"/>
  <c r="W10" i="6"/>
  <c r="F9" i="34" s="1"/>
  <c r="W24" i="6"/>
  <c r="W25" i="6"/>
  <c r="W26" i="6"/>
  <c r="W27" i="6"/>
  <c r="W28" i="6"/>
  <c r="W23" i="6"/>
  <c r="W22" i="6"/>
  <c r="W69" i="6"/>
  <c r="X69" i="6" s="1"/>
  <c r="W70" i="6"/>
  <c r="X70" i="6" s="1"/>
  <c r="W71" i="6"/>
  <c r="X71" i="6" s="1"/>
  <c r="W72" i="6"/>
  <c r="X72" i="6" s="1"/>
  <c r="W73" i="6"/>
  <c r="X73" i="6" s="1"/>
  <c r="W74" i="6"/>
  <c r="X74" i="6" s="1"/>
  <c r="W75" i="6"/>
  <c r="X75" i="6" s="1"/>
  <c r="C85" i="6" l="1"/>
  <c r="E36" i="5"/>
  <c r="D38" i="31" s="1"/>
  <c r="C41" i="6"/>
  <c r="C6" i="9" s="1"/>
  <c r="C5" i="9"/>
  <c r="K85" i="6"/>
  <c r="X4" i="6"/>
  <c r="G3" i="34" s="1"/>
  <c r="J38" i="6"/>
  <c r="F38" i="6"/>
  <c r="E40" i="32" s="1"/>
  <c r="O10" i="6"/>
  <c r="T11" i="6" s="1"/>
  <c r="C10" i="34" s="1"/>
  <c r="I85" i="6"/>
  <c r="H463" i="32" s="1"/>
  <c r="E322" i="32"/>
  <c r="E416" i="32"/>
  <c r="B320" i="32"/>
  <c r="B226" i="32"/>
  <c r="B414" i="32"/>
  <c r="B132" i="32"/>
  <c r="B38" i="32"/>
  <c r="B465" i="32"/>
  <c r="B89" i="32"/>
  <c r="B277" i="32"/>
  <c r="B183" i="32"/>
  <c r="B371" i="32"/>
  <c r="B418" i="32"/>
  <c r="B324" i="32"/>
  <c r="B230" i="32"/>
  <c r="B136" i="32"/>
  <c r="B42" i="32"/>
  <c r="L387" i="32"/>
  <c r="L293" i="32"/>
  <c r="L199" i="32"/>
  <c r="L11" i="32"/>
  <c r="L105" i="32"/>
  <c r="J224" i="32"/>
  <c r="J130" i="32"/>
  <c r="J318" i="32"/>
  <c r="J412" i="32"/>
  <c r="J36" i="32"/>
  <c r="K38" i="6"/>
  <c r="J223" i="32"/>
  <c r="J129" i="32"/>
  <c r="J317" i="32"/>
  <c r="J411" i="32"/>
  <c r="J35" i="32"/>
  <c r="D320" i="32"/>
  <c r="D226" i="32"/>
  <c r="D132" i="32"/>
  <c r="D414" i="32"/>
  <c r="D38" i="32"/>
  <c r="H271" i="32"/>
  <c r="H177" i="32"/>
  <c r="H459" i="32"/>
  <c r="H365" i="32"/>
  <c r="H83" i="32"/>
  <c r="L455" i="32"/>
  <c r="L173" i="32"/>
  <c r="L361" i="32"/>
  <c r="L267" i="32"/>
  <c r="L79" i="32"/>
  <c r="L447" i="32"/>
  <c r="L165" i="32"/>
  <c r="L353" i="32"/>
  <c r="L259" i="32"/>
  <c r="L71" i="32"/>
  <c r="L439" i="32"/>
  <c r="L157" i="32"/>
  <c r="L345" i="32"/>
  <c r="L251" i="32"/>
  <c r="L63" i="32"/>
  <c r="L431" i="32"/>
  <c r="L149" i="32"/>
  <c r="L337" i="32"/>
  <c r="L243" i="32"/>
  <c r="L55" i="32"/>
  <c r="H84" i="6"/>
  <c r="G272" i="32"/>
  <c r="G178" i="32"/>
  <c r="G460" i="32"/>
  <c r="G366" i="32"/>
  <c r="G84" i="32"/>
  <c r="J369" i="32"/>
  <c r="J463" i="32"/>
  <c r="J275" i="32"/>
  <c r="J181" i="32"/>
  <c r="J87" i="32"/>
  <c r="F85" i="6"/>
  <c r="E176" i="32"/>
  <c r="E458" i="32"/>
  <c r="E364" i="32"/>
  <c r="E270" i="32"/>
  <c r="E82" i="32"/>
  <c r="K128" i="32"/>
  <c r="K316" i="32"/>
  <c r="K222" i="32"/>
  <c r="K410" i="32"/>
  <c r="K34" i="32"/>
  <c r="K120" i="32"/>
  <c r="K308" i="32"/>
  <c r="K214" i="32"/>
  <c r="K402" i="32"/>
  <c r="K26" i="32"/>
  <c r="K112" i="32"/>
  <c r="K300" i="32"/>
  <c r="K206" i="32"/>
  <c r="K394" i="32"/>
  <c r="K18" i="32"/>
  <c r="K104" i="32"/>
  <c r="K292" i="32"/>
  <c r="K198" i="32"/>
  <c r="K386" i="32"/>
  <c r="K10" i="32"/>
  <c r="K455" i="32"/>
  <c r="K173" i="32"/>
  <c r="K361" i="32"/>
  <c r="K267" i="32"/>
  <c r="K79" i="32"/>
  <c r="K447" i="32"/>
  <c r="K165" i="32"/>
  <c r="K353" i="32"/>
  <c r="K259" i="32"/>
  <c r="K71" i="32"/>
  <c r="K439" i="32"/>
  <c r="K157" i="32"/>
  <c r="K345" i="32"/>
  <c r="K251" i="32"/>
  <c r="K63" i="32"/>
  <c r="K431" i="32"/>
  <c r="K149" i="32"/>
  <c r="K337" i="32"/>
  <c r="K243" i="32"/>
  <c r="K55" i="32"/>
  <c r="B224" i="32"/>
  <c r="B130" i="32"/>
  <c r="B318" i="32"/>
  <c r="B412" i="32"/>
  <c r="B36" i="32"/>
  <c r="X24" i="6"/>
  <c r="G22" i="34" s="1"/>
  <c r="F22" i="34"/>
  <c r="X5" i="6"/>
  <c r="G4" i="34" s="1"/>
  <c r="F4" i="34"/>
  <c r="X52" i="6"/>
  <c r="F40" i="34"/>
  <c r="F57" i="34"/>
  <c r="L388" i="32"/>
  <c r="L294" i="32"/>
  <c r="L200" i="32"/>
  <c r="L12" i="32"/>
  <c r="L106" i="32"/>
  <c r="L396" i="32"/>
  <c r="L302" i="32"/>
  <c r="L208" i="32"/>
  <c r="L20" i="32"/>
  <c r="L114" i="32"/>
  <c r="L404" i="32"/>
  <c r="L122" i="32"/>
  <c r="L310" i="32"/>
  <c r="L216" i="32"/>
  <c r="L28" i="32"/>
  <c r="C224" i="32"/>
  <c r="C130" i="32"/>
  <c r="C412" i="32"/>
  <c r="C318" i="32"/>
  <c r="C36" i="32"/>
  <c r="J35" i="6"/>
  <c r="I129" i="32"/>
  <c r="I223" i="32"/>
  <c r="I317" i="32"/>
  <c r="I411" i="32"/>
  <c r="I35" i="32"/>
  <c r="E38" i="6"/>
  <c r="D223" i="32"/>
  <c r="D129" i="32"/>
  <c r="D411" i="32"/>
  <c r="D317" i="32"/>
  <c r="D35" i="32"/>
  <c r="G271" i="32"/>
  <c r="G177" i="32"/>
  <c r="G459" i="32"/>
  <c r="G365" i="32"/>
  <c r="G83" i="32"/>
  <c r="L454" i="32"/>
  <c r="L172" i="32"/>
  <c r="L360" i="32"/>
  <c r="L266" i="32"/>
  <c r="L78" i="32"/>
  <c r="L446" i="32"/>
  <c r="L164" i="32"/>
  <c r="L352" i="32"/>
  <c r="L258" i="32"/>
  <c r="L70" i="32"/>
  <c r="L438" i="32"/>
  <c r="L156" i="32"/>
  <c r="L344" i="32"/>
  <c r="L250" i="32"/>
  <c r="L62" i="32"/>
  <c r="L430" i="32"/>
  <c r="L148" i="32"/>
  <c r="L336" i="32"/>
  <c r="L242" i="32"/>
  <c r="L54" i="32"/>
  <c r="F273" i="32"/>
  <c r="F461" i="32"/>
  <c r="F179" i="32"/>
  <c r="F367" i="32"/>
  <c r="F85" i="32"/>
  <c r="E82" i="6"/>
  <c r="D176" i="32"/>
  <c r="D458" i="32"/>
  <c r="D364" i="32"/>
  <c r="D270" i="32"/>
  <c r="D82" i="32"/>
  <c r="K409" i="32"/>
  <c r="K127" i="32"/>
  <c r="K315" i="32"/>
  <c r="K221" i="32"/>
  <c r="K33" i="32"/>
  <c r="K401" i="32"/>
  <c r="K307" i="32"/>
  <c r="K213" i="32"/>
  <c r="K25" i="32"/>
  <c r="K119" i="32"/>
  <c r="K393" i="32"/>
  <c r="K299" i="32"/>
  <c r="K205" i="32"/>
  <c r="K111" i="32"/>
  <c r="K17" i="32"/>
  <c r="K385" i="32"/>
  <c r="K291" i="32"/>
  <c r="K197" i="32"/>
  <c r="K103" i="32"/>
  <c r="K9" i="32"/>
  <c r="K360" i="32"/>
  <c r="K266" i="32"/>
  <c r="K454" i="32"/>
  <c r="K172" i="32"/>
  <c r="K78" i="32"/>
  <c r="K352" i="32"/>
  <c r="K258" i="32"/>
  <c r="K164" i="32"/>
  <c r="K446" i="32"/>
  <c r="K70" i="32"/>
  <c r="K344" i="32"/>
  <c r="K250" i="32"/>
  <c r="K438" i="32"/>
  <c r="K156" i="32"/>
  <c r="K62" i="32"/>
  <c r="K336" i="32"/>
  <c r="K242" i="32"/>
  <c r="K430" i="32"/>
  <c r="K148" i="32"/>
  <c r="K54" i="32"/>
  <c r="X53" i="6"/>
  <c r="F58" i="34"/>
  <c r="F41" i="34"/>
  <c r="L403" i="32"/>
  <c r="L121" i="32"/>
  <c r="L309" i="32"/>
  <c r="L215" i="32"/>
  <c r="L27" i="32"/>
  <c r="L99" i="32"/>
  <c r="L287" i="32"/>
  <c r="L193" i="32"/>
  <c r="L381" i="32"/>
  <c r="L5" i="32"/>
  <c r="L115" i="32"/>
  <c r="L303" i="32"/>
  <c r="L209" i="32"/>
  <c r="L397" i="32"/>
  <c r="L21" i="32"/>
  <c r="D224" i="32"/>
  <c r="D130" i="32"/>
  <c r="D412" i="32"/>
  <c r="D318" i="32"/>
  <c r="D36" i="32"/>
  <c r="B417" i="32"/>
  <c r="B135" i="32"/>
  <c r="B323" i="32"/>
  <c r="B229" i="32"/>
  <c r="B41" i="32"/>
  <c r="H320" i="32"/>
  <c r="H226" i="32"/>
  <c r="H132" i="32"/>
  <c r="H414" i="32"/>
  <c r="H38" i="32"/>
  <c r="D35" i="6"/>
  <c r="C223" i="32"/>
  <c r="C129" i="32"/>
  <c r="C317" i="32"/>
  <c r="C411" i="32"/>
  <c r="C35" i="32"/>
  <c r="O69" i="6"/>
  <c r="T76" i="6" s="1"/>
  <c r="W76" i="6" s="1"/>
  <c r="X76" i="6" s="1"/>
  <c r="S79" i="6" s="1"/>
  <c r="F271" i="32"/>
  <c r="F177" i="32"/>
  <c r="F459" i="32"/>
  <c r="F365" i="32"/>
  <c r="F83" i="32"/>
  <c r="L453" i="32"/>
  <c r="L171" i="32"/>
  <c r="L359" i="32"/>
  <c r="L265" i="32"/>
  <c r="L77" i="32"/>
  <c r="L445" i="32"/>
  <c r="L163" i="32"/>
  <c r="L351" i="32"/>
  <c r="L257" i="32"/>
  <c r="L69" i="32"/>
  <c r="L437" i="32"/>
  <c r="L155" i="32"/>
  <c r="L343" i="32"/>
  <c r="L249" i="32"/>
  <c r="L61" i="32"/>
  <c r="O57" i="6"/>
  <c r="T58" i="6" s="1"/>
  <c r="L429" i="32"/>
  <c r="L147" i="32"/>
  <c r="L335" i="32"/>
  <c r="L241" i="32"/>
  <c r="L53" i="32"/>
  <c r="B369" i="32"/>
  <c r="B463" i="32"/>
  <c r="B275" i="32"/>
  <c r="B181" i="32"/>
  <c r="B87" i="32"/>
  <c r="C176" i="32"/>
  <c r="C458" i="32"/>
  <c r="C364" i="32"/>
  <c r="C270" i="32"/>
  <c r="C82" i="32"/>
  <c r="K126" i="32"/>
  <c r="K314" i="32"/>
  <c r="K220" i="32"/>
  <c r="K408" i="32"/>
  <c r="K32" i="32"/>
  <c r="K118" i="32"/>
  <c r="K306" i="32"/>
  <c r="K212" i="32"/>
  <c r="K400" i="32"/>
  <c r="K24" i="32"/>
  <c r="K110" i="32"/>
  <c r="K298" i="32"/>
  <c r="K204" i="32"/>
  <c r="K392" i="32"/>
  <c r="K16" i="32"/>
  <c r="K102" i="32"/>
  <c r="K290" i="32"/>
  <c r="K196" i="32"/>
  <c r="K384" i="32"/>
  <c r="K8" i="32"/>
  <c r="K453" i="32"/>
  <c r="K171" i="32"/>
  <c r="K359" i="32"/>
  <c r="K265" i="32"/>
  <c r="K77" i="32"/>
  <c r="K445" i="32"/>
  <c r="K163" i="32"/>
  <c r="K351" i="32"/>
  <c r="K257" i="32"/>
  <c r="K69" i="32"/>
  <c r="K437" i="32"/>
  <c r="K155" i="32"/>
  <c r="K343" i="32"/>
  <c r="K249" i="32"/>
  <c r="K61" i="32"/>
  <c r="K429" i="32"/>
  <c r="K147" i="32"/>
  <c r="K335" i="32"/>
  <c r="K241" i="32"/>
  <c r="K53" i="32"/>
  <c r="L395" i="32"/>
  <c r="L113" i="32"/>
  <c r="L301" i="32"/>
  <c r="L207" i="32"/>
  <c r="L19" i="32"/>
  <c r="X51" i="6"/>
  <c r="F39" i="34"/>
  <c r="F56" i="34"/>
  <c r="L107" i="32"/>
  <c r="L295" i="32"/>
  <c r="L201" i="32"/>
  <c r="L389" i="32"/>
  <c r="L13" i="32"/>
  <c r="L123" i="32"/>
  <c r="L311" i="32"/>
  <c r="L217" i="32"/>
  <c r="L405" i="32"/>
  <c r="L29" i="32"/>
  <c r="X22" i="6"/>
  <c r="G20" i="34" s="1"/>
  <c r="F20" i="34"/>
  <c r="L382" i="32"/>
  <c r="L288" i="32"/>
  <c r="L194" i="32"/>
  <c r="L6" i="32"/>
  <c r="L100" i="32"/>
  <c r="L390" i="32"/>
  <c r="L296" i="32"/>
  <c r="L202" i="32"/>
  <c r="L14" i="32"/>
  <c r="L108" i="32"/>
  <c r="L398" i="32"/>
  <c r="L304" i="32"/>
  <c r="L210" i="32"/>
  <c r="L116" i="32"/>
  <c r="L22" i="32"/>
  <c r="L406" i="32"/>
  <c r="L124" i="32"/>
  <c r="L312" i="32"/>
  <c r="L218" i="32"/>
  <c r="L30" i="32"/>
  <c r="E224" i="32"/>
  <c r="E130" i="32"/>
  <c r="E412" i="32"/>
  <c r="E318" i="32"/>
  <c r="E36" i="32"/>
  <c r="C42" i="6"/>
  <c r="C7" i="9" s="1"/>
  <c r="I38" i="6"/>
  <c r="H129" i="32"/>
  <c r="H223" i="32"/>
  <c r="H317" i="32"/>
  <c r="H411" i="32"/>
  <c r="H35" i="32"/>
  <c r="E271" i="32"/>
  <c r="E177" i="32"/>
  <c r="E459" i="32"/>
  <c r="E365" i="32"/>
  <c r="E83" i="32"/>
  <c r="L452" i="32"/>
  <c r="L170" i="32"/>
  <c r="L358" i="32"/>
  <c r="L264" i="32"/>
  <c r="L76" i="32"/>
  <c r="L444" i="32"/>
  <c r="L162" i="32"/>
  <c r="L350" i="32"/>
  <c r="L256" i="32"/>
  <c r="L68" i="32"/>
  <c r="L436" i="32"/>
  <c r="L154" i="32"/>
  <c r="L342" i="32"/>
  <c r="L248" i="32"/>
  <c r="L60" i="32"/>
  <c r="L428" i="32"/>
  <c r="L146" i="32"/>
  <c r="L334" i="32"/>
  <c r="L240" i="32"/>
  <c r="L52" i="32"/>
  <c r="F83" i="6"/>
  <c r="K82" i="6"/>
  <c r="J176" i="32"/>
  <c r="J458" i="32"/>
  <c r="J364" i="32"/>
  <c r="J270" i="32"/>
  <c r="J82" i="32"/>
  <c r="C82" i="6"/>
  <c r="B176" i="32"/>
  <c r="B458" i="32"/>
  <c r="B364" i="32"/>
  <c r="B270" i="32"/>
  <c r="B82" i="32"/>
  <c r="K407" i="32"/>
  <c r="K125" i="32"/>
  <c r="K313" i="32"/>
  <c r="K219" i="32"/>
  <c r="K31" i="32"/>
  <c r="K399" i="32"/>
  <c r="K305" i="32"/>
  <c r="K211" i="32"/>
  <c r="K23" i="32"/>
  <c r="K117" i="32"/>
  <c r="K391" i="32"/>
  <c r="K297" i="32"/>
  <c r="K203" i="32"/>
  <c r="K15" i="32"/>
  <c r="K109" i="32"/>
  <c r="K383" i="32"/>
  <c r="K289" i="32"/>
  <c r="K195" i="32"/>
  <c r="K7" i="32"/>
  <c r="K101" i="32"/>
  <c r="K452" i="32"/>
  <c r="K170" i="32"/>
  <c r="K358" i="32"/>
  <c r="K264" i="32"/>
  <c r="K76" i="32"/>
  <c r="K444" i="32"/>
  <c r="K162" i="32"/>
  <c r="K350" i="32"/>
  <c r="K256" i="32"/>
  <c r="K68" i="32"/>
  <c r="K436" i="32"/>
  <c r="K154" i="32"/>
  <c r="K342" i="32"/>
  <c r="K248" i="32"/>
  <c r="K60" i="32"/>
  <c r="K334" i="32"/>
  <c r="K240" i="32"/>
  <c r="K428" i="32"/>
  <c r="K146" i="32"/>
  <c r="K52" i="32"/>
  <c r="X23" i="6"/>
  <c r="G21" i="34" s="1"/>
  <c r="F21" i="34"/>
  <c r="X57" i="6"/>
  <c r="F45" i="34"/>
  <c r="F62" i="34"/>
  <c r="L289" i="32"/>
  <c r="L195" i="32"/>
  <c r="L383" i="32"/>
  <c r="L101" i="32"/>
  <c r="L7" i="32"/>
  <c r="L109" i="32"/>
  <c r="L297" i="32"/>
  <c r="L203" i="32"/>
  <c r="L391" i="32"/>
  <c r="L15" i="32"/>
  <c r="L117" i="32"/>
  <c r="L305" i="32"/>
  <c r="L211" i="32"/>
  <c r="L399" i="32"/>
  <c r="L23" i="32"/>
  <c r="L125" i="32"/>
  <c r="L313" i="32"/>
  <c r="L219" i="32"/>
  <c r="L407" i="32"/>
  <c r="L31" i="32"/>
  <c r="F224" i="32"/>
  <c r="F130" i="32"/>
  <c r="F412" i="32"/>
  <c r="F318" i="32"/>
  <c r="F36" i="32"/>
  <c r="I322" i="32"/>
  <c r="I416" i="32"/>
  <c r="I228" i="32"/>
  <c r="I134" i="32"/>
  <c r="I40" i="32"/>
  <c r="H35" i="6"/>
  <c r="G223" i="32"/>
  <c r="G129" i="32"/>
  <c r="G411" i="32"/>
  <c r="G317" i="32"/>
  <c r="G35" i="32"/>
  <c r="C38" i="6"/>
  <c r="B223" i="32"/>
  <c r="B129" i="32"/>
  <c r="B317" i="32"/>
  <c r="B411" i="32"/>
  <c r="B35" i="32"/>
  <c r="P57" i="6"/>
  <c r="T59" i="6" s="1"/>
  <c r="C47" i="34" s="1"/>
  <c r="D271" i="32"/>
  <c r="D177" i="32"/>
  <c r="D459" i="32"/>
  <c r="D365" i="32"/>
  <c r="D83" i="32"/>
  <c r="L357" i="32"/>
  <c r="L263" i="32"/>
  <c r="L451" i="32"/>
  <c r="L169" i="32"/>
  <c r="L75" i="32"/>
  <c r="L349" i="32"/>
  <c r="L255" i="32"/>
  <c r="L443" i="32"/>
  <c r="L161" i="32"/>
  <c r="L67" i="32"/>
  <c r="L341" i="32"/>
  <c r="L247" i="32"/>
  <c r="L435" i="32"/>
  <c r="L153" i="32"/>
  <c r="L59" i="32"/>
  <c r="I178" i="32"/>
  <c r="I272" i="32"/>
  <c r="I460" i="32"/>
  <c r="I366" i="32"/>
  <c r="I84" i="32"/>
  <c r="F82" i="6"/>
  <c r="J83" i="6"/>
  <c r="I176" i="32"/>
  <c r="I458" i="32"/>
  <c r="I364" i="32"/>
  <c r="I270" i="32"/>
  <c r="I82" i="32"/>
  <c r="K406" i="32"/>
  <c r="K124" i="32"/>
  <c r="K312" i="32"/>
  <c r="K218" i="32"/>
  <c r="K30" i="32"/>
  <c r="K398" i="32"/>
  <c r="K116" i="32"/>
  <c r="K304" i="32"/>
  <c r="K210" i="32"/>
  <c r="K22" i="32"/>
  <c r="K390" i="32"/>
  <c r="K108" i="32"/>
  <c r="K296" i="32"/>
  <c r="K202" i="32"/>
  <c r="K14" i="32"/>
  <c r="K382" i="32"/>
  <c r="K288" i="32"/>
  <c r="K194" i="32"/>
  <c r="K100" i="32"/>
  <c r="K6" i="32"/>
  <c r="K451" i="32"/>
  <c r="K357" i="32"/>
  <c r="K263" i="32"/>
  <c r="K169" i="32"/>
  <c r="K75" i="32"/>
  <c r="K443" i="32"/>
  <c r="K349" i="32"/>
  <c r="K255" i="32"/>
  <c r="K161" i="32"/>
  <c r="K67" i="32"/>
  <c r="K435" i="32"/>
  <c r="K341" i="32"/>
  <c r="K247" i="32"/>
  <c r="K153" i="32"/>
  <c r="K59" i="32"/>
  <c r="B419" i="32"/>
  <c r="B137" i="32"/>
  <c r="B325" i="32"/>
  <c r="B231" i="32"/>
  <c r="B43" i="32"/>
  <c r="X28" i="6"/>
  <c r="G26" i="34" s="1"/>
  <c r="F26" i="34"/>
  <c r="X56" i="6"/>
  <c r="F44" i="34"/>
  <c r="F61" i="34"/>
  <c r="L306" i="32"/>
  <c r="L212" i="32"/>
  <c r="L400" i="32"/>
  <c r="L118" i="32"/>
  <c r="L24" i="32"/>
  <c r="L314" i="32"/>
  <c r="L220" i="32"/>
  <c r="L408" i="32"/>
  <c r="L126" i="32"/>
  <c r="L32" i="32"/>
  <c r="F320" i="32"/>
  <c r="F226" i="32"/>
  <c r="F414" i="32"/>
  <c r="F38" i="32"/>
  <c r="F132" i="32"/>
  <c r="C177" i="32"/>
  <c r="C271" i="32"/>
  <c r="C459" i="32"/>
  <c r="C365" i="32"/>
  <c r="C83" i="32"/>
  <c r="L450" i="32"/>
  <c r="L168" i="32"/>
  <c r="L356" i="32"/>
  <c r="L262" i="32"/>
  <c r="L74" i="32"/>
  <c r="L442" i="32"/>
  <c r="L160" i="32"/>
  <c r="L348" i="32"/>
  <c r="L254" i="32"/>
  <c r="L66" i="32"/>
  <c r="L434" i="32"/>
  <c r="L152" i="32"/>
  <c r="L340" i="32"/>
  <c r="L246" i="32"/>
  <c r="L58" i="32"/>
  <c r="H273" i="32"/>
  <c r="H461" i="32"/>
  <c r="H179" i="32"/>
  <c r="H367" i="32"/>
  <c r="H85" i="32"/>
  <c r="H176" i="32"/>
  <c r="H458" i="32"/>
  <c r="H364" i="32"/>
  <c r="H270" i="32"/>
  <c r="H82" i="32"/>
  <c r="B464" i="32"/>
  <c r="C16" i="9"/>
  <c r="B276" i="32"/>
  <c r="B182" i="32"/>
  <c r="B370" i="32"/>
  <c r="B88" i="32"/>
  <c r="K123" i="32"/>
  <c r="K311" i="32"/>
  <c r="K217" i="32"/>
  <c r="K405" i="32"/>
  <c r="K29" i="32"/>
  <c r="K115" i="32"/>
  <c r="K303" i="32"/>
  <c r="K209" i="32"/>
  <c r="K397" i="32"/>
  <c r="K21" i="32"/>
  <c r="K107" i="32"/>
  <c r="K295" i="32"/>
  <c r="K201" i="32"/>
  <c r="K389" i="32"/>
  <c r="K13" i="32"/>
  <c r="K99" i="32"/>
  <c r="K287" i="32"/>
  <c r="K193" i="32"/>
  <c r="K381" i="32"/>
  <c r="K5" i="32"/>
  <c r="K450" i="32"/>
  <c r="K168" i="32"/>
  <c r="K356" i="32"/>
  <c r="K262" i="32"/>
  <c r="K74" i="32"/>
  <c r="K442" i="32"/>
  <c r="K160" i="32"/>
  <c r="K348" i="32"/>
  <c r="K254" i="32"/>
  <c r="K66" i="32"/>
  <c r="K434" i="32"/>
  <c r="K152" i="32"/>
  <c r="K340" i="32"/>
  <c r="K246" i="32"/>
  <c r="K58" i="32"/>
  <c r="B466" i="32"/>
  <c r="B278" i="32"/>
  <c r="B184" i="32"/>
  <c r="B372" i="32"/>
  <c r="B90" i="32"/>
  <c r="L298" i="32"/>
  <c r="L204" i="32"/>
  <c r="L392" i="32"/>
  <c r="L110" i="32"/>
  <c r="L16" i="32"/>
  <c r="B177" i="32"/>
  <c r="B271" i="32"/>
  <c r="B459" i="32"/>
  <c r="B365" i="32"/>
  <c r="B83" i="32"/>
  <c r="X27" i="6"/>
  <c r="G25" i="34" s="1"/>
  <c r="F25" i="34"/>
  <c r="X8" i="6"/>
  <c r="G7" i="34" s="1"/>
  <c r="F7" i="34"/>
  <c r="X55" i="6"/>
  <c r="F43" i="34"/>
  <c r="F60" i="34"/>
  <c r="L385" i="32"/>
  <c r="L291" i="32"/>
  <c r="L197" i="32"/>
  <c r="L103" i="32"/>
  <c r="L9" i="32"/>
  <c r="L393" i="32"/>
  <c r="L299" i="32"/>
  <c r="L205" i="32"/>
  <c r="L111" i="32"/>
  <c r="L17" i="32"/>
  <c r="L401" i="32"/>
  <c r="L307" i="32"/>
  <c r="L213" i="32"/>
  <c r="L25" i="32"/>
  <c r="L119" i="32"/>
  <c r="L409" i="32"/>
  <c r="L315" i="32"/>
  <c r="L221" i="32"/>
  <c r="L127" i="32"/>
  <c r="L33" i="32"/>
  <c r="H130" i="32"/>
  <c r="H224" i="32"/>
  <c r="H412" i="32"/>
  <c r="H318" i="32"/>
  <c r="H36" i="32"/>
  <c r="G35" i="6"/>
  <c r="F223" i="32"/>
  <c r="F129" i="32"/>
  <c r="F411" i="32"/>
  <c r="F317" i="32"/>
  <c r="F35" i="32"/>
  <c r="J177" i="32"/>
  <c r="J271" i="32"/>
  <c r="J459" i="32"/>
  <c r="J365" i="32"/>
  <c r="J83" i="32"/>
  <c r="L175" i="32"/>
  <c r="L457" i="32"/>
  <c r="L363" i="32"/>
  <c r="L269" i="32"/>
  <c r="L81" i="32"/>
  <c r="L449" i="32"/>
  <c r="L167" i="32"/>
  <c r="L355" i="32"/>
  <c r="L261" i="32"/>
  <c r="L73" i="32"/>
  <c r="L441" i="32"/>
  <c r="L159" i="32"/>
  <c r="L347" i="32"/>
  <c r="L253" i="32"/>
  <c r="L65" i="32"/>
  <c r="L433" i="32"/>
  <c r="L151" i="32"/>
  <c r="L339" i="32"/>
  <c r="L245" i="32"/>
  <c r="L57" i="32"/>
  <c r="I82" i="6"/>
  <c r="D83" i="6"/>
  <c r="G176" i="32"/>
  <c r="G364" i="32"/>
  <c r="G270" i="32"/>
  <c r="G458" i="32"/>
  <c r="G82" i="32"/>
  <c r="K404" i="32"/>
  <c r="K310" i="32"/>
  <c r="K216" i="32"/>
  <c r="K28" i="32"/>
  <c r="K122" i="32"/>
  <c r="K396" i="32"/>
  <c r="K302" i="32"/>
  <c r="K208" i="32"/>
  <c r="K20" i="32"/>
  <c r="K114" i="32"/>
  <c r="K388" i="32"/>
  <c r="K294" i="32"/>
  <c r="K200" i="32"/>
  <c r="K12" i="32"/>
  <c r="K106" i="32"/>
  <c r="K175" i="32"/>
  <c r="K457" i="32"/>
  <c r="K363" i="32"/>
  <c r="K269" i="32"/>
  <c r="K81" i="32"/>
  <c r="K449" i="32"/>
  <c r="K167" i="32"/>
  <c r="K355" i="32"/>
  <c r="K261" i="32"/>
  <c r="K73" i="32"/>
  <c r="K441" i="32"/>
  <c r="K159" i="32"/>
  <c r="K347" i="32"/>
  <c r="K253" i="32"/>
  <c r="K65" i="32"/>
  <c r="K433" i="32"/>
  <c r="K151" i="32"/>
  <c r="K339" i="32"/>
  <c r="K245" i="32"/>
  <c r="K57" i="32"/>
  <c r="X25" i="6"/>
  <c r="G23" i="34" s="1"/>
  <c r="F23" i="34"/>
  <c r="L290" i="32"/>
  <c r="L196" i="32"/>
  <c r="L384" i="32"/>
  <c r="L102" i="32"/>
  <c r="L8" i="32"/>
  <c r="G130" i="32"/>
  <c r="G224" i="32"/>
  <c r="G412" i="32"/>
  <c r="G318" i="32"/>
  <c r="G36" i="32"/>
  <c r="G322" i="32"/>
  <c r="G134" i="32"/>
  <c r="G228" i="32"/>
  <c r="G416" i="32"/>
  <c r="G40" i="32"/>
  <c r="X26" i="6"/>
  <c r="G24" i="34" s="1"/>
  <c r="F24" i="34"/>
  <c r="X54" i="6"/>
  <c r="F42" i="34"/>
  <c r="F59" i="34"/>
  <c r="L104" i="32"/>
  <c r="L292" i="32"/>
  <c r="L198" i="32"/>
  <c r="L386" i="32"/>
  <c r="L10" i="32"/>
  <c r="L112" i="32"/>
  <c r="L300" i="32"/>
  <c r="L206" i="32"/>
  <c r="L394" i="32"/>
  <c r="L18" i="32"/>
  <c r="L120" i="32"/>
  <c r="L308" i="32"/>
  <c r="L214" i="32"/>
  <c r="L402" i="32"/>
  <c r="L26" i="32"/>
  <c r="L128" i="32"/>
  <c r="L316" i="32"/>
  <c r="L222" i="32"/>
  <c r="L410" i="32"/>
  <c r="L34" i="32"/>
  <c r="I224" i="32"/>
  <c r="I130" i="32"/>
  <c r="I318" i="32"/>
  <c r="I412" i="32"/>
  <c r="I36" i="32"/>
  <c r="K36" i="6"/>
  <c r="F35" i="6"/>
  <c r="E223" i="32"/>
  <c r="E129" i="32"/>
  <c r="E411" i="32"/>
  <c r="E317" i="32"/>
  <c r="E35" i="32"/>
  <c r="I271" i="32"/>
  <c r="I177" i="32"/>
  <c r="I459" i="32"/>
  <c r="I365" i="32"/>
  <c r="I83" i="32"/>
  <c r="L456" i="32"/>
  <c r="L362" i="32"/>
  <c r="L268" i="32"/>
  <c r="L174" i="32"/>
  <c r="L80" i="32"/>
  <c r="L448" i="32"/>
  <c r="L354" i="32"/>
  <c r="L260" i="32"/>
  <c r="L166" i="32"/>
  <c r="L72" i="32"/>
  <c r="L440" i="32"/>
  <c r="L346" i="32"/>
  <c r="L252" i="32"/>
  <c r="L158" i="32"/>
  <c r="L64" i="32"/>
  <c r="L432" i="32"/>
  <c r="L338" i="32"/>
  <c r="L244" i="32"/>
  <c r="L150" i="32"/>
  <c r="L56" i="32"/>
  <c r="G273" i="32"/>
  <c r="G461" i="32"/>
  <c r="G179" i="32"/>
  <c r="G367" i="32"/>
  <c r="G85" i="32"/>
  <c r="D82" i="6"/>
  <c r="D85" i="6"/>
  <c r="F176" i="32"/>
  <c r="F458" i="32"/>
  <c r="F364" i="32"/>
  <c r="F270" i="32"/>
  <c r="F82" i="32"/>
  <c r="K309" i="32"/>
  <c r="K215" i="32"/>
  <c r="K403" i="32"/>
  <c r="K121" i="32"/>
  <c r="K27" i="32"/>
  <c r="K301" i="32"/>
  <c r="K207" i="32"/>
  <c r="K395" i="32"/>
  <c r="K113" i="32"/>
  <c r="K19" i="32"/>
  <c r="K293" i="32"/>
  <c r="K199" i="32"/>
  <c r="K387" i="32"/>
  <c r="K105" i="32"/>
  <c r="K11" i="32"/>
  <c r="K456" i="32"/>
  <c r="K174" i="32"/>
  <c r="K362" i="32"/>
  <c r="K268" i="32"/>
  <c r="K80" i="32"/>
  <c r="K448" i="32"/>
  <c r="K166" i="32"/>
  <c r="K354" i="32"/>
  <c r="K260" i="32"/>
  <c r="K72" i="32"/>
  <c r="K440" i="32"/>
  <c r="K158" i="32"/>
  <c r="K346" i="32"/>
  <c r="K252" i="32"/>
  <c r="K64" i="32"/>
  <c r="K432" i="32"/>
  <c r="K150" i="32"/>
  <c r="K338" i="32"/>
  <c r="K244" i="32"/>
  <c r="K56" i="32"/>
  <c r="H36" i="5"/>
  <c r="G38" i="31" s="1"/>
  <c r="B42" i="31"/>
  <c r="H38" i="5"/>
  <c r="G40" i="31" s="1"/>
  <c r="F35" i="5"/>
  <c r="E37" i="31" s="1"/>
  <c r="E35" i="31"/>
  <c r="G35" i="5"/>
  <c r="F37" i="31" s="1"/>
  <c r="F36" i="5"/>
  <c r="E38" i="31" s="1"/>
  <c r="E38" i="5"/>
  <c r="D40" i="31" s="1"/>
  <c r="D38" i="5"/>
  <c r="C40" i="31" s="1"/>
  <c r="C35" i="31"/>
  <c r="K38" i="5"/>
  <c r="J40" i="31" s="1"/>
  <c r="J35" i="31"/>
  <c r="C38" i="5"/>
  <c r="B40" i="31" s="1"/>
  <c r="B35" i="31"/>
  <c r="C4" i="7"/>
  <c r="B41" i="31"/>
  <c r="C42" i="5"/>
  <c r="C6" i="7" s="1"/>
  <c r="I35" i="31"/>
  <c r="K35" i="5"/>
  <c r="J37" i="31" s="1"/>
  <c r="E35" i="5"/>
  <c r="O22" i="5"/>
  <c r="T29" i="5" s="1"/>
  <c r="C27" i="33" s="1"/>
  <c r="I36" i="31"/>
  <c r="D36" i="5"/>
  <c r="C38" i="31" s="1"/>
  <c r="G38" i="5"/>
  <c r="F40" i="31" s="1"/>
  <c r="F35" i="31"/>
  <c r="B43" i="31"/>
  <c r="X9" i="5"/>
  <c r="G8" i="33" s="1"/>
  <c r="F8" i="33"/>
  <c r="X27" i="5"/>
  <c r="G25" i="33" s="1"/>
  <c r="F25" i="33"/>
  <c r="X8" i="5"/>
  <c r="G7" i="33" s="1"/>
  <c r="F7" i="33"/>
  <c r="X25" i="5"/>
  <c r="G23" i="33" s="1"/>
  <c r="F23" i="33"/>
  <c r="X7" i="5"/>
  <c r="G6" i="33" s="1"/>
  <c r="F6" i="33"/>
  <c r="X6" i="5"/>
  <c r="G5" i="33" s="1"/>
  <c r="F5" i="33"/>
  <c r="X24" i="5"/>
  <c r="G22" i="33" s="1"/>
  <c r="X5" i="5"/>
  <c r="G4" i="33" s="1"/>
  <c r="F4" i="33"/>
  <c r="X4" i="5"/>
  <c r="G3" i="33" s="1"/>
  <c r="F3" i="33"/>
  <c r="X23" i="5"/>
  <c r="G21" i="33" s="1"/>
  <c r="F21" i="33"/>
  <c r="X26" i="5"/>
  <c r="G24" i="33" s="1"/>
  <c r="F24" i="33"/>
  <c r="X22" i="5"/>
  <c r="G20" i="33" s="1"/>
  <c r="F20" i="33"/>
  <c r="X10" i="5"/>
  <c r="G9" i="33" s="1"/>
  <c r="F9" i="33"/>
  <c r="J84" i="6"/>
  <c r="W58" i="6"/>
  <c r="G38" i="6"/>
  <c r="K35" i="6"/>
  <c r="I35" i="6"/>
  <c r="E35" i="6"/>
  <c r="C35" i="6"/>
  <c r="G82" i="6"/>
  <c r="J85" i="6"/>
  <c r="C89" i="6"/>
  <c r="C18" i="9" s="1"/>
  <c r="K36" i="5"/>
  <c r="J38" i="31" s="1"/>
  <c r="C36" i="5"/>
  <c r="B38" i="31" s="1"/>
  <c r="H85" i="6"/>
  <c r="H35" i="5"/>
  <c r="G37" i="31" s="1"/>
  <c r="X10" i="6"/>
  <c r="G9" i="34" s="1"/>
  <c r="X6" i="6"/>
  <c r="G5" i="34" s="1"/>
  <c r="O51" i="6"/>
  <c r="O53" i="6" s="1"/>
  <c r="Q57" i="6" s="1"/>
  <c r="T60" i="6" s="1"/>
  <c r="C48" i="34" s="1"/>
  <c r="D38" i="6"/>
  <c r="J36" i="6"/>
  <c r="H36" i="6"/>
  <c r="F36" i="6"/>
  <c r="D36" i="6"/>
  <c r="K83" i="6"/>
  <c r="C83" i="6"/>
  <c r="G85" i="6"/>
  <c r="J36" i="5"/>
  <c r="I38" i="31" s="1"/>
  <c r="J35" i="5"/>
  <c r="I37" i="31" s="1"/>
  <c r="G36" i="5"/>
  <c r="E83" i="6"/>
  <c r="E84" i="6" s="1"/>
  <c r="E85" i="6"/>
  <c r="I37" i="5"/>
  <c r="H39" i="31" s="1"/>
  <c r="J38" i="5"/>
  <c r="I40" i="31" s="1"/>
  <c r="O4" i="5"/>
  <c r="O6" i="5" s="1"/>
  <c r="Q10" i="5" s="1"/>
  <c r="T13" i="5" s="1"/>
  <c r="C12" i="33" s="1"/>
  <c r="X7" i="6"/>
  <c r="G6" i="34" s="1"/>
  <c r="P10" i="5"/>
  <c r="T12" i="5" s="1"/>
  <c r="C11" i="33" s="1"/>
  <c r="O10" i="5"/>
  <c r="T11" i="5" s="1"/>
  <c r="C10" i="33" s="1"/>
  <c r="D35" i="5"/>
  <c r="C37" i="31" s="1"/>
  <c r="I38" i="5"/>
  <c r="H40" i="31" s="1"/>
  <c r="J156" i="37"/>
  <c r="I148" i="37"/>
  <c r="A2" i="37"/>
  <c r="H2" i="36"/>
  <c r="G2" i="36"/>
  <c r="T3" i="36"/>
  <c r="I153" i="37" s="1"/>
  <c r="X3" i="36"/>
  <c r="I149" i="37"/>
  <c r="W11" i="6" l="1"/>
  <c r="F10" i="34" s="1"/>
  <c r="W29" i="5"/>
  <c r="F27" i="33" s="1"/>
  <c r="H87" i="32"/>
  <c r="W59" i="6"/>
  <c r="F47" i="34" s="1"/>
  <c r="H181" i="32"/>
  <c r="H275" i="32"/>
  <c r="H369" i="32"/>
  <c r="E228" i="32"/>
  <c r="E134" i="32"/>
  <c r="K37" i="6"/>
  <c r="J319" i="32"/>
  <c r="J225" i="32"/>
  <c r="J131" i="32"/>
  <c r="J413" i="32"/>
  <c r="J37" i="32"/>
  <c r="C46" i="34"/>
  <c r="C63" i="34"/>
  <c r="F322" i="32"/>
  <c r="F134" i="32"/>
  <c r="F228" i="32"/>
  <c r="F416" i="32"/>
  <c r="F40" i="32"/>
  <c r="E319" i="32"/>
  <c r="E225" i="32"/>
  <c r="E131" i="32"/>
  <c r="E413" i="32"/>
  <c r="E37" i="32"/>
  <c r="H37" i="6"/>
  <c r="G226" i="32"/>
  <c r="G320" i="32"/>
  <c r="G414" i="32"/>
  <c r="G132" i="32"/>
  <c r="G38" i="32"/>
  <c r="J320" i="32"/>
  <c r="J226" i="32"/>
  <c r="J414" i="32"/>
  <c r="J132" i="32"/>
  <c r="J38" i="32"/>
  <c r="C273" i="32"/>
  <c r="C461" i="32"/>
  <c r="C367" i="32"/>
  <c r="C179" i="32"/>
  <c r="C85" i="32"/>
  <c r="G37" i="6"/>
  <c r="F131" i="32"/>
  <c r="F319" i="32"/>
  <c r="F225" i="32"/>
  <c r="F413" i="32"/>
  <c r="F37" i="32"/>
  <c r="J178" i="32"/>
  <c r="J272" i="32"/>
  <c r="J460" i="32"/>
  <c r="J366" i="32"/>
  <c r="J84" i="32"/>
  <c r="H322" i="32"/>
  <c r="H416" i="32"/>
  <c r="H134" i="32"/>
  <c r="H228" i="32"/>
  <c r="H40" i="32"/>
  <c r="J322" i="32"/>
  <c r="J228" i="32"/>
  <c r="J416" i="32"/>
  <c r="J134" i="32"/>
  <c r="J40" i="32"/>
  <c r="B467" i="32"/>
  <c r="B279" i="32"/>
  <c r="B185" i="32"/>
  <c r="B373" i="32"/>
  <c r="B91" i="32"/>
  <c r="F463" i="32"/>
  <c r="F275" i="32"/>
  <c r="F181" i="32"/>
  <c r="F369" i="32"/>
  <c r="F87" i="32"/>
  <c r="I463" i="32"/>
  <c r="I369" i="32"/>
  <c r="I275" i="32"/>
  <c r="I181" i="32"/>
  <c r="I87" i="32"/>
  <c r="I84" i="6"/>
  <c r="H272" i="32"/>
  <c r="H178" i="32"/>
  <c r="H460" i="32"/>
  <c r="H366" i="32"/>
  <c r="H84" i="32"/>
  <c r="G61" i="34"/>
  <c r="G44" i="34"/>
  <c r="G131" i="32"/>
  <c r="G319" i="32"/>
  <c r="G225" i="32"/>
  <c r="G413" i="32"/>
  <c r="G37" i="32"/>
  <c r="E273" i="32"/>
  <c r="E461" i="32"/>
  <c r="E179" i="32"/>
  <c r="E367" i="32"/>
  <c r="E85" i="32"/>
  <c r="B420" i="32"/>
  <c r="B138" i="32"/>
  <c r="B326" i="32"/>
  <c r="B232" i="32"/>
  <c r="B44" i="32"/>
  <c r="G39" i="34"/>
  <c r="G56" i="34"/>
  <c r="C319" i="32"/>
  <c r="C225" i="32"/>
  <c r="C131" i="32"/>
  <c r="C413" i="32"/>
  <c r="C37" i="32"/>
  <c r="D272" i="32"/>
  <c r="D178" i="32"/>
  <c r="D460" i="32"/>
  <c r="D366" i="32"/>
  <c r="D84" i="32"/>
  <c r="E463" i="32"/>
  <c r="E275" i="32"/>
  <c r="E181" i="32"/>
  <c r="E369" i="32"/>
  <c r="E87" i="32"/>
  <c r="J37" i="6"/>
  <c r="I320" i="32"/>
  <c r="I226" i="32"/>
  <c r="I132" i="32"/>
  <c r="I414" i="32"/>
  <c r="I38" i="32"/>
  <c r="C44" i="6"/>
  <c r="C9" i="9" s="1"/>
  <c r="C322" i="32"/>
  <c r="C416" i="32"/>
  <c r="C134" i="32"/>
  <c r="C228" i="32"/>
  <c r="C40" i="32"/>
  <c r="F63" i="34"/>
  <c r="F46" i="34"/>
  <c r="D274" i="32"/>
  <c r="D462" i="32"/>
  <c r="D180" i="32"/>
  <c r="D368" i="32"/>
  <c r="D86" i="32"/>
  <c r="C84" i="6"/>
  <c r="B273" i="32"/>
  <c r="B461" i="32"/>
  <c r="B367" i="32"/>
  <c r="B179" i="32"/>
  <c r="B85" i="32"/>
  <c r="G84" i="6"/>
  <c r="F272" i="32"/>
  <c r="F178" i="32"/>
  <c r="F460" i="32"/>
  <c r="F366" i="32"/>
  <c r="F84" i="32"/>
  <c r="C463" i="32"/>
  <c r="C275" i="32"/>
  <c r="C181" i="32"/>
  <c r="C369" i="32"/>
  <c r="C87" i="32"/>
  <c r="I273" i="32"/>
  <c r="I461" i="32"/>
  <c r="I367" i="32"/>
  <c r="I179" i="32"/>
  <c r="I85" i="32"/>
  <c r="G45" i="34"/>
  <c r="G62" i="34"/>
  <c r="B178" i="32"/>
  <c r="B272" i="32"/>
  <c r="B460" i="32"/>
  <c r="B366" i="32"/>
  <c r="B84" i="32"/>
  <c r="G40" i="34"/>
  <c r="G57" i="34"/>
  <c r="B319" i="32"/>
  <c r="B225" i="32"/>
  <c r="B131" i="32"/>
  <c r="B413" i="32"/>
  <c r="B37" i="32"/>
  <c r="C272" i="32"/>
  <c r="C178" i="32"/>
  <c r="C460" i="32"/>
  <c r="C366" i="32"/>
  <c r="C84" i="32"/>
  <c r="D84" i="6"/>
  <c r="E272" i="32"/>
  <c r="E178" i="32"/>
  <c r="E366" i="32"/>
  <c r="E460" i="32"/>
  <c r="E84" i="32"/>
  <c r="F84" i="6"/>
  <c r="B322" i="32"/>
  <c r="B228" i="32"/>
  <c r="B134" i="32"/>
  <c r="B416" i="32"/>
  <c r="B40" i="32"/>
  <c r="G58" i="34"/>
  <c r="G41" i="34"/>
  <c r="I319" i="32"/>
  <c r="I225" i="32"/>
  <c r="I131" i="32"/>
  <c r="I413" i="32"/>
  <c r="I37" i="32"/>
  <c r="D37" i="6"/>
  <c r="C320" i="32"/>
  <c r="C226" i="32"/>
  <c r="C414" i="32"/>
  <c r="C132" i="32"/>
  <c r="C38" i="32"/>
  <c r="G42" i="34"/>
  <c r="G59" i="34"/>
  <c r="G43" i="34"/>
  <c r="G60" i="34"/>
  <c r="G274" i="32"/>
  <c r="G462" i="32"/>
  <c r="G180" i="32"/>
  <c r="G368" i="32"/>
  <c r="G86" i="32"/>
  <c r="K84" i="6"/>
  <c r="J273" i="32"/>
  <c r="J461" i="32"/>
  <c r="J367" i="32"/>
  <c r="J179" i="32"/>
  <c r="J85" i="32"/>
  <c r="C91" i="6"/>
  <c r="C20" i="9" s="1"/>
  <c r="D463" i="32"/>
  <c r="D87" i="32"/>
  <c r="D275" i="32"/>
  <c r="D181" i="32"/>
  <c r="D369" i="32"/>
  <c r="E37" i="6"/>
  <c r="D319" i="32"/>
  <c r="D225" i="32"/>
  <c r="D131" i="32"/>
  <c r="D413" i="32"/>
  <c r="D37" i="32"/>
  <c r="D273" i="32"/>
  <c r="D367" i="32"/>
  <c r="D179" i="32"/>
  <c r="D461" i="32"/>
  <c r="D85" i="32"/>
  <c r="F37" i="6"/>
  <c r="E320" i="32"/>
  <c r="E226" i="32"/>
  <c r="E414" i="32"/>
  <c r="E132" i="32"/>
  <c r="E38" i="32"/>
  <c r="C90" i="6"/>
  <c r="C19" i="9" s="1"/>
  <c r="G463" i="32"/>
  <c r="G369" i="32"/>
  <c r="G275" i="32"/>
  <c r="G181" i="32"/>
  <c r="G87" i="32"/>
  <c r="I37" i="6"/>
  <c r="H225" i="32"/>
  <c r="H131" i="32"/>
  <c r="H319" i="32"/>
  <c r="H413" i="32"/>
  <c r="H37" i="32"/>
  <c r="I274" i="32"/>
  <c r="I462" i="32"/>
  <c r="I368" i="32"/>
  <c r="I180" i="32"/>
  <c r="I86" i="32"/>
  <c r="D322" i="32"/>
  <c r="D416" i="32"/>
  <c r="D228" i="32"/>
  <c r="D134" i="32"/>
  <c r="D40" i="32"/>
  <c r="G37" i="5"/>
  <c r="F39" i="31" s="1"/>
  <c r="F38" i="31"/>
  <c r="D37" i="31"/>
  <c r="E37" i="5"/>
  <c r="D39" i="31" s="1"/>
  <c r="F37" i="5"/>
  <c r="E39" i="31" s="1"/>
  <c r="B44" i="31"/>
  <c r="C37" i="5"/>
  <c r="B39" i="31" s="1"/>
  <c r="J37" i="5"/>
  <c r="I39" i="31" s="1"/>
  <c r="K37" i="5"/>
  <c r="J39" i="31" s="1"/>
  <c r="W13" i="5"/>
  <c r="F12" i="33" s="1"/>
  <c r="C43" i="6"/>
  <c r="C8" i="9" s="1"/>
  <c r="X58" i="6"/>
  <c r="W60" i="6"/>
  <c r="F48" i="34" s="1"/>
  <c r="W12" i="5"/>
  <c r="F11" i="33" s="1"/>
  <c r="S80" i="6"/>
  <c r="A65" i="34" s="1"/>
  <c r="V79" i="6"/>
  <c r="X29" i="5"/>
  <c r="G27" i="33" s="1"/>
  <c r="C37" i="6"/>
  <c r="O4" i="6"/>
  <c r="O6" i="6" s="1"/>
  <c r="Q10" i="6" s="1"/>
  <c r="T13" i="6" s="1"/>
  <c r="C12" i="34" s="1"/>
  <c r="P10" i="6"/>
  <c r="T12" i="6" s="1"/>
  <c r="C11" i="34" s="1"/>
  <c r="O22" i="6"/>
  <c r="T29" i="6" s="1"/>
  <c r="C27" i="34" s="1"/>
  <c r="D37" i="5"/>
  <c r="C39" i="31" s="1"/>
  <c r="H37" i="5"/>
  <c r="G39" i="31" s="1"/>
  <c r="C44" i="5"/>
  <c r="C8" i="7" s="1"/>
  <c r="X59" i="6"/>
  <c r="G47" i="34" s="1"/>
  <c r="W11" i="5"/>
  <c r="F10" i="33" s="1"/>
  <c r="X11" i="6"/>
  <c r="G10" i="34" s="1"/>
  <c r="C43" i="5"/>
  <c r="C7" i="7" s="1"/>
  <c r="C321" i="32" l="1"/>
  <c r="C227" i="32"/>
  <c r="C415" i="32"/>
  <c r="C133" i="32"/>
  <c r="C39" i="32"/>
  <c r="H274" i="32"/>
  <c r="H462" i="32"/>
  <c r="H368" i="32"/>
  <c r="H180" i="32"/>
  <c r="H86" i="32"/>
  <c r="J274" i="32"/>
  <c r="J462" i="32"/>
  <c r="J368" i="32"/>
  <c r="J180" i="32"/>
  <c r="J86" i="32"/>
  <c r="B422" i="32"/>
  <c r="B140" i="32"/>
  <c r="B328" i="32"/>
  <c r="B234" i="32"/>
  <c r="B46" i="32"/>
  <c r="E321" i="32"/>
  <c r="E415" i="32"/>
  <c r="E227" i="32"/>
  <c r="E133" i="32"/>
  <c r="E39" i="32"/>
  <c r="G46" i="34"/>
  <c r="G63" i="34"/>
  <c r="B469" i="32"/>
  <c r="B375" i="32"/>
  <c r="B281" i="32"/>
  <c r="B187" i="32"/>
  <c r="B93" i="32"/>
  <c r="C274" i="32"/>
  <c r="C368" i="32"/>
  <c r="C180" i="32"/>
  <c r="C462" i="32"/>
  <c r="C86" i="32"/>
  <c r="B421" i="32"/>
  <c r="B139" i="32"/>
  <c r="B327" i="32"/>
  <c r="B233" i="32"/>
  <c r="B45" i="32"/>
  <c r="B468" i="32"/>
  <c r="B374" i="32"/>
  <c r="B280" i="32"/>
  <c r="B186" i="32"/>
  <c r="B92" i="32"/>
  <c r="C92" i="6"/>
  <c r="C21" i="9" s="1"/>
  <c r="B274" i="32"/>
  <c r="B462" i="32"/>
  <c r="B368" i="32"/>
  <c r="B180" i="32"/>
  <c r="B86" i="32"/>
  <c r="D321" i="32"/>
  <c r="D415" i="32"/>
  <c r="D133" i="32"/>
  <c r="D227" i="32"/>
  <c r="D39" i="32"/>
  <c r="E274" i="32"/>
  <c r="E462" i="32"/>
  <c r="E180" i="32"/>
  <c r="E368" i="32"/>
  <c r="E86" i="32"/>
  <c r="F321" i="32"/>
  <c r="F415" i="32"/>
  <c r="F133" i="32"/>
  <c r="F227" i="32"/>
  <c r="F39" i="32"/>
  <c r="G321" i="32"/>
  <c r="G415" i="32"/>
  <c r="G133" i="32"/>
  <c r="G227" i="32"/>
  <c r="G39" i="32"/>
  <c r="C45" i="6"/>
  <c r="C10" i="9" s="1"/>
  <c r="B321" i="32"/>
  <c r="B415" i="32"/>
  <c r="B227" i="32"/>
  <c r="B133" i="32"/>
  <c r="B39" i="32"/>
  <c r="H321" i="32"/>
  <c r="H415" i="32"/>
  <c r="H133" i="32"/>
  <c r="H227" i="32"/>
  <c r="H39" i="32"/>
  <c r="F274" i="32"/>
  <c r="F462" i="32"/>
  <c r="F180" i="32"/>
  <c r="F368" i="32"/>
  <c r="F86" i="32"/>
  <c r="I321" i="32"/>
  <c r="I415" i="32"/>
  <c r="I133" i="32"/>
  <c r="I227" i="32"/>
  <c r="I39" i="32"/>
  <c r="J321" i="32"/>
  <c r="J415" i="32"/>
  <c r="J227" i="32"/>
  <c r="J133" i="32"/>
  <c r="J39" i="32"/>
  <c r="B45" i="31"/>
  <c r="B46" i="31"/>
  <c r="W29" i="6"/>
  <c r="F27" i="34" s="1"/>
  <c r="C45" i="5"/>
  <c r="C9" i="7" s="1"/>
  <c r="X11" i="5"/>
  <c r="G10" i="33" s="1"/>
  <c r="W12" i="6"/>
  <c r="F11" i="34" s="1"/>
  <c r="X12" i="5"/>
  <c r="G11" i="33" s="1"/>
  <c r="X13" i="5"/>
  <c r="G12" i="33" s="1"/>
  <c r="W13" i="6"/>
  <c r="F12" i="34" s="1"/>
  <c r="X79" i="6"/>
  <c r="X80" i="6" s="1"/>
  <c r="A67" i="34" s="1"/>
  <c r="V80" i="6"/>
  <c r="A66" i="34" s="1"/>
  <c r="S32" i="5"/>
  <c r="X60" i="6"/>
  <c r="B423" i="32" l="1"/>
  <c r="B329" i="32"/>
  <c r="B235" i="32"/>
  <c r="B141" i="32"/>
  <c r="B47" i="32"/>
  <c r="B470" i="32"/>
  <c r="B376" i="32"/>
  <c r="B282" i="32"/>
  <c r="B188" i="32"/>
  <c r="B94" i="32"/>
  <c r="S63" i="6"/>
  <c r="V63" i="6" s="1"/>
  <c r="G48" i="34"/>
  <c r="B47" i="31"/>
  <c r="S16" i="5"/>
  <c r="S17" i="5" s="1"/>
  <c r="X29" i="6"/>
  <c r="G27" i="34" s="1"/>
  <c r="X13" i="6"/>
  <c r="G12" i="34" s="1"/>
  <c r="X12" i="6"/>
  <c r="G11" i="34" s="1"/>
  <c r="S33" i="5"/>
  <c r="A29" i="33" s="1"/>
  <c r="V32" i="5"/>
  <c r="S64" i="6" l="1"/>
  <c r="A50" i="34" s="1"/>
  <c r="C16" i="7"/>
  <c r="A14" i="33"/>
  <c r="X63" i="6"/>
  <c r="X64" i="6" s="1"/>
  <c r="V64" i="6"/>
  <c r="V33" i="5"/>
  <c r="A30" i="33" s="1"/>
  <c r="X32" i="5"/>
  <c r="X33" i="5" s="1"/>
  <c r="A31" i="33" s="1"/>
  <c r="S32" i="6"/>
  <c r="S16" i="6"/>
  <c r="V16" i="5"/>
  <c r="C23" i="9" l="1"/>
  <c r="A52" i="34"/>
  <c r="C25" i="9"/>
  <c r="A51" i="34"/>
  <c r="C24" i="9"/>
  <c r="V32" i="6"/>
  <c r="S33" i="6"/>
  <c r="A29" i="34" s="1"/>
  <c r="V16" i="6"/>
  <c r="S17" i="6"/>
  <c r="X16" i="5"/>
  <c r="X17" i="5" s="1"/>
  <c r="V17" i="5"/>
  <c r="C12" i="9" l="1"/>
  <c r="A14" i="34"/>
  <c r="C17" i="7"/>
  <c r="A15" i="33"/>
  <c r="C18" i="7"/>
  <c r="A16" i="33"/>
  <c r="X16" i="6"/>
  <c r="X17" i="6" s="1"/>
  <c r="V17" i="6"/>
  <c r="X32" i="6"/>
  <c r="X33" i="6" s="1"/>
  <c r="A31" i="34" s="1"/>
  <c r="V33" i="6"/>
  <c r="A30" i="34" s="1"/>
  <c r="C13" i="9" l="1"/>
  <c r="A15" i="34"/>
  <c r="C14" i="9"/>
  <c r="A16" i="34"/>
</calcChain>
</file>

<file path=xl/sharedStrings.xml><?xml version="1.0" encoding="utf-8"?>
<sst xmlns="http://schemas.openxmlformats.org/spreadsheetml/2006/main" count="2149" uniqueCount="399">
  <si>
    <t>Градиент</t>
  </si>
  <si>
    <t>Среднее</t>
  </si>
  <si>
    <t>Флуктации</t>
  </si>
  <si>
    <t>Общее среднее</t>
  </si>
  <si>
    <t>Среднее значение от стандартного отклонения</t>
  </si>
  <si>
    <t>Значение погрешности общего среднего значения</t>
  </si>
  <si>
    <t>Неопределенность по результатам измерения температуры</t>
  </si>
  <si>
    <t>Источник неопределенности</t>
  </si>
  <si>
    <t>Значение погрешности</t>
  </si>
  <si>
    <t>Вид статистического распределения</t>
  </si>
  <si>
    <t>Делитель</t>
  </si>
  <si>
    <t>Станд.неопределенность</t>
  </si>
  <si>
    <t>Дисперсия неопределенности</t>
  </si>
  <si>
    <t>Нормальное</t>
  </si>
  <si>
    <t>Повторяемость*</t>
  </si>
  <si>
    <t>Гистерезис</t>
  </si>
  <si>
    <t>Прямоугольное</t>
  </si>
  <si>
    <t>Влияние температуры</t>
  </si>
  <si>
    <t>Дрейф*</t>
  </si>
  <si>
    <t>Линейность</t>
  </si>
  <si>
    <t>Разрешающая способность</t>
  </si>
  <si>
    <t>Флуктуации температуры</t>
  </si>
  <si>
    <t>Сумма.квадратов</t>
  </si>
  <si>
    <t>Флуктуации</t>
  </si>
  <si>
    <t xml:space="preserve">*Расчёт для типа датчиков Pt100 </t>
  </si>
  <si>
    <t>Rh %</t>
  </si>
  <si>
    <t>Наименование  характеристик</t>
  </si>
  <si>
    <t>Допустимые отклонение</t>
  </si>
  <si>
    <t xml:space="preserve">не нормируется </t>
  </si>
  <si>
    <t>°С</t>
  </si>
  <si>
    <t>№ п/п</t>
  </si>
  <si>
    <t>°C</t>
  </si>
  <si>
    <t>Средство измерений</t>
  </si>
  <si>
    <t>Поверка (калибровка)</t>
  </si>
  <si>
    <t>Камера</t>
  </si>
  <si>
    <t>*Данные значения отсутсвуют в свидетельствах о поверке, но для большей надёжности расчёта - делаем предположение, что значение погрешности приближенно к значению  из Таблицы 1 ГОСТ Р-54082-2010. 
Текущее действие считаем допустимым в виду незначительного влияние источника неопределености на конечное значение расширенной неопределености.</t>
  </si>
  <si>
    <t>Расчёт неопределенностей температур в каждой точке установки датчиков</t>
  </si>
  <si>
    <t>A</t>
  </si>
  <si>
    <t>*Расчёт для типа датчиков Hygromer IN-1</t>
  </si>
  <si>
    <r>
      <t>σ</t>
    </r>
    <r>
      <rPr>
        <i/>
        <vertAlign val="subscript"/>
        <sz val="12"/>
        <color theme="1"/>
        <rFont val="Calibri"/>
        <family val="2"/>
        <charset val="204"/>
      </rPr>
      <t>j</t>
    </r>
  </si>
  <si>
    <r>
      <t>t̅</t>
    </r>
    <r>
      <rPr>
        <i/>
        <vertAlign val="subscript"/>
        <sz val="12"/>
        <color theme="1"/>
        <rFont val="Calibri"/>
        <family val="2"/>
        <charset val="204"/>
      </rPr>
      <t>j</t>
    </r>
  </si>
  <si>
    <r>
      <t>t̅</t>
    </r>
    <r>
      <rPr>
        <i/>
        <vertAlign val="subscript"/>
        <sz val="12"/>
        <color theme="1"/>
        <rFont val="Calibri"/>
        <family val="2"/>
        <charset val="204"/>
      </rPr>
      <t>i</t>
    </r>
  </si>
  <si>
    <r>
      <t>σ</t>
    </r>
    <r>
      <rPr>
        <vertAlign val="subscript"/>
        <sz val="11"/>
        <color theme="1"/>
        <rFont val="Arial"/>
        <family val="2"/>
        <charset val="204"/>
        <scheme val="minor"/>
      </rPr>
      <t>i</t>
    </r>
  </si>
  <si>
    <r>
      <rPr>
        <i/>
        <sz val="11"/>
        <color theme="1"/>
        <rFont val="Arial"/>
        <family val="2"/>
        <charset val="204"/>
        <scheme val="minor"/>
      </rPr>
      <t>t</t>
    </r>
    <r>
      <rPr>
        <i/>
        <vertAlign val="subscript"/>
        <sz val="11"/>
        <color theme="1"/>
        <rFont val="Arial"/>
        <family val="2"/>
        <charset val="204"/>
        <scheme val="minor"/>
      </rPr>
      <t>j вар</t>
    </r>
  </si>
  <si>
    <r>
      <t>A</t>
    </r>
    <r>
      <rPr>
        <i/>
        <vertAlign val="subscript"/>
        <sz val="12"/>
        <color theme="1"/>
        <rFont val="Arial"/>
        <family val="2"/>
        <charset val="204"/>
        <scheme val="minor"/>
      </rPr>
      <t>j</t>
    </r>
  </si>
  <si>
    <r>
      <t>t</t>
    </r>
    <r>
      <rPr>
        <i/>
        <vertAlign val="subscript"/>
        <sz val="11"/>
        <color theme="1"/>
        <rFont val="Arial"/>
        <family val="2"/>
        <charset val="204"/>
        <scheme val="minor"/>
      </rPr>
      <t>зад</t>
    </r>
  </si>
  <si>
    <r>
      <t>t</t>
    </r>
    <r>
      <rPr>
        <i/>
        <vertAlign val="subscript"/>
        <sz val="11"/>
        <color theme="1"/>
        <rFont val="Arial"/>
        <family val="2"/>
        <charset val="204"/>
        <scheme val="minor"/>
      </rPr>
      <t>∂зад</t>
    </r>
  </si>
  <si>
    <r>
      <t>Δt</t>
    </r>
    <r>
      <rPr>
        <i/>
        <vertAlign val="subscript"/>
        <sz val="11"/>
        <color theme="1"/>
        <rFont val="Arial"/>
        <family val="2"/>
        <charset val="204"/>
        <scheme val="minor"/>
      </rPr>
      <t>зад</t>
    </r>
  </si>
  <si>
    <r>
      <t>t</t>
    </r>
    <r>
      <rPr>
        <i/>
        <vertAlign val="subscript"/>
        <sz val="11"/>
        <color theme="1"/>
        <rFont val="Arial"/>
        <family val="2"/>
        <charset val="204"/>
        <scheme val="minor"/>
      </rPr>
      <t>гр</t>
    </r>
  </si>
  <si>
    <r>
      <t>t</t>
    </r>
    <r>
      <rPr>
        <i/>
        <vertAlign val="subscript"/>
        <sz val="11"/>
        <color theme="1"/>
        <rFont val="Arial"/>
        <family val="2"/>
        <charset val="204"/>
        <scheme val="minor"/>
      </rPr>
      <t>вар</t>
    </r>
  </si>
  <si>
    <r>
      <t>A</t>
    </r>
    <r>
      <rPr>
        <i/>
        <vertAlign val="subscript"/>
        <sz val="11"/>
        <color theme="1"/>
        <rFont val="Arial"/>
        <family val="2"/>
        <charset val="204"/>
        <scheme val="minor"/>
      </rPr>
      <t>j</t>
    </r>
  </si>
  <si>
    <r>
      <t>Δt</t>
    </r>
    <r>
      <rPr>
        <i/>
        <vertAlign val="subscript"/>
        <sz val="12"/>
        <color theme="1"/>
        <rFont val="Calibri"/>
        <family val="2"/>
        <charset val="204"/>
      </rPr>
      <t>jmin</t>
    </r>
  </si>
  <si>
    <r>
      <t>Δt</t>
    </r>
    <r>
      <rPr>
        <i/>
        <vertAlign val="subscript"/>
        <sz val="12"/>
        <color theme="1"/>
        <rFont val="Calibri"/>
        <family val="2"/>
        <charset val="204"/>
      </rPr>
      <t>jmax</t>
    </r>
  </si>
  <si>
    <t>не зафиксировано в связи с чем период колебаний не определен.</t>
  </si>
  <si>
    <r>
      <t>Достигнутое значение температуры в камере, соответствующее заданному (</t>
    </r>
    <r>
      <rPr>
        <i/>
        <sz val="11"/>
        <rFont val="Arial"/>
        <family val="2"/>
        <charset val="204"/>
        <scheme val="minor"/>
      </rPr>
      <t>t</t>
    </r>
    <r>
      <rPr>
        <i/>
        <vertAlign val="subscript"/>
        <sz val="11"/>
        <rFont val="Arial"/>
        <family val="2"/>
        <charset val="204"/>
        <scheme val="minor"/>
      </rPr>
      <t>∂зад</t>
    </r>
    <r>
      <rPr>
        <sz val="11"/>
        <rFont val="Arial"/>
        <family val="2"/>
        <charset val="204"/>
        <scheme val="minor"/>
      </rPr>
      <t>), °С</t>
    </r>
  </si>
  <si>
    <r>
      <t>Отклонение температуры от заданного значения (</t>
    </r>
    <r>
      <rPr>
        <i/>
        <sz val="11"/>
        <rFont val="Arial"/>
        <family val="2"/>
        <charset val="204"/>
        <scheme val="minor"/>
      </rPr>
      <t>Δt</t>
    </r>
    <r>
      <rPr>
        <i/>
        <vertAlign val="subscript"/>
        <sz val="11"/>
        <rFont val="Arial"/>
        <family val="2"/>
        <charset val="204"/>
        <scheme val="minor"/>
      </rPr>
      <t>зад</t>
    </r>
    <r>
      <rPr>
        <sz val="11"/>
        <rFont val="Arial"/>
        <family val="2"/>
        <charset val="204"/>
        <scheme val="minor"/>
      </rPr>
      <t>), °С</t>
    </r>
  </si>
  <si>
    <r>
      <t>Вариации температуры (</t>
    </r>
    <r>
      <rPr>
        <i/>
        <sz val="11"/>
        <rFont val="Arial"/>
        <family val="2"/>
        <charset val="204"/>
        <scheme val="minor"/>
      </rPr>
      <t>t</t>
    </r>
    <r>
      <rPr>
        <i/>
        <vertAlign val="subscript"/>
        <sz val="11"/>
        <rFont val="Arial"/>
        <family val="2"/>
        <charset val="204"/>
        <scheme val="minor"/>
      </rPr>
      <t>вар</t>
    </r>
    <r>
      <rPr>
        <sz val="11"/>
        <rFont val="Arial"/>
        <family val="2"/>
        <charset val="204"/>
        <scheme val="minor"/>
      </rPr>
      <t>), °С</t>
    </r>
  </si>
  <si>
    <r>
      <t>Скорость нагрева (</t>
    </r>
    <r>
      <rPr>
        <i/>
        <sz val="11"/>
        <rFont val="Arial"/>
        <family val="2"/>
        <charset val="204"/>
        <scheme val="minor"/>
      </rPr>
      <t>v</t>
    </r>
    <r>
      <rPr>
        <i/>
        <vertAlign val="subscript"/>
        <sz val="11"/>
        <rFont val="Arial"/>
        <family val="2"/>
        <charset val="204"/>
        <scheme val="minor"/>
      </rPr>
      <t>н</t>
    </r>
    <r>
      <rPr>
        <sz val="11"/>
        <rFont val="Arial"/>
        <family val="2"/>
        <charset val="204"/>
        <scheme val="minor"/>
      </rPr>
      <t>), °С/мин</t>
    </r>
  </si>
  <si>
    <r>
      <t>Скорость охлаждения (</t>
    </r>
    <r>
      <rPr>
        <i/>
        <sz val="11"/>
        <rFont val="Arial"/>
        <family val="2"/>
        <charset val="204"/>
        <scheme val="minor"/>
      </rPr>
      <t>v</t>
    </r>
    <r>
      <rPr>
        <i/>
        <vertAlign val="subscript"/>
        <sz val="11"/>
        <rFont val="Arial"/>
        <family val="2"/>
        <charset val="204"/>
        <scheme val="minor"/>
      </rPr>
      <t>охл</t>
    </r>
    <r>
      <rPr>
        <sz val="11"/>
        <rFont val="Arial"/>
        <family val="2"/>
        <charset val="204"/>
        <scheme val="minor"/>
      </rPr>
      <t>), °С/мин</t>
    </r>
  </si>
  <si>
    <r>
      <t>Время нагрева (</t>
    </r>
    <r>
      <rPr>
        <i/>
        <sz val="11"/>
        <rFont val="Arial"/>
        <family val="2"/>
        <charset val="204"/>
        <scheme val="minor"/>
      </rPr>
      <t>t</t>
    </r>
    <r>
      <rPr>
        <i/>
        <vertAlign val="subscript"/>
        <sz val="11"/>
        <rFont val="Arial"/>
        <family val="2"/>
        <charset val="204"/>
        <scheme val="minor"/>
      </rPr>
      <t>наг</t>
    </r>
    <r>
      <rPr>
        <sz val="11"/>
        <rFont val="Arial"/>
        <family val="2"/>
        <charset val="204"/>
        <scheme val="minor"/>
      </rPr>
      <t>), мин</t>
    </r>
  </si>
  <si>
    <r>
      <t>Скорость циркуляции воздуха (v</t>
    </r>
    <r>
      <rPr>
        <vertAlign val="superscript"/>
        <sz val="11"/>
        <color theme="1"/>
        <rFont val="Calibri"/>
        <family val="2"/>
        <charset val="204"/>
      </rPr>
      <t>̅</t>
    </r>
    <r>
      <rPr>
        <sz val="11"/>
        <color theme="1"/>
        <rFont val="Arial"/>
        <family val="2"/>
        <charset val="204"/>
        <scheme val="minor"/>
      </rPr>
      <t>), м/с</t>
    </r>
  </si>
  <si>
    <r>
      <t>Время охлаждения (</t>
    </r>
    <r>
      <rPr>
        <i/>
        <sz val="11"/>
        <rFont val="Arial"/>
        <family val="2"/>
        <charset val="204"/>
        <scheme val="minor"/>
      </rPr>
      <t>t</t>
    </r>
    <r>
      <rPr>
        <i/>
        <vertAlign val="subscript"/>
        <sz val="11"/>
        <rFont val="Arial"/>
        <family val="2"/>
        <charset val="204"/>
        <scheme val="minor"/>
      </rPr>
      <t>охл</t>
    </r>
    <r>
      <rPr>
        <sz val="11"/>
        <rFont val="Arial"/>
        <family val="2"/>
        <charset val="204"/>
        <scheme val="minor"/>
      </rPr>
      <t>), мин</t>
    </r>
  </si>
  <si>
    <r>
      <t xml:space="preserve">Заданное значение температуры </t>
    </r>
    <r>
      <rPr>
        <i/>
        <sz val="11"/>
        <rFont val="Arial"/>
        <family val="2"/>
        <charset val="204"/>
        <scheme val="minor"/>
      </rPr>
      <t>(t</t>
    </r>
    <r>
      <rPr>
        <i/>
        <vertAlign val="subscript"/>
        <sz val="11"/>
        <rFont val="Arial"/>
        <family val="2"/>
        <charset val="204"/>
        <scheme val="minor"/>
      </rPr>
      <t>зад</t>
    </r>
    <r>
      <rPr>
        <i/>
        <sz val="11"/>
        <rFont val="Arial"/>
        <family val="2"/>
        <charset val="204"/>
        <scheme val="minor"/>
      </rPr>
      <t>)</t>
    </r>
    <r>
      <rPr>
        <sz val="11"/>
        <rFont val="Arial"/>
        <family val="2"/>
        <charset val="204"/>
        <scheme val="minor"/>
      </rPr>
      <t>, °С</t>
    </r>
  </si>
  <si>
    <r>
      <t>Градиент температуры (</t>
    </r>
    <r>
      <rPr>
        <i/>
        <sz val="11"/>
        <rFont val="Arial"/>
        <family val="2"/>
        <charset val="204"/>
        <scheme val="minor"/>
      </rPr>
      <t>t</t>
    </r>
    <r>
      <rPr>
        <i/>
        <vertAlign val="subscript"/>
        <sz val="11"/>
        <rFont val="Arial"/>
        <family val="2"/>
        <charset val="204"/>
        <scheme val="minor"/>
      </rPr>
      <t>гр</t>
    </r>
    <r>
      <rPr>
        <sz val="11"/>
        <rFont val="Arial"/>
        <family val="2"/>
        <charset val="204"/>
        <scheme val="minor"/>
      </rPr>
      <t>) °С</t>
    </r>
  </si>
  <si>
    <r>
      <t>η̅</t>
    </r>
    <r>
      <rPr>
        <i/>
        <vertAlign val="subscript"/>
        <sz val="12"/>
        <color theme="1"/>
        <rFont val="Calibri"/>
        <family val="2"/>
        <charset val="204"/>
      </rPr>
      <t>j</t>
    </r>
  </si>
  <si>
    <r>
      <t>Δη</t>
    </r>
    <r>
      <rPr>
        <i/>
        <vertAlign val="subscript"/>
        <sz val="12"/>
        <color theme="1"/>
        <rFont val="Calibri"/>
        <family val="2"/>
        <charset val="204"/>
      </rPr>
      <t>max</t>
    </r>
  </si>
  <si>
    <r>
      <t>Δη</t>
    </r>
    <r>
      <rPr>
        <i/>
        <vertAlign val="subscript"/>
        <sz val="12"/>
        <color theme="1"/>
        <rFont val="Calibri"/>
        <family val="2"/>
        <charset val="204"/>
      </rPr>
      <t>min</t>
    </r>
  </si>
  <si>
    <r>
      <rPr>
        <i/>
        <sz val="11"/>
        <color theme="1"/>
        <rFont val="Calibri"/>
        <family val="2"/>
        <charset val="204"/>
      </rPr>
      <t>η</t>
    </r>
    <r>
      <rPr>
        <i/>
        <vertAlign val="subscript"/>
        <sz val="11"/>
        <color theme="1"/>
        <rFont val="Arial"/>
        <family val="2"/>
        <charset val="204"/>
        <scheme val="minor"/>
      </rPr>
      <t>вар</t>
    </r>
  </si>
  <si>
    <r>
      <rPr>
        <sz val="11"/>
        <color theme="1"/>
        <rFont val="Calibri"/>
        <family val="2"/>
        <charset val="204"/>
      </rPr>
      <t>η</t>
    </r>
    <r>
      <rPr>
        <i/>
        <vertAlign val="subscript"/>
        <sz val="11"/>
        <color theme="1"/>
        <rFont val="Arial"/>
        <family val="2"/>
        <charset val="204"/>
        <scheme val="minor"/>
      </rPr>
      <t>зад</t>
    </r>
  </si>
  <si>
    <r>
      <t>η</t>
    </r>
    <r>
      <rPr>
        <i/>
        <vertAlign val="subscript"/>
        <sz val="11"/>
        <color theme="1"/>
        <rFont val="Arial"/>
        <family val="2"/>
        <charset val="204"/>
        <scheme val="minor"/>
      </rPr>
      <t>∂зад</t>
    </r>
  </si>
  <si>
    <r>
      <t>Δη</t>
    </r>
    <r>
      <rPr>
        <i/>
        <vertAlign val="subscript"/>
        <sz val="11"/>
        <color theme="1"/>
        <rFont val="Arial"/>
        <family val="2"/>
        <charset val="204"/>
        <scheme val="minor"/>
      </rPr>
      <t>зад</t>
    </r>
  </si>
  <si>
    <r>
      <t>η</t>
    </r>
    <r>
      <rPr>
        <i/>
        <vertAlign val="subscript"/>
        <sz val="11"/>
        <color theme="1"/>
        <rFont val="Arial"/>
        <family val="2"/>
        <charset val="204"/>
        <scheme val="minor"/>
      </rPr>
      <t>гр</t>
    </r>
  </si>
  <si>
    <r>
      <t>η</t>
    </r>
    <r>
      <rPr>
        <i/>
        <vertAlign val="subscript"/>
        <sz val="11"/>
        <color theme="1"/>
        <rFont val="Arial"/>
        <family val="2"/>
        <charset val="204"/>
        <scheme val="minor"/>
      </rPr>
      <t>вар</t>
    </r>
  </si>
  <si>
    <r>
      <t>Дисперсия (</t>
    </r>
    <r>
      <rPr>
        <i/>
        <sz val="11"/>
        <color theme="1"/>
        <rFont val="Arial"/>
        <family val="2"/>
        <charset val="204"/>
        <scheme val="minor"/>
      </rPr>
      <t>σ</t>
    </r>
    <r>
      <rPr>
        <i/>
        <vertAlign val="superscript"/>
        <sz val="11"/>
        <color theme="1"/>
        <rFont val="Arial"/>
        <family val="2"/>
        <charset val="204"/>
        <scheme val="minor"/>
      </rPr>
      <t>2</t>
    </r>
    <r>
      <rPr>
        <sz val="11"/>
        <color theme="1"/>
        <rFont val="Arial"/>
        <family val="2"/>
        <scheme val="minor"/>
      </rPr>
      <t>)</t>
    </r>
  </si>
  <si>
    <r>
      <t>Общая неопределенность (</t>
    </r>
    <r>
      <rPr>
        <i/>
        <sz val="11"/>
        <color theme="1"/>
        <rFont val="Calibri"/>
        <family val="2"/>
        <charset val="204"/>
      </rPr>
      <t>σ</t>
    </r>
    <r>
      <rPr>
        <sz val="11"/>
        <color theme="1"/>
        <rFont val="Calibri"/>
        <family val="2"/>
        <charset val="204"/>
      </rPr>
      <t>), ± °C</t>
    </r>
  </si>
  <si>
    <r>
      <t>Расширенная неопределенность при 95% доверительной вероятности (</t>
    </r>
    <r>
      <rPr>
        <i/>
        <sz val="11"/>
        <color theme="1"/>
        <rFont val="Arial"/>
        <family val="2"/>
        <scheme val="minor"/>
      </rPr>
      <t>2</t>
    </r>
    <r>
      <rPr>
        <i/>
        <sz val="11"/>
        <color theme="1"/>
        <rFont val="Calibri"/>
        <family val="2"/>
        <charset val="204"/>
      </rPr>
      <t>σ</t>
    </r>
    <r>
      <rPr>
        <sz val="11"/>
        <color theme="1"/>
        <rFont val="Calibri"/>
        <family val="2"/>
        <charset val="204"/>
      </rPr>
      <t>), ± °C</t>
    </r>
  </si>
  <si>
    <t>Калибровка приборов</t>
  </si>
  <si>
    <t>Дрейф гигрометра</t>
  </si>
  <si>
    <t>Разрешение гигрометра</t>
  </si>
  <si>
    <t>*Данные значения отсутсвуют в свидетельствах о поверке, но для большей надёжности расчёта - делаем предположение, что значение погрешности приближенно к значению  из Таблицы 1 ГОСТ Р-54082-2010. Текущее действие считаем допустимым в виду незначительного влияние источника неопределености на конечное значение расширенной неопределености.</t>
  </si>
  <si>
    <t>Флуктуации отн.влажности</t>
  </si>
  <si>
    <t>Градиент отн.влажности</t>
  </si>
  <si>
    <t>Общая сркв.неопр ± °C</t>
  </si>
  <si>
    <t>Расш.неопр при 95% °C</t>
  </si>
  <si>
    <t>Значение погрешности, °С</t>
  </si>
  <si>
    <t>Расчёт температуры.</t>
  </si>
  <si>
    <t>Расчёт влажности.</t>
  </si>
  <si>
    <r>
      <t>Дисперсия (</t>
    </r>
    <r>
      <rPr>
        <sz val="10"/>
        <color theme="1"/>
        <rFont val="Calibri"/>
        <family val="2"/>
        <charset val="204"/>
      </rPr>
      <t>σ</t>
    </r>
    <r>
      <rPr>
        <vertAlign val="superscript"/>
        <sz val="10"/>
        <color theme="1"/>
        <rFont val="Calibri"/>
        <family val="2"/>
        <charset val="204"/>
      </rPr>
      <t>2</t>
    </r>
    <r>
      <rPr>
        <sz val="10"/>
        <color theme="1"/>
        <rFont val="Arial"/>
        <family val="2"/>
        <charset val="204"/>
        <scheme val="minor"/>
      </rPr>
      <t>)</t>
    </r>
  </si>
  <si>
    <r>
      <t>Стандартная неопределен-ность (</t>
    </r>
    <r>
      <rPr>
        <sz val="10"/>
        <color theme="1"/>
        <rFont val="Calibri"/>
        <family val="2"/>
        <charset val="204"/>
      </rPr>
      <t>σ)</t>
    </r>
  </si>
  <si>
    <t>№ изм.</t>
  </si>
  <si>
    <t>Относительная влажность в точках полезного объема, %</t>
  </si>
  <si>
    <t>При каждом измерении</t>
  </si>
  <si>
    <r>
      <t>t</t>
    </r>
    <r>
      <rPr>
        <i/>
        <vertAlign val="subscript"/>
        <sz val="11"/>
        <rFont val="Arial"/>
        <family val="2"/>
        <charset val="204"/>
        <scheme val="minor"/>
      </rPr>
      <t>срi</t>
    </r>
  </si>
  <si>
    <r>
      <t>σ</t>
    </r>
    <r>
      <rPr>
        <vertAlign val="subscript"/>
        <sz val="11"/>
        <rFont val="Arial"/>
        <family val="2"/>
        <charset val="204"/>
        <scheme val="minor"/>
      </rPr>
      <t>i</t>
    </r>
  </si>
  <si>
    <r>
      <t xml:space="preserve">Температура в точках полезного объема, </t>
    </r>
    <r>
      <rPr>
        <sz val="11"/>
        <rFont val="Calibri"/>
        <family val="2"/>
        <charset val="204"/>
      </rPr>
      <t>°С</t>
    </r>
  </si>
  <si>
    <r>
      <rPr>
        <i/>
        <sz val="11"/>
        <color theme="1"/>
        <rFont val="Arial"/>
        <family val="2"/>
        <charset val="204"/>
        <scheme val="minor"/>
      </rPr>
      <t>t</t>
    </r>
    <r>
      <rPr>
        <i/>
        <vertAlign val="subscript"/>
        <sz val="11"/>
        <color theme="1"/>
        <rFont val="Arial"/>
        <family val="2"/>
        <charset val="204"/>
        <scheme val="minor"/>
      </rPr>
      <t>∂зад</t>
    </r>
  </si>
  <si>
    <t>?</t>
  </si>
  <si>
    <t>ARL-1100-AE</t>
  </si>
  <si>
    <t>ARL-0680-AE</t>
  </si>
  <si>
    <t>ARS-1100-AE</t>
  </si>
  <si>
    <t>ARS-0680-AE</t>
  </si>
  <si>
    <t>ARS-0390-AE</t>
  </si>
  <si>
    <t>ARS-0220-AE</t>
  </si>
  <si>
    <t>ARU-1100-AE</t>
  </si>
  <si>
    <t>ARU-0680-AE</t>
  </si>
  <si>
    <t>ARG-1100-AE</t>
  </si>
  <si>
    <t>ARG-0680-AE</t>
  </si>
  <si>
    <t>ARG-0390-AE</t>
  </si>
  <si>
    <t>ARG-0220-AE</t>
  </si>
  <si>
    <t>Скорость циркуляции воздуха (в центре), м/с</t>
  </si>
  <si>
    <t>Градиент отн.влажности, %</t>
  </si>
  <si>
    <t>Амплитуда отн.влажности, %</t>
  </si>
  <si>
    <t>Допустимое отклонение отн.влажности, %</t>
  </si>
  <si>
    <t>Макс отн.влажность, %</t>
  </si>
  <si>
    <t>Мин отн.влажность, %</t>
  </si>
  <si>
    <t>Допустимые отклонения св. 100 °C</t>
  </si>
  <si>
    <t>Допустимые отклонения до 100 °C включ.</t>
  </si>
  <si>
    <t>Рабочая зона глубина, мм</t>
  </si>
  <si>
    <t>Рабочая зона высота, мм</t>
  </si>
  <si>
    <t>Рабочая зона ширина, мм</t>
  </si>
  <si>
    <t>Диапазон макс, °C</t>
  </si>
  <si>
    <t>Диапазон мин, °C</t>
  </si>
  <si>
    <t>Время охлаждения, мин</t>
  </si>
  <si>
    <t>Время нагрева, мин</t>
  </si>
  <si>
    <t>Скорость охлаждения °C / мин</t>
  </si>
  <si>
    <t>Скорость нагрева °C / мин</t>
  </si>
  <si>
    <t>Рабочий объем, л</t>
  </si>
  <si>
    <t>Камера тепла холода и влаги</t>
  </si>
  <si>
    <t>Член комиссии № 8</t>
  </si>
  <si>
    <t>Член комиссии № 7</t>
  </si>
  <si>
    <t>Член комиссии № 6</t>
  </si>
  <si>
    <t>Член комиссии № 5</t>
  </si>
  <si>
    <t>Член комиссии № 4</t>
  </si>
  <si>
    <t>Член комиссии № 3</t>
  </si>
  <si>
    <t>Член комиссии № 2</t>
  </si>
  <si>
    <t>Член комиссии № 1</t>
  </si>
  <si>
    <t>Председатель комиссии</t>
  </si>
  <si>
    <t>Разбочий обьём</t>
  </si>
  <si>
    <t>Неопределенность по результатам измерения относительной влажности</t>
  </si>
  <si>
    <t>Ширина</t>
  </si>
  <si>
    <t>Высота</t>
  </si>
  <si>
    <t>Глубина</t>
  </si>
  <si>
    <t>Полезный объём</t>
  </si>
  <si>
    <t>Колонтитул нижний</t>
  </si>
  <si>
    <t>Espec., Корея</t>
  </si>
  <si>
    <r>
      <t>ООО «Остек-Тест</t>
    </r>
    <r>
      <rPr>
        <sz val="11"/>
        <color theme="1"/>
        <rFont val="Calibri"/>
        <family val="2"/>
        <charset val="204"/>
      </rPr>
      <t>»</t>
    </r>
  </si>
  <si>
    <t>г. Москва</t>
  </si>
  <si>
    <r>
      <t>Температура 
(15...35)</t>
    </r>
    <r>
      <rPr>
        <sz val="11"/>
        <color theme="1"/>
        <rFont val="Calibri"/>
        <family val="2"/>
        <charset val="204"/>
      </rPr>
      <t>°С</t>
    </r>
  </si>
  <si>
    <t>Атмосферное давление (630…800), мм рт.ст</t>
  </si>
  <si>
    <t>Частота сети (49,6…50,4), Гц</t>
  </si>
  <si>
    <t>Относительная влажность (45…80) %</t>
  </si>
  <si>
    <t>Напряжение 
(198..242)/(342…418), В</t>
  </si>
  <si>
    <t xml:space="preserve">*В соответствии с пунктом 5.3. ГОСТ Р 53616-2009, а именно в течение 30 минут колебаний температуры в камере </t>
  </si>
  <si>
    <t>Член комиссии № 9</t>
  </si>
  <si>
    <t>Наименование, тип</t>
  </si>
  <si>
    <t>Серийный номер:</t>
  </si>
  <si>
    <t>Номер свидетельства о поверке, дата следующей поверки:</t>
  </si>
  <si>
    <t>Термометр сопротивления платиновый вибропрочный, ПТСВ-2К-3</t>
  </si>
  <si>
    <t>№ В-025-05-19 до 19.05.2021г.</t>
  </si>
  <si>
    <t>№ С-022-09-18 до 09.09.2021г.</t>
  </si>
  <si>
    <t>№ Л-086-08-19 до 26.08.2021г.</t>
  </si>
  <si>
    <t>№ В-026-05-19 до 19.05.2021г.</t>
  </si>
  <si>
    <t>№ Л-102-08-19 до 26.08.2021г.</t>
  </si>
  <si>
    <t>№ Л-100-08-19 до 26.08.2021г.</t>
  </si>
  <si>
    <t>№ В-020-05-19 до 19.05.2021г.</t>
  </si>
  <si>
    <t>№ С-026-09-18 до 09.09.2020г.</t>
  </si>
  <si>
    <t>№ В-024-05-19 до 19.05.2021г.</t>
  </si>
  <si>
    <t xml:space="preserve">Гигрометр Rotronic модификации HygroLog NT исполнение HL-NT3 
с зондами HC2-IC102 № 20346131, 
№ 20346132, № 20346133, № 20346134, № 20346135
</t>
  </si>
  <si>
    <t xml:space="preserve">Гигрометр Rotronic модификации HygroLog NT исполнение HL-NT3 
с зондами HC2-IC102 № 20346138, 
№ 20346139, № 20346140, № 20346141, № 20346142
</t>
  </si>
  <si>
    <t xml:space="preserve">Секундомер электронный 
Интеграл С-01
</t>
  </si>
  <si>
    <t>№ СП 2819904  02.12.2020 г.</t>
  </si>
  <si>
    <t>Линейка измерительная металлическая 300 мм</t>
  </si>
  <si>
    <t>Мультиметр цифровой FLUKE 289</t>
  </si>
  <si>
    <t>Термогигрометр ИВА-6Н-Д</t>
  </si>
  <si>
    <t>7А49</t>
  </si>
  <si>
    <t xml:space="preserve">№ СП 2825647 22.12.2020 г.
</t>
  </si>
  <si>
    <t>№ 2354/2019  до 02.12.2020 г.</t>
  </si>
  <si>
    <t xml:space="preserve">№ СП 2856208 до 03.12.2020 г.
</t>
  </si>
  <si>
    <t xml:space="preserve">№ АПМ 0293614 до 16.07.2020 г.
</t>
  </si>
  <si>
    <t xml:space="preserve">№ АПМ 0293613 до 16.07.2020 г.
</t>
  </si>
  <si>
    <t>Аненометр электронный ЭА-70(0)</t>
  </si>
  <si>
    <t>063</t>
  </si>
  <si>
    <t xml:space="preserve">№ СП 2641865 до 06.08.2020 г.
</t>
  </si>
  <si>
    <t>Основная
погрешность</t>
  </si>
  <si>
    <t>± 0,1 мм</t>
  </si>
  <si>
    <t>Измеритель температуры многоканальный прецизионный МИТ 8.10М1</t>
  </si>
  <si>
    <t xml:space="preserve">± (0,1+
0,002|t|) °C,
± 1 %
</t>
  </si>
  <si>
    <t xml:space="preserve">± (0,015+0,015·v) м/с
</t>
  </si>
  <si>
    <t>№ СП 2650068 до 12.05.2020г.</t>
  </si>
  <si>
    <t xml:space="preserve">± (9,6·10-6·Тх+0,01), с
</t>
  </si>
  <si>
    <t>Давление</t>
  </si>
  <si>
    <t>2. Состав аттестационной комиссии:</t>
  </si>
  <si>
    <t>Председатель комисии:</t>
  </si>
  <si>
    <t>наименование предприятия</t>
  </si>
  <si>
    <t>должность</t>
  </si>
  <si>
    <t>Члены комисии:</t>
  </si>
  <si>
    <t>3.1 в режиме воспроизведения температуры:</t>
  </si>
  <si>
    <t>3.1.1 диапазон воспроизводимой температуры;</t>
  </si>
  <si>
    <t>3.1.2 градиент температуры;</t>
  </si>
  <si>
    <t>3.1.2 вариация температуры;</t>
  </si>
  <si>
    <t>3.1.3 амплитуда колебаний температуры в камере;</t>
  </si>
  <si>
    <t>3.1.4 период колебаний температуры в камере;</t>
  </si>
  <si>
    <t>3.1.5 отклонение достигнутого значения температуры от заданного значения;</t>
  </si>
  <si>
    <t>3.1.6 среднеквадратичное отклонение от среднего значения температуры;</t>
  </si>
  <si>
    <t>3.2 в режиме воспроизведения сочетания температура - относительная влажность;</t>
  </si>
  <si>
    <t>3.2.1 диапазон воспроизводимой относительной влажности;</t>
  </si>
  <si>
    <t>3.2.2 градиент температуры;</t>
  </si>
  <si>
    <t>3.2.3 градиент относительной влажности;</t>
  </si>
  <si>
    <t>3.2.4 вариация температуры;</t>
  </si>
  <si>
    <t>3.2.4 вариация относительной влажности;</t>
  </si>
  <si>
    <t>3.2.5 амплитуда колебаний температуры в камере;</t>
  </si>
  <si>
    <t>3.2.6 амплитуда колебаний относительной влажности в камере;</t>
  </si>
  <si>
    <t>3.2.7 период колебаний температуры в камере;</t>
  </si>
  <si>
    <t>3.2.8 период колебаний относительной влажности в камере;</t>
  </si>
  <si>
    <t>3.2.9 отклонение достигнутого значения температуры от заданного значения;</t>
  </si>
  <si>
    <t>3.2.10 отклонение достигнутого значения относительной влажности от заданного значения;</t>
  </si>
  <si>
    <t>3.2.11 среднеквадратичное отклонение от среднего значения температуры;</t>
  </si>
  <si>
    <t>3.3 в режиме воспроизведения пониженного атмосферного давления воздуха:</t>
  </si>
  <si>
    <t>3.3.1 диапазон воспроизводимого давления;</t>
  </si>
  <si>
    <t>3.3.2 отклонение достигнутого давления от заданного;</t>
  </si>
  <si>
    <t>3.3.3 период колебаний давления;</t>
  </si>
  <si>
    <t>3.3.4 нестабильность поддержания давления в камере;</t>
  </si>
  <si>
    <t>3.3.5 амплитуда значения давления;</t>
  </si>
  <si>
    <t>3.3.6 погрешность измерительной системы камеры;</t>
  </si>
  <si>
    <t>3.3.7 время установления достигнутого значения от момента включения;</t>
  </si>
  <si>
    <t>3.3.8 логарифмическая скорость снижения давления.</t>
  </si>
  <si>
    <t>Достигнутая характеристика</t>
  </si>
  <si>
    <t>4. Условия проведения аттестации ИО:</t>
  </si>
  <si>
    <t>5. Документы, используемые при аттестации ИО:</t>
  </si>
  <si>
    <t>6. Характеристики средств измерений, используемых при аттестации ИО:</t>
  </si>
  <si>
    <t>18.05.2020</t>
  </si>
  <si>
    <r>
      <rPr>
        <b/>
        <i/>
        <sz val="11"/>
        <color theme="1"/>
        <rFont val="Arial"/>
        <family val="2"/>
        <charset val="204"/>
        <scheme val="minor"/>
      </rPr>
      <t>ПРИКАЗ СОГЛАНО ДОКУМЕНТУ ОРГАНИЗАЦИИ</t>
    </r>
    <r>
      <rPr>
        <sz val="11"/>
        <color theme="1"/>
        <rFont val="Arial"/>
        <family val="2"/>
        <scheme val="minor"/>
      </rPr>
      <t xml:space="preserve">
{____}
Пример:
{</t>
    </r>
    <r>
      <rPr>
        <sz val="11"/>
        <color theme="1"/>
        <rFont val="Arial"/>
        <family val="2"/>
        <charset val="204"/>
        <scheme val="minor"/>
      </rPr>
      <t>Приказ о создании комисии от: 25.03.2020г. № 310}</t>
    </r>
  </si>
  <si>
    <r>
      <t>Серийный номер: {____}
Пример:
{</t>
    </r>
    <r>
      <rPr>
        <sz val="11"/>
        <color theme="1"/>
        <rFont val="Arial"/>
        <family val="2"/>
        <charset val="204"/>
        <scheme val="minor"/>
      </rPr>
      <t>412000852}</t>
    </r>
  </si>
  <si>
    <t>*не обязательно</t>
  </si>
  <si>
    <t>Наименование изготовителя: {____}
Пример:
{Espec., Корея}</t>
  </si>
  <si>
    <t>Город:  {____}
Пример:
{г. Москва}</t>
  </si>
  <si>
    <r>
      <t xml:space="preserve">Наименование оборудования (Им. падеж): 
{____}
</t>
    </r>
    <r>
      <rPr>
        <sz val="11"/>
        <color theme="1"/>
        <rFont val="Arial"/>
        <family val="2"/>
        <charset val="204"/>
        <scheme val="minor"/>
      </rPr>
      <t>Пример:</t>
    </r>
    <r>
      <rPr>
        <u/>
        <sz val="11"/>
        <color theme="1"/>
        <rFont val="Arial"/>
        <family val="2"/>
        <charset val="204"/>
        <scheme val="minor"/>
      </rPr>
      <t xml:space="preserve">
{</t>
    </r>
    <r>
      <rPr>
        <sz val="11"/>
        <color theme="1"/>
        <rFont val="Arial"/>
        <family val="2"/>
        <charset val="204"/>
        <scheme val="minor"/>
      </rPr>
      <t>Климатическая камера}</t>
    </r>
  </si>
  <si>
    <r>
      <t>Наименование оборудования (Род.падеж): 
{____}
Пример:
{</t>
    </r>
    <r>
      <rPr>
        <sz val="11"/>
        <color theme="1"/>
        <rFont val="Arial"/>
        <family val="2"/>
        <charset val="204"/>
        <scheme val="minor"/>
      </rPr>
      <t>климатической камеры}</t>
    </r>
  </si>
  <si>
    <t>Протокол {___} измерения сопротивления изоляции.
Пример: 
{от 28.01.2020г. №4094}</t>
  </si>
  <si>
    <t>Протокол {___} проверки наличия цепи между заземленными установками и элементами заземленной установки.
Пример:
{от 28.01.2020 г. № 4095}</t>
  </si>
  <si>
    <t>Год выпуска:</t>
  </si>
  <si>
    <t>(далее – СИ) для проведения поверки, а осуществить поверку встроенных СИ без демонтажа невозможно, проверка исправности и работоспособности их проведена при аттестации на основе соответствия метрологических параметров камеры данным, приведенным в эксплуатационной документации."</t>
  </si>
  <si>
    <t>5.7 ГОСТ Р 8.568-2017</t>
  </si>
  <si>
    <t>5.8 ГОСТ РВ 0008-002-2013</t>
  </si>
  <si>
    <t>7. Результаты первичной аттестации испытательного оборудования</t>
  </si>
  <si>
    <t>8. Сведения о расположении первичных измерительных преборазователей:</t>
  </si>
  <si>
    <t>Схема расположения первичных измерительных преобразователей температуры (далее - датчик) в рабочем объёме приведена на рисунке 1:</t>
  </si>
  <si>
    <t>Границы полезного объёма камеры ограничены плоскостями, проходящими через датчики, расположенные в углах камеры (1, 2, 3, 4, 5, 6, 7, 8, 9)</t>
  </si>
  <si>
    <r>
      <t>X</t>
    </r>
    <r>
      <rPr>
        <vertAlign val="subscript"/>
        <sz val="11"/>
        <color theme="1"/>
        <rFont val="Arial"/>
        <family val="2"/>
        <charset val="204"/>
        <scheme val="minor"/>
      </rPr>
      <t>3</t>
    </r>
    <r>
      <rPr>
        <sz val="11"/>
        <color theme="1"/>
        <rFont val="Arial"/>
        <family val="2"/>
        <scheme val="minor"/>
      </rPr>
      <t>=</t>
    </r>
  </si>
  <si>
    <r>
      <t>X</t>
    </r>
    <r>
      <rPr>
        <vertAlign val="subscript"/>
        <sz val="11"/>
        <color theme="1"/>
        <rFont val="Arial"/>
        <family val="2"/>
        <charset val="204"/>
        <scheme val="minor"/>
      </rPr>
      <t>2</t>
    </r>
    <r>
      <rPr>
        <sz val="11"/>
        <color theme="1"/>
        <rFont val="Arial"/>
        <family val="2"/>
        <scheme val="minor"/>
      </rPr>
      <t>=</t>
    </r>
  </si>
  <si>
    <r>
      <t>X</t>
    </r>
    <r>
      <rPr>
        <vertAlign val="subscript"/>
        <sz val="11"/>
        <color theme="1"/>
        <rFont val="Arial"/>
        <family val="2"/>
        <charset val="204"/>
        <scheme val="minor"/>
      </rPr>
      <t>1</t>
    </r>
    <r>
      <rPr>
        <sz val="11"/>
        <color theme="1"/>
        <rFont val="Arial"/>
        <family val="2"/>
        <scheme val="minor"/>
      </rPr>
      <t>=</t>
    </r>
  </si>
  <si>
    <t>Рисунок 1 - Схема расположения датчиков в рабочем объёме камеры.</t>
  </si>
  <si>
    <t>3.0.1 средняя скорость циркуляции возуха.</t>
  </si>
  <si>
    <t>подпись</t>
  </si>
  <si>
    <t>9. Рекомендации комисии:</t>
  </si>
  <si>
    <t>9.2 Периодичность аттестации - не реже 1 раза в 12 месяцев.</t>
  </si>
  <si>
    <t>9. Заключение.</t>
  </si>
  <si>
    <t>а) испытаний продукции на воздействие пониженной, повышенной температуры;</t>
  </si>
  <si>
    <t>в) испытаний на воздействие пониженного давления;</t>
  </si>
  <si>
    <r>
      <t>σ</t>
    </r>
    <r>
      <rPr>
        <vertAlign val="subscript"/>
        <sz val="11"/>
        <color theme="1"/>
        <rFont val="Arial"/>
        <family val="2"/>
        <charset val="204"/>
        <scheme val="minor"/>
      </rPr>
      <t>зад</t>
    </r>
  </si>
  <si>
    <r>
      <t>σ</t>
    </r>
    <r>
      <rPr>
        <vertAlign val="subscript"/>
        <sz val="11"/>
        <color theme="1"/>
        <rFont val="Arial"/>
        <family val="2"/>
        <charset val="204"/>
        <scheme val="minor"/>
      </rPr>
      <t>j</t>
    </r>
  </si>
  <si>
    <r>
      <t>t</t>
    </r>
    <r>
      <rPr>
        <vertAlign val="subscript"/>
        <sz val="11"/>
        <color theme="1"/>
        <rFont val="Arial"/>
        <family val="2"/>
        <charset val="204"/>
        <scheme val="minor"/>
      </rPr>
      <t>i</t>
    </r>
  </si>
  <si>
    <t>1. Основные сведения об испытательном оборудование:</t>
  </si>
  <si>
    <t>Диапазон по методу 1 °C, охлаждение</t>
  </si>
  <si>
    <t>Диапазон по методу 1 °C, нагрев</t>
  </si>
  <si>
    <t>Должность:</t>
  </si>
  <si>
    <t>Организация:</t>
  </si>
  <si>
    <t>Фамилия И.О</t>
  </si>
  <si>
    <t>фамилия и.о.</t>
  </si>
  <si>
    <t>должность, организация</t>
  </si>
  <si>
    <r>
      <t>σ</t>
    </r>
    <r>
      <rPr>
        <i/>
        <vertAlign val="subscript"/>
        <sz val="11"/>
        <color theme="1"/>
        <rFont val="Arial"/>
        <family val="2"/>
        <charset val="204"/>
        <scheme val="minor"/>
      </rPr>
      <t>зад</t>
    </r>
  </si>
  <si>
    <t>камеры тепла холода и влаги</t>
  </si>
  <si>
    <t>3. Проверяемые характеристики испытательного оборудования:</t>
  </si>
  <si>
    <t>5.6 Свидетельства о поверке средств измерений, используемых при аттестации;</t>
  </si>
  <si>
    <t xml:space="preserve">от 28.01.2020г. № 4095 </t>
  </si>
  <si>
    <t xml:space="preserve">от 28.01.2020г. № 4094 </t>
  </si>
  <si>
    <t>Приказ о создании комисии от 25.03.2020г. № 310</t>
  </si>
  <si>
    <t>PU-3KT</t>
  </si>
  <si>
    <t>Протокол первичной аттестации от 25.12.2018г. № 1952.1</t>
  </si>
  <si>
    <t>(Протокол первичной аттестации) {____}
Пример:
Протокол первичной аттестации от 25.12.2018г. № 1952.1</t>
  </si>
  <si>
    <r>
      <t>Среднеквадтратичное отклонение (σ</t>
    </r>
    <r>
      <rPr>
        <vertAlign val="subscript"/>
        <sz val="11"/>
        <rFont val="Arial"/>
        <family val="2"/>
        <charset val="204"/>
        <scheme val="minor"/>
      </rPr>
      <t>зад</t>
    </r>
    <r>
      <rPr>
        <sz val="11"/>
        <rFont val="Arial"/>
        <family val="2"/>
        <charset val="204"/>
        <scheme val="minor"/>
      </rPr>
      <t>), °С</t>
    </r>
  </si>
  <si>
    <r>
      <t>Заданное значение относительной влажности (</t>
    </r>
    <r>
      <rPr>
        <i/>
        <sz val="10"/>
        <rFont val="Calibri"/>
        <family val="2"/>
        <charset val="204"/>
      </rPr>
      <t>η</t>
    </r>
    <r>
      <rPr>
        <i/>
        <vertAlign val="subscript"/>
        <sz val="10"/>
        <rFont val="Calibri"/>
        <family val="2"/>
        <charset val="204"/>
      </rPr>
      <t>зад</t>
    </r>
    <r>
      <rPr>
        <sz val="10"/>
        <rFont val="Calibri"/>
        <family val="2"/>
        <charset val="204"/>
      </rPr>
      <t>), %</t>
    </r>
  </si>
  <si>
    <r>
      <t>Достигнутое значение относительной влажности в камере, соответствующее заданному (</t>
    </r>
    <r>
      <rPr>
        <i/>
        <sz val="10"/>
        <rFont val="Calibri"/>
        <family val="2"/>
        <charset val="204"/>
      </rPr>
      <t>η</t>
    </r>
    <r>
      <rPr>
        <i/>
        <vertAlign val="subscript"/>
        <sz val="10"/>
        <rFont val="Calibri"/>
        <family val="2"/>
        <charset val="204"/>
      </rPr>
      <t>∂зад</t>
    </r>
    <r>
      <rPr>
        <sz val="10"/>
        <rFont val="Calibri"/>
        <family val="2"/>
        <charset val="204"/>
      </rPr>
      <t>), %</t>
    </r>
  </si>
  <si>
    <r>
      <t>Вариации относительной влажности (</t>
    </r>
    <r>
      <rPr>
        <i/>
        <sz val="10"/>
        <rFont val="Calibri"/>
        <family val="2"/>
        <charset val="204"/>
      </rPr>
      <t>η</t>
    </r>
    <r>
      <rPr>
        <i/>
        <vertAlign val="subscript"/>
        <sz val="10"/>
        <rFont val="Calibri"/>
        <family val="2"/>
        <charset val="204"/>
      </rPr>
      <t>зад</t>
    </r>
    <r>
      <rPr>
        <sz val="10"/>
        <rFont val="Calibri"/>
        <family val="2"/>
        <charset val="204"/>
      </rPr>
      <t>), %</t>
    </r>
  </si>
  <si>
    <r>
      <t>Характеристики колебаний относительной влажности (</t>
    </r>
    <r>
      <rPr>
        <i/>
        <sz val="10"/>
        <rFont val="Calibri"/>
        <family val="2"/>
        <charset val="204"/>
      </rPr>
      <t>A</t>
    </r>
    <r>
      <rPr>
        <sz val="10"/>
        <rFont val="Calibri"/>
        <family val="2"/>
        <charset val="204"/>
      </rPr>
      <t>), %:</t>
    </r>
  </si>
  <si>
    <r>
      <t>Отклонение относительной влажности от заданного значения (</t>
    </r>
    <r>
      <rPr>
        <i/>
        <sz val="10"/>
        <rFont val="Calibri"/>
        <family val="2"/>
        <charset val="204"/>
      </rPr>
      <t>Δη</t>
    </r>
    <r>
      <rPr>
        <i/>
        <vertAlign val="subscript"/>
        <sz val="10"/>
        <rFont val="Calibri"/>
        <family val="2"/>
        <charset val="204"/>
      </rPr>
      <t>зад</t>
    </r>
    <r>
      <rPr>
        <sz val="10"/>
        <rFont val="Calibri"/>
        <family val="2"/>
        <charset val="204"/>
      </rPr>
      <t>), %</t>
    </r>
  </si>
  <si>
    <r>
      <t>Градиент относительной влажности (</t>
    </r>
    <r>
      <rPr>
        <i/>
        <sz val="10"/>
        <rFont val="Calibri"/>
        <family val="2"/>
        <charset val="204"/>
      </rPr>
      <t>η</t>
    </r>
    <r>
      <rPr>
        <i/>
        <vertAlign val="subscript"/>
        <sz val="10"/>
        <rFont val="Calibri"/>
        <family val="2"/>
        <charset val="204"/>
      </rPr>
      <t>гр</t>
    </r>
    <r>
      <rPr>
        <sz val="10"/>
        <rFont val="Calibri"/>
        <family val="2"/>
        <charset val="204"/>
      </rPr>
      <t>), %</t>
    </r>
  </si>
  <si>
    <r>
      <t xml:space="preserve">Заданное значение температуры </t>
    </r>
    <r>
      <rPr>
        <i/>
        <sz val="10"/>
        <rFont val="Calibri"/>
        <family val="2"/>
        <charset val="204"/>
      </rPr>
      <t>(t</t>
    </r>
    <r>
      <rPr>
        <i/>
        <vertAlign val="subscript"/>
        <sz val="10"/>
        <rFont val="Calibri"/>
        <family val="2"/>
        <charset val="204"/>
      </rPr>
      <t>зад</t>
    </r>
    <r>
      <rPr>
        <i/>
        <sz val="10"/>
        <rFont val="Calibri"/>
        <family val="2"/>
        <charset val="204"/>
      </rPr>
      <t>)</t>
    </r>
    <r>
      <rPr>
        <sz val="10"/>
        <rFont val="Calibri"/>
        <family val="2"/>
        <charset val="204"/>
      </rPr>
      <t>, °С</t>
    </r>
  </si>
  <si>
    <r>
      <t>Достигнутое значение температуры в камере, соответствующее заданному (</t>
    </r>
    <r>
      <rPr>
        <i/>
        <sz val="10"/>
        <rFont val="Calibri"/>
        <family val="2"/>
        <charset val="204"/>
      </rPr>
      <t>t</t>
    </r>
    <r>
      <rPr>
        <i/>
        <vertAlign val="subscript"/>
        <sz val="10"/>
        <rFont val="Calibri"/>
        <family val="2"/>
        <charset val="204"/>
      </rPr>
      <t>∂зад</t>
    </r>
    <r>
      <rPr>
        <sz val="10"/>
        <rFont val="Calibri"/>
        <family val="2"/>
        <charset val="204"/>
      </rPr>
      <t>), °С</t>
    </r>
  </si>
  <si>
    <r>
      <t>Отклонение температуры от заданного значения (</t>
    </r>
    <r>
      <rPr>
        <i/>
        <sz val="10"/>
        <rFont val="Calibri"/>
        <family val="2"/>
        <charset val="204"/>
      </rPr>
      <t>Δt</t>
    </r>
    <r>
      <rPr>
        <i/>
        <vertAlign val="subscript"/>
        <sz val="10"/>
        <rFont val="Calibri"/>
        <family val="2"/>
        <charset val="204"/>
      </rPr>
      <t>зад</t>
    </r>
    <r>
      <rPr>
        <sz val="10"/>
        <rFont val="Calibri"/>
        <family val="2"/>
        <charset val="204"/>
      </rPr>
      <t>), °С</t>
    </r>
  </si>
  <si>
    <r>
      <t>Градиент температуры (</t>
    </r>
    <r>
      <rPr>
        <i/>
        <sz val="10"/>
        <rFont val="Calibri"/>
        <family val="2"/>
        <charset val="204"/>
      </rPr>
      <t>t</t>
    </r>
    <r>
      <rPr>
        <i/>
        <vertAlign val="subscript"/>
        <sz val="10"/>
        <rFont val="Calibri"/>
        <family val="2"/>
        <charset val="204"/>
      </rPr>
      <t>гр</t>
    </r>
    <r>
      <rPr>
        <sz val="10"/>
        <rFont val="Calibri"/>
        <family val="2"/>
        <charset val="204"/>
      </rPr>
      <t>) °С</t>
    </r>
  </si>
  <si>
    <r>
      <t>Вариации температуры (</t>
    </r>
    <r>
      <rPr>
        <i/>
        <sz val="10"/>
        <rFont val="Calibri"/>
        <family val="2"/>
        <charset val="204"/>
      </rPr>
      <t>t</t>
    </r>
    <r>
      <rPr>
        <i/>
        <vertAlign val="subscript"/>
        <sz val="10"/>
        <rFont val="Calibri"/>
        <family val="2"/>
        <charset val="204"/>
      </rPr>
      <t>вар</t>
    </r>
    <r>
      <rPr>
        <sz val="10"/>
        <rFont val="Calibri"/>
        <family val="2"/>
        <charset val="204"/>
      </rPr>
      <t>), °С</t>
    </r>
  </si>
  <si>
    <r>
      <t>Среднеквадтратичное отклонение (σ</t>
    </r>
    <r>
      <rPr>
        <vertAlign val="subscript"/>
        <sz val="10"/>
        <rFont val="Calibri"/>
        <family val="2"/>
        <charset val="204"/>
      </rPr>
      <t>зад</t>
    </r>
    <r>
      <rPr>
        <sz val="10"/>
        <rFont val="Calibri"/>
        <family val="2"/>
        <charset val="204"/>
      </rPr>
      <t>), °С</t>
    </r>
  </si>
  <si>
    <r>
      <t>Среднеквадтратичное отклонение (σ</t>
    </r>
    <r>
      <rPr>
        <vertAlign val="subscript"/>
        <sz val="10"/>
        <rFont val="Calibri"/>
        <family val="2"/>
        <charset val="204"/>
      </rPr>
      <t>зад</t>
    </r>
    <r>
      <rPr>
        <sz val="10"/>
        <rFont val="Calibri"/>
        <family val="2"/>
        <charset val="204"/>
      </rPr>
      <t>), %</t>
    </r>
  </si>
  <si>
    <t>3.2.12 среднеквадратичное отклонение от среднего значения относительной влажности;</t>
  </si>
  <si>
    <t>3.1.11 определение неопределенности по результатам измерений температуры.</t>
  </si>
  <si>
    <t>3.2.13 определение неопределенности по результатм измерений температура-влажность.</t>
  </si>
  <si>
    <t>Тип аттестации:</t>
  </si>
  <si>
    <t>первичной</t>
  </si>
  <si>
    <t>периодическая</t>
  </si>
  <si>
    <t>повторной</t>
  </si>
  <si>
    <t>периодической</t>
  </si>
  <si>
    <t>первичная</t>
  </si>
  <si>
    <t>повторная</t>
  </si>
  <si>
    <t>Им.падеж</t>
  </si>
  <si>
    <t>Род.падеж</t>
  </si>
  <si>
    <t xml:space="preserve">  Выводы:
    1. Документация представлена в необходимом объёме и имеет удовлетворительное состояние.
    2. Средства измерений, применяемые для аттестации, исправны и имеют действующие свидетельтсва о поверке.</t>
  </si>
  <si>
    <t>Дат.падеж</t>
  </si>
  <si>
    <t>первичную</t>
  </si>
  <si>
    <t>периодическую</t>
  </si>
  <si>
    <t>повторную</t>
  </si>
  <si>
    <t>*Автоматическое форматирование</t>
  </si>
  <si>
    <t>Переменные в протоколе:</t>
  </si>
  <si>
    <t>Форма протокола:</t>
  </si>
  <si>
    <t>Влага и температура</t>
  </si>
  <si>
    <t>код</t>
  </si>
  <si>
    <t>Для периодических, повторных аттестаций</t>
  </si>
  <si>
    <t>Фамиллия утверждающего протокол* (для периодической аттестации)
Пример: 
Сталин И.В.</t>
  </si>
  <si>
    <t>Седов М.А.</t>
  </si>
  <si>
    <t>Организация: {____}
Пример:
{ООО «ПКРВ»}</t>
  </si>
  <si>
    <r>
      <t xml:space="preserve">Модель оборудования: {____}
</t>
    </r>
    <r>
      <rPr>
        <b/>
        <sz val="11"/>
        <color theme="1"/>
        <rFont val="Arial"/>
        <family val="2"/>
        <charset val="204"/>
        <scheme val="minor"/>
      </rPr>
      <t>*Выпадающий список (допустим ручной ввод</t>
    </r>
    <r>
      <rPr>
        <sz val="11"/>
        <color theme="1"/>
        <rFont val="Arial"/>
        <family val="2"/>
        <scheme val="minor"/>
      </rPr>
      <t>)
Пример:
{ARS-1100-AE}</t>
    </r>
  </si>
  <si>
    <t>Градиент от 100,1 °C</t>
  </si>
  <si>
    <t>Градиент до 100 °C</t>
  </si>
  <si>
    <r>
      <t>Амплитуда колебаний (</t>
    </r>
    <r>
      <rPr>
        <i/>
        <sz val="11"/>
        <rFont val="Arial"/>
        <family val="2"/>
        <charset val="204"/>
        <scheme val="minor"/>
      </rPr>
      <t>A</t>
    </r>
    <r>
      <rPr>
        <sz val="11"/>
        <rFont val="Arial"/>
        <family val="2"/>
        <charset val="204"/>
        <scheme val="minor"/>
      </rPr>
      <t>), °С</t>
    </r>
  </si>
  <si>
    <t>Расчёт влаги-температуры</t>
  </si>
  <si>
    <t>Расчёт давления</t>
  </si>
  <si>
    <t>Наличие испытаний</t>
  </si>
  <si>
    <t>Да</t>
  </si>
  <si>
    <t>Нет</t>
  </si>
  <si>
    <t>В соответсвии с характеристиками, изложенными в настоящем протоколе:</t>
  </si>
  <si>
    <t xml:space="preserve">Проверяемые характеристики:
</t>
  </si>
  <si>
    <t>*Температура</t>
  </si>
  <si>
    <t>*Bool value (Для характеристик)</t>
  </si>
  <si>
    <t>*Bool value (Для вида аттестации)</t>
  </si>
  <si>
    <t>Наличие характеристик и количество страниц(таблиц).</t>
  </si>
  <si>
    <t>Вид аттестации:</t>
  </si>
  <si>
    <t>количство таблиц измерений</t>
  </si>
  <si>
    <t>Количество страниц расчёта неопределенностей</t>
  </si>
  <si>
    <t>б) испытаний продукции на воздействие в сочетании влажность-температура;</t>
  </si>
  <si>
    <t>Заданные значения пары характеристик температура-относительная влажность.</t>
  </si>
  <si>
    <t>Наименование характеристик</t>
  </si>
  <si>
    <t>Значение характеристики  воспроизводимого режима</t>
  </si>
  <si>
    <r>
      <t>Дисперсия по результам измерений относительной влажности (</t>
    </r>
    <r>
      <rPr>
        <i/>
        <sz val="10"/>
        <color theme="1"/>
        <rFont val="Calibri"/>
        <family val="2"/>
        <charset val="204"/>
      </rPr>
      <t>σ</t>
    </r>
    <r>
      <rPr>
        <i/>
        <vertAlign val="superscript"/>
        <sz val="10"/>
        <color theme="1"/>
        <rFont val="Calibri"/>
        <family val="2"/>
        <charset val="204"/>
      </rPr>
      <t>2</t>
    </r>
    <r>
      <rPr>
        <sz val="10"/>
        <color theme="1"/>
        <rFont val="Calibri"/>
        <family val="2"/>
        <charset val="204"/>
      </rPr>
      <t>)</t>
    </r>
  </si>
  <si>
    <r>
      <t>Общая неопределенность значений отн.влажности (</t>
    </r>
    <r>
      <rPr>
        <i/>
        <sz val="10"/>
        <color theme="1"/>
        <rFont val="Calibri"/>
        <family val="2"/>
        <charset val="204"/>
      </rPr>
      <t>σ</t>
    </r>
    <r>
      <rPr>
        <sz val="10"/>
        <color theme="1"/>
        <rFont val="Calibri"/>
        <family val="2"/>
        <charset val="204"/>
      </rPr>
      <t>), ± %</t>
    </r>
  </si>
  <si>
    <r>
      <t>Расширенная неопределенность значений отн.влажности при 95% доверительной вероятности (</t>
    </r>
    <r>
      <rPr>
        <i/>
        <sz val="10"/>
        <color theme="1"/>
        <rFont val="Calibri"/>
        <family val="2"/>
        <charset val="204"/>
      </rPr>
      <t>2σ</t>
    </r>
    <r>
      <rPr>
        <sz val="10"/>
        <color theme="1"/>
        <rFont val="Calibri"/>
        <family val="2"/>
        <charset val="204"/>
      </rPr>
      <t>), ± %</t>
    </r>
  </si>
  <si>
    <r>
      <t>Дисперсия значений температуры (</t>
    </r>
    <r>
      <rPr>
        <i/>
        <sz val="10"/>
        <color theme="1"/>
        <rFont val="Calibri"/>
        <family val="2"/>
        <charset val="204"/>
      </rPr>
      <t>σ</t>
    </r>
    <r>
      <rPr>
        <i/>
        <vertAlign val="superscript"/>
        <sz val="10"/>
        <color theme="1"/>
        <rFont val="Calibri"/>
        <family val="2"/>
        <charset val="204"/>
      </rPr>
      <t>2</t>
    </r>
    <r>
      <rPr>
        <sz val="10"/>
        <color theme="1"/>
        <rFont val="Calibri"/>
        <family val="2"/>
        <charset val="204"/>
      </rPr>
      <t>)</t>
    </r>
  </si>
  <si>
    <r>
      <t>Общая неопределенность значений температуры (</t>
    </r>
    <r>
      <rPr>
        <i/>
        <sz val="10"/>
        <color theme="1"/>
        <rFont val="Calibri"/>
        <family val="2"/>
        <charset val="204"/>
      </rPr>
      <t>σ</t>
    </r>
    <r>
      <rPr>
        <sz val="10"/>
        <color theme="1"/>
        <rFont val="Calibri"/>
        <family val="2"/>
        <charset val="204"/>
      </rPr>
      <t>), ± °C</t>
    </r>
  </si>
  <si>
    <r>
      <t>Расширенная неопределенность значений температуры при 95% доверительной вероятности (</t>
    </r>
    <r>
      <rPr>
        <i/>
        <sz val="10"/>
        <color theme="1"/>
        <rFont val="Calibri"/>
        <family val="2"/>
        <charset val="204"/>
      </rPr>
      <t>2σ</t>
    </r>
    <r>
      <rPr>
        <sz val="10"/>
        <color theme="1"/>
        <rFont val="Calibri"/>
        <family val="2"/>
        <charset val="204"/>
      </rPr>
      <t>), ± °C</t>
    </r>
  </si>
  <si>
    <r>
      <t xml:space="preserve">7.1 </t>
    </r>
    <r>
      <rPr>
        <sz val="11"/>
        <color theme="1"/>
        <rFont val="Arial"/>
        <family val="2"/>
        <charset val="204"/>
        <scheme val="minor"/>
      </rPr>
      <t xml:space="preserve">Результаты проверки документации: 
    Комплектность эксплутационной документации на испытательное оборудование (руководство по эксплуатации, руководство пользователя, формуляр) - полная;
    Свидетельства о поверке средств измерений - имеются;
    Программа и методика первичной (периодической, повторной) аттестации - имеется;
    Заключение по результатам метрологической экспертизы программы и методики (периодической, повторной) аттестации - имеется.
</t>
    </r>
  </si>
  <si>
    <r>
      <t>7.4 Опробование: 
    Возможность включения, выключения и функционирования камеры потдверждена;
    Органы регулирования и управления - работоспособны;
    Тепловая защита и аварийная сигнализация работают штатно.</t>
    </r>
    <r>
      <rPr>
        <b/>
        <i/>
        <sz val="11"/>
        <color theme="1"/>
        <rFont val="Arial"/>
        <family val="2"/>
        <charset val="204"/>
        <scheme val="minor"/>
      </rPr>
      <t xml:space="preserve">
  Выводы: результаты опробования удовлетворительны.</t>
    </r>
  </si>
  <si>
    <r>
      <t xml:space="preserve">7.3 </t>
    </r>
    <r>
      <rPr>
        <sz val="11"/>
        <color theme="1"/>
        <rFont val="Arial"/>
        <family val="2"/>
        <charset val="204"/>
        <scheme val="minor"/>
      </rPr>
      <t xml:space="preserve">Проверка выполнения требований безопасности: 
    Заземление и сопротивление изоляции между токоведущими частями и устройством для подключения заземления соотвествует требованиям нормативных документов;
    Средства пожаротушения имеются;
    Полы в помещении, где расположена камера ровные, прочные, нескользкие;
    Персонал эксплуатирующий камеру, прошёл в установленном порядке инструктаж по охране труда, промышленной санитарии и пожарной безопасности;
  </t>
    </r>
    <r>
      <rPr>
        <b/>
        <i/>
        <sz val="11"/>
        <color theme="1"/>
        <rFont val="Arial"/>
        <family val="2"/>
        <charset val="204"/>
        <scheme val="minor"/>
      </rPr>
      <t>Выводы: требования безопасности соблюдены.</t>
    </r>
  </si>
  <si>
    <t>Таблица В.1 Температурные характеристики камеры, вычисленные по результам измерений.</t>
  </si>
  <si>
    <t>Таблица Г.2 Результаты измерений значений температуры при режиме воспроизведения в сочетании температура - относительная влажность.</t>
  </si>
  <si>
    <t>Таблица Г.4 Результаты измерений значений температуры при режиме воспроизведения в сочетании температура - относительная влажность.</t>
  </si>
  <si>
    <t>Таблица Г.6 Результаты измерений значений температуры при режиме воспроизведения в сочетании температура - относительная влажность.</t>
  </si>
  <si>
    <t>Таблица Г.8 Результаты измерений значений температуры при режиме воспроизведения в сочетании температура - относительная влажность.</t>
  </si>
  <si>
    <t>Таблица Г.7 Результаты измерений значений относительной влажности при режиме воспроизведения в сочетании температура - относительная влажность.</t>
  </si>
  <si>
    <t>Таблица Г.5 Результаты измерений значений относительной влажности при режиме воспроизведения в сочетании температура - относительная влажность.</t>
  </si>
  <si>
    <t>Таблица Г.3 Результаты измерений значений относительной влажности при режиме воспроизведения в сочетании температура - относительная влажность.</t>
  </si>
  <si>
    <t>Таблица Г.1 Результаты измерений значений относительной влажности при режиме воспроизведения в сочетании температура - относительная влажность.</t>
  </si>
  <si>
    <t>Таблица источников. (Температура)</t>
  </si>
  <si>
    <t>Таблица источников. (Влажность)</t>
  </si>
  <si>
    <t>Поверка</t>
  </si>
  <si>
    <t>Таблица Г.9 Результаты измерений значений относительной влажности при режиме воспроизведения в сочетании температура - относительная влажность.</t>
  </si>
  <si>
    <t>Таблица Г.10 Результаты измерений значений температуры при режиме воспроизведения в сочетании температура - относительная влажность.</t>
  </si>
  <si>
    <t xml:space="preserve">Таблица Е.1 Влажностные и температурные характеристики камеры, вычисленные по результатам измерений в сочетании температура-влажность. </t>
  </si>
  <si>
    <t xml:space="preserve">± (0,0035+10-5∙t) °C
</t>
  </si>
  <si>
    <t xml:space="preserve">±1,4 В, ±0,015 Гц
</t>
  </si>
  <si>
    <t xml:space="preserve">±(0,15+0,002∙|t|) °С
</t>
  </si>
  <si>
    <t xml:space="preserve">±(0,1+0,002|t|) °C, ±1 %
</t>
  </si>
  <si>
    <t xml:space="preserve">± 0,5 °C, ±2 %, ±2,5гПа
</t>
  </si>
  <si>
    <r>
      <t xml:space="preserve">7.2 </t>
    </r>
    <r>
      <rPr>
        <sz val="11"/>
        <color theme="1"/>
        <rFont val="Arial"/>
        <family val="2"/>
        <charset val="204"/>
        <scheme val="minor"/>
      </rPr>
      <t xml:space="preserve">Внешний осмотром установлено: 
    Камера установлена в соотвествии с требованиями эксплутационной документации;
    Комплектность испытательного оборудования - полная;
    Системные блоки, узлы и механизмы - без дефектов;
    Механические повреждения - отсутсвуют;
    Маркировка камеры соотвествует эксплутационной документации;
    Качество монтажа, состояние электрических соединений - удовлетворительное;
    Целостность пломб предприятия-изготовителя - не нарушена;
    Внутри камеры посторонние предметы и загрязнения не обнаружены.
  </t>
    </r>
    <r>
      <rPr>
        <b/>
        <i/>
        <sz val="11"/>
        <color theme="1"/>
        <rFont val="Arial"/>
        <family val="2"/>
        <charset val="204"/>
        <scheme val="minor"/>
      </rPr>
      <t>Выводы: результаты внешнего осмотра оборудования удовлетворительны.</t>
    </r>
  </si>
  <si>
    <t>Таблица А.8 Результаты измерений значений температуры в точках полезного объема камеры.</t>
  </si>
  <si>
    <t>Таблица А.7 Результаты измерений значений температуры в точках полезного объема камеры.</t>
  </si>
  <si>
    <t>Таблица А.6 Результаты измерений значений температуры в точках полезного объема камеры.</t>
  </si>
  <si>
    <t>Таблица А.5 Результаты измерений значений температуры в точках полезного объема камеры.</t>
  </si>
  <si>
    <t>Таблица А.4 Результаты измерений значений температуры в точках полезного объема камеры.</t>
  </si>
  <si>
    <t>Таблица А.3 Результаты измерений значений температуры в точках полезного объема камеры.</t>
  </si>
  <si>
    <t>Таблица А.2 Результаты измерений значений температуры в точках полезного объема камеры.</t>
  </si>
  <si>
    <t>Таблица А.1 Результаты измерений значений температуры в точках полезного объема камеры.</t>
  </si>
  <si>
    <t>Измеренные значения давления</t>
  </si>
  <si>
    <t>№ измерения</t>
  </si>
  <si>
    <r>
      <t>P</t>
    </r>
    <r>
      <rPr>
        <vertAlign val="subscript"/>
        <sz val="12"/>
        <color theme="1"/>
        <rFont val="Arial"/>
        <family val="2"/>
        <charset val="204"/>
        <scheme val="minor"/>
      </rPr>
      <t xml:space="preserve">зад </t>
    </r>
    <r>
      <rPr>
        <sz val="12"/>
        <color theme="1"/>
        <rFont val="Arial"/>
        <family val="2"/>
        <charset val="204"/>
        <scheme val="minor"/>
      </rPr>
      <t>= 12 кПа</t>
    </r>
  </si>
  <si>
    <t>Pзад = 1,1 кПа</t>
  </si>
  <si>
    <t xml:space="preserve">  Значения измеренных характеристик давления приведены в: Таблице И.1
Действительные значения давления приведены в таблице</t>
  </si>
  <si>
    <t>Заданное значение давления в камере, кПа</t>
  </si>
  <si>
    <t>Достигнутое значение давления в камере, кПа</t>
  </si>
  <si>
    <t>Отклонение достигнутого давле-ния в камере от заданного, кПа</t>
  </si>
  <si>
    <t>Точность поддержания давления во времени, %</t>
  </si>
  <si>
    <t xml:space="preserve">Характеристики колебаний дав-ления в камере:
Амплитуда колебаний, кПа
</t>
  </si>
  <si>
    <t>Период колебаний, c</t>
  </si>
  <si>
    <t>Значения характеристик воспроизводмого режима.</t>
  </si>
  <si>
    <t>Таблица Ж.1 Действительные значения нормированных характеристик достигнутого давления.</t>
  </si>
  <si>
    <t>ООО «»</t>
  </si>
  <si>
    <t>Количество точек температур</t>
  </si>
  <si>
    <t>Количество точек влага+темп</t>
  </si>
  <si>
    <r>
      <t>Характеристики колебаний температуры (</t>
    </r>
    <r>
      <rPr>
        <i/>
        <sz val="10"/>
        <rFont val="Calibri"/>
        <family val="2"/>
        <charset val="204"/>
      </rPr>
      <t>A</t>
    </r>
    <r>
      <rPr>
        <sz val="10"/>
        <rFont val="Calibri"/>
        <family val="2"/>
        <charset val="204"/>
      </rPr>
      <t>), °С</t>
    </r>
  </si>
  <si>
    <t>Амплитуда, ± °C, от 100,1°C</t>
  </si>
  <si>
    <t>Амплитуда, ± °C, до 100°C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</si>
</sst>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_-* #,##0.00\ _₽_-;\-* #,##0.00\ _₽_-;_-* &quot;-&quot;??\ _₽_-;_-@_-"/>
    <numFmt numFmtId="165" formatCode="0.0000"/>
    <numFmt numFmtId="166" formatCode="0.000"/>
    <numFmt numFmtId="167" formatCode="0.00000000"/>
    <numFmt numFmtId="168" formatCode="0.0"/>
    <numFmt numFmtId="169" formatCode="0.00000"/>
    <numFmt numFmtId="170" formatCode="0.0000000"/>
    <numFmt numFmtId="171" formatCode="#,##0.000"/>
    <numFmt numFmtId="172" formatCode="0.0000000000"/>
    <numFmt numFmtId="173" formatCode="0.000000"/>
  </numFmts>
  <fonts count="54" x14ac:knownFonts="1">
    <font>
      <sz val="11"/>
      <color theme="1"/>
      <name val="Arial"/>
      <family val="2"/>
      <scheme val="minor"/>
    </font>
    <font>
      <sz val="11"/>
      <color theme="1"/>
      <name val="Arial"/>
      <family val="2"/>
      <charset val="204"/>
      <scheme val="minor"/>
    </font>
    <font>
      <sz val="11"/>
      <color theme="1"/>
      <name val="Arial"/>
      <family val="2"/>
      <charset val="204"/>
      <scheme val="minor"/>
    </font>
    <font>
      <sz val="11"/>
      <color theme="1"/>
      <name val="Arial"/>
      <family val="2"/>
      <charset val="204"/>
      <scheme val="minor"/>
    </font>
    <font>
      <sz val="11"/>
      <color theme="1"/>
      <name val="Arial"/>
      <family val="2"/>
      <charset val="204"/>
      <scheme val="minor"/>
    </font>
    <font>
      <sz val="11"/>
      <color theme="1"/>
      <name val="Arial"/>
      <family val="2"/>
      <charset val="204"/>
      <scheme val="minor"/>
    </font>
    <font>
      <sz val="11"/>
      <color theme="1"/>
      <name val="Arial"/>
      <family val="2"/>
      <charset val="204"/>
      <scheme val="minor"/>
    </font>
    <font>
      <sz val="11"/>
      <color theme="1"/>
      <name val="Arial"/>
      <family val="2"/>
      <charset val="204"/>
      <scheme val="minor"/>
    </font>
    <font>
      <sz val="11"/>
      <color theme="1"/>
      <name val="Arial"/>
      <family val="2"/>
      <charset val="204"/>
      <scheme val="minor"/>
    </font>
    <font>
      <sz val="11"/>
      <color theme="1"/>
      <name val="Arial"/>
      <family val="2"/>
      <charset val="204"/>
      <scheme val="minor"/>
    </font>
    <font>
      <b/>
      <sz val="11"/>
      <color theme="1"/>
      <name val="Arial"/>
      <family val="2"/>
      <charset val="204"/>
      <scheme val="minor"/>
    </font>
    <font>
      <sz val="11"/>
      <name val="Arial"/>
      <family val="2"/>
      <scheme val="minor"/>
    </font>
    <font>
      <sz val="11"/>
      <color theme="1"/>
      <name val="Calibri"/>
      <family val="2"/>
      <charset val="204"/>
    </font>
    <font>
      <sz val="10"/>
      <name val="Arial"/>
      <family val="2"/>
      <charset val="204"/>
      <scheme val="minor"/>
    </font>
    <font>
      <sz val="11"/>
      <name val="Arial"/>
      <family val="2"/>
      <charset val="204"/>
      <scheme val="minor"/>
    </font>
    <font>
      <sz val="10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0"/>
      <color theme="1"/>
      <name val="Arial"/>
      <family val="2"/>
      <charset val="204"/>
      <scheme val="minor"/>
    </font>
    <font>
      <sz val="12"/>
      <name val="Times New Roman"/>
      <family val="1"/>
      <charset val="204"/>
    </font>
    <font>
      <sz val="12"/>
      <name val="Arial"/>
      <family val="2"/>
      <charset val="204"/>
      <scheme val="minor"/>
    </font>
    <font>
      <i/>
      <sz val="12"/>
      <color theme="1"/>
      <name val="Calibri"/>
      <family val="2"/>
      <charset val="204"/>
    </font>
    <font>
      <i/>
      <sz val="12"/>
      <color theme="1"/>
      <name val="Arial"/>
      <family val="2"/>
      <charset val="204"/>
      <scheme val="minor"/>
    </font>
    <font>
      <vertAlign val="subscript"/>
      <sz val="11"/>
      <color theme="1"/>
      <name val="Arial"/>
      <family val="2"/>
      <charset val="204"/>
      <scheme val="minor"/>
    </font>
    <font>
      <i/>
      <vertAlign val="subscript"/>
      <sz val="12"/>
      <color theme="1"/>
      <name val="Calibri"/>
      <family val="2"/>
      <charset val="204"/>
    </font>
    <font>
      <i/>
      <vertAlign val="subscript"/>
      <sz val="11"/>
      <color theme="1"/>
      <name val="Arial"/>
      <family val="2"/>
      <charset val="204"/>
      <scheme val="minor"/>
    </font>
    <font>
      <i/>
      <sz val="11"/>
      <color theme="1"/>
      <name val="Arial"/>
      <family val="2"/>
      <charset val="204"/>
      <scheme val="minor"/>
    </font>
    <font>
      <i/>
      <vertAlign val="subscript"/>
      <sz val="12"/>
      <color theme="1"/>
      <name val="Arial"/>
      <family val="2"/>
      <charset val="204"/>
      <scheme val="minor"/>
    </font>
    <font>
      <i/>
      <sz val="11"/>
      <color theme="1"/>
      <name val="Arial"/>
      <family val="2"/>
      <scheme val="minor"/>
    </font>
    <font>
      <i/>
      <sz val="11"/>
      <name val="Arial"/>
      <family val="2"/>
      <charset val="204"/>
      <scheme val="minor"/>
    </font>
    <font>
      <i/>
      <vertAlign val="subscript"/>
      <sz val="11"/>
      <name val="Arial"/>
      <family val="2"/>
      <charset val="204"/>
      <scheme val="minor"/>
    </font>
    <font>
      <vertAlign val="superscript"/>
      <sz val="11"/>
      <color theme="1"/>
      <name val="Calibri"/>
      <family val="2"/>
      <charset val="204"/>
    </font>
    <font>
      <i/>
      <sz val="11"/>
      <color theme="1"/>
      <name val="Calibri"/>
      <family val="2"/>
      <charset val="204"/>
    </font>
    <font>
      <sz val="10"/>
      <name val="Calibri"/>
      <family val="2"/>
      <charset val="204"/>
    </font>
    <font>
      <i/>
      <sz val="10"/>
      <name val="Calibri"/>
      <family val="2"/>
      <charset val="204"/>
    </font>
    <font>
      <i/>
      <vertAlign val="subscript"/>
      <sz val="10"/>
      <name val="Calibri"/>
      <family val="2"/>
      <charset val="204"/>
    </font>
    <font>
      <i/>
      <vertAlign val="superscript"/>
      <sz val="11"/>
      <color theme="1"/>
      <name val="Arial"/>
      <family val="2"/>
      <charset val="204"/>
      <scheme val="minor"/>
    </font>
    <font>
      <sz val="14"/>
      <color theme="1"/>
      <name val="Arial"/>
      <family val="2"/>
      <scheme val="minor"/>
    </font>
    <font>
      <b/>
      <sz val="20"/>
      <color theme="1"/>
      <name val="Arial"/>
      <family val="2"/>
      <charset val="204"/>
      <scheme val="minor"/>
    </font>
    <font>
      <sz val="10"/>
      <color theme="1"/>
      <name val="Calibri"/>
      <family val="2"/>
      <charset val="204"/>
    </font>
    <font>
      <vertAlign val="superscript"/>
      <sz val="10"/>
      <color theme="1"/>
      <name val="Calibri"/>
      <family val="2"/>
      <charset val="204"/>
    </font>
    <font>
      <vertAlign val="subscript"/>
      <sz val="11"/>
      <name val="Arial"/>
      <family val="2"/>
      <charset val="204"/>
      <scheme val="minor"/>
    </font>
    <font>
      <sz val="11"/>
      <name val="Calibri"/>
      <family val="2"/>
      <charset val="204"/>
    </font>
    <font>
      <sz val="10"/>
      <name val="Arial Cyr"/>
      <charset val="204"/>
    </font>
    <font>
      <b/>
      <sz val="14"/>
      <color theme="1"/>
      <name val="Arial"/>
      <family val="2"/>
      <charset val="204"/>
      <scheme val="minor"/>
    </font>
    <font>
      <sz val="12"/>
      <color theme="1"/>
      <name val="Times New Roman"/>
      <family val="1"/>
      <charset val="204"/>
    </font>
    <font>
      <vertAlign val="superscript"/>
      <sz val="11"/>
      <color theme="1"/>
      <name val="Arial"/>
      <family val="2"/>
      <charset val="204"/>
      <scheme val="minor"/>
    </font>
    <font>
      <u/>
      <sz val="11"/>
      <color theme="1"/>
      <name val="Arial"/>
      <family val="2"/>
      <charset val="204"/>
      <scheme val="minor"/>
    </font>
    <font>
      <b/>
      <i/>
      <sz val="11"/>
      <color theme="1"/>
      <name val="Arial"/>
      <family val="2"/>
      <charset val="204"/>
      <scheme val="minor"/>
    </font>
    <font>
      <i/>
      <sz val="10"/>
      <color theme="1"/>
      <name val="Calibri"/>
      <family val="2"/>
      <charset val="204"/>
    </font>
    <font>
      <i/>
      <vertAlign val="superscript"/>
      <sz val="10"/>
      <color theme="1"/>
      <name val="Calibri"/>
      <family val="2"/>
      <charset val="204"/>
    </font>
    <font>
      <vertAlign val="subscript"/>
      <sz val="10"/>
      <name val="Calibri"/>
      <family val="2"/>
      <charset val="204"/>
    </font>
    <font>
      <sz val="14"/>
      <name val="Arial"/>
      <family val="2"/>
      <scheme val="minor"/>
    </font>
    <font>
      <sz val="12"/>
      <color theme="1"/>
      <name val="Arial"/>
      <family val="2"/>
      <charset val="204"/>
      <scheme val="minor"/>
    </font>
    <font>
      <vertAlign val="subscript"/>
      <sz val="12"/>
      <color theme="1"/>
      <name val="Arial"/>
      <family val="2"/>
      <charset val="204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9.9978637043366805E-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16" fillId="0" borderId="0" applyFont="0" applyFill="0" applyBorder="0" applyAlignment="0" applyProtection="0"/>
    <xf numFmtId="0" fontId="42" fillId="0" borderId="0"/>
  </cellStyleXfs>
  <cellXfs count="504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8" xfId="0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2" fontId="0" fillId="0" borderId="3" xfId="0" applyNumberFormat="1" applyBorder="1"/>
    <xf numFmtId="166" fontId="0" fillId="0" borderId="3" xfId="0" applyNumberFormat="1" applyBorder="1"/>
    <xf numFmtId="2" fontId="0" fillId="3" borderId="4" xfId="0" applyNumberFormat="1" applyFill="1" applyBorder="1"/>
    <xf numFmtId="2" fontId="0" fillId="3" borderId="3" xfId="0" applyNumberFormat="1" applyFill="1" applyBorder="1"/>
    <xf numFmtId="2" fontId="0" fillId="11" borderId="3" xfId="0" applyNumberFormat="1" applyFill="1" applyBorder="1"/>
    <xf numFmtId="2" fontId="0" fillId="9" borderId="4" xfId="0" applyNumberFormat="1" applyFill="1" applyBorder="1"/>
    <xf numFmtId="2" fontId="0" fillId="9" borderId="3" xfId="0" applyNumberFormat="1" applyFill="1" applyBorder="1"/>
    <xf numFmtId="2" fontId="0" fillId="10" borderId="3" xfId="0" applyNumberFormat="1" applyFill="1" applyBorder="1"/>
    <xf numFmtId="2" fontId="0" fillId="14" borderId="3" xfId="0" applyNumberFormat="1" applyFill="1" applyBorder="1"/>
    <xf numFmtId="2" fontId="0" fillId="7" borderId="4" xfId="0" applyNumberFormat="1" applyFill="1" applyBorder="1" applyAlignment="1">
      <alignment horizontal="center"/>
    </xf>
    <xf numFmtId="2" fontId="0" fillId="7" borderId="3" xfId="0" applyNumberFormat="1" applyFill="1" applyBorder="1" applyAlignment="1">
      <alignment horizontal="center"/>
    </xf>
    <xf numFmtId="2" fontId="0" fillId="7" borderId="5" xfId="0" applyNumberFormat="1" applyFill="1" applyBorder="1" applyAlignment="1">
      <alignment horizontal="center"/>
    </xf>
    <xf numFmtId="2" fontId="0" fillId="8" borderId="3" xfId="0" applyNumberFormat="1" applyFill="1" applyBorder="1"/>
    <xf numFmtId="2" fontId="0" fillId="4" borderId="3" xfId="0" applyNumberFormat="1" applyFill="1" applyBorder="1"/>
    <xf numFmtId="2" fontId="0" fillId="16" borderId="3" xfId="0" applyNumberFormat="1" applyFill="1" applyBorder="1" applyAlignment="1">
      <alignment horizontal="center"/>
    </xf>
    <xf numFmtId="2" fontId="0" fillId="5" borderId="3" xfId="0" applyNumberFormat="1" applyFill="1" applyBorder="1"/>
    <xf numFmtId="0" fontId="0" fillId="14" borderId="3" xfId="0" applyFill="1" applyBorder="1"/>
    <xf numFmtId="0" fontId="0" fillId="4" borderId="3" xfId="0" applyFill="1" applyBorder="1"/>
    <xf numFmtId="2" fontId="0" fillId="4" borderId="4" xfId="0" applyNumberFormat="1" applyFill="1" applyBorder="1"/>
    <xf numFmtId="2" fontId="0" fillId="17" borderId="3" xfId="0" applyNumberFormat="1" applyFill="1" applyBorder="1" applyAlignment="1">
      <alignment horizontal="center" vertical="center"/>
    </xf>
    <xf numFmtId="2" fontId="0" fillId="18" borderId="3" xfId="0" applyNumberFormat="1" applyFill="1" applyBorder="1" applyAlignment="1">
      <alignment horizontal="center" vertical="center"/>
    </xf>
    <xf numFmtId="2" fontId="0" fillId="18" borderId="4" xfId="0" applyNumberFormat="1" applyFill="1" applyBorder="1"/>
    <xf numFmtId="2" fontId="0" fillId="18" borderId="3" xfId="0" applyNumberFormat="1" applyFill="1" applyBorder="1"/>
    <xf numFmtId="2" fontId="0" fillId="11" borderId="3" xfId="0" applyNumberFormat="1" applyFill="1" applyBorder="1" applyAlignment="1">
      <alignment horizontal="center" vertical="center"/>
    </xf>
    <xf numFmtId="2" fontId="0" fillId="9" borderId="3" xfId="0" applyNumberFormat="1" applyFill="1" applyBorder="1" applyAlignment="1">
      <alignment horizontal="center" vertical="center"/>
    </xf>
    <xf numFmtId="0" fontId="0" fillId="2" borderId="3" xfId="0" applyFill="1" applyBorder="1"/>
    <xf numFmtId="0" fontId="0" fillId="5" borderId="3" xfId="0" applyFill="1" applyBorder="1"/>
    <xf numFmtId="0" fontId="0" fillId="8" borderId="3" xfId="0" applyFill="1" applyBorder="1"/>
    <xf numFmtId="166" fontId="0" fillId="8" borderId="3" xfId="0" applyNumberFormat="1" applyFill="1" applyBorder="1"/>
    <xf numFmtId="165" fontId="0" fillId="8" borderId="3" xfId="0" applyNumberFormat="1" applyFill="1" applyBorder="1"/>
    <xf numFmtId="166" fontId="0" fillId="4" borderId="3" xfId="0" applyNumberFormat="1" applyFill="1" applyBorder="1"/>
    <xf numFmtId="166" fontId="0" fillId="14" borderId="3" xfId="0" applyNumberFormat="1" applyFill="1" applyBorder="1"/>
    <xf numFmtId="0" fontId="0" fillId="12" borderId="3" xfId="0" applyFill="1" applyBorder="1"/>
    <xf numFmtId="167" fontId="0" fillId="5" borderId="3" xfId="0" applyNumberFormat="1" applyFill="1" applyBorder="1"/>
    <xf numFmtId="2" fontId="0" fillId="11" borderId="9" xfId="0" applyNumberFormat="1" applyFill="1" applyBorder="1"/>
    <xf numFmtId="2" fontId="0" fillId="17" borderId="5" xfId="0" applyNumberFormat="1" applyFill="1" applyBorder="1" applyAlignment="1">
      <alignment horizontal="center" vertical="center"/>
    </xf>
    <xf numFmtId="0" fontId="10" fillId="13" borderId="3" xfId="0" applyFont="1" applyFill="1" applyBorder="1" applyAlignment="1">
      <alignment horizontal="center" vertical="center"/>
    </xf>
    <xf numFmtId="0" fontId="11" fillId="5" borderId="3" xfId="0" applyFont="1" applyFill="1" applyBorder="1"/>
    <xf numFmtId="0" fontId="10" fillId="0" borderId="0" xfId="0" applyFont="1"/>
    <xf numFmtId="0" fontId="0" fillId="10" borderId="3" xfId="0" applyFill="1" applyBorder="1"/>
    <xf numFmtId="166" fontId="0" fillId="10" borderId="3" xfId="0" applyNumberFormat="1" applyFill="1" applyBorder="1"/>
    <xf numFmtId="169" fontId="0" fillId="14" borderId="3" xfId="0" applyNumberFormat="1" applyFill="1" applyBorder="1"/>
    <xf numFmtId="165" fontId="0" fillId="4" borderId="3" xfId="0" applyNumberFormat="1" applyFill="1" applyBorder="1"/>
    <xf numFmtId="170" fontId="11" fillId="0" borderId="3" xfId="0" applyNumberFormat="1" applyFont="1" applyBorder="1"/>
    <xf numFmtId="170" fontId="11" fillId="8" borderId="3" xfId="0" applyNumberFormat="1" applyFont="1" applyFill="1" applyBorder="1"/>
    <xf numFmtId="170" fontId="11" fillId="4" borderId="3" xfId="0" applyNumberFormat="1" applyFont="1" applyFill="1" applyBorder="1"/>
    <xf numFmtId="170" fontId="11" fillId="14" borderId="3" xfId="0" applyNumberFormat="1" applyFont="1" applyFill="1" applyBorder="1"/>
    <xf numFmtId="170" fontId="0" fillId="0" borderId="0" xfId="0" applyNumberFormat="1"/>
    <xf numFmtId="170" fontId="0" fillId="12" borderId="3" xfId="0" applyNumberFormat="1" applyFill="1" applyBorder="1"/>
    <xf numFmtId="170" fontId="0" fillId="5" borderId="3" xfId="0" applyNumberFormat="1" applyFill="1" applyBorder="1"/>
    <xf numFmtId="170" fontId="0" fillId="0" borderId="3" xfId="0" applyNumberFormat="1" applyBorder="1"/>
    <xf numFmtId="170" fontId="0" fillId="10" borderId="3" xfId="0" applyNumberFormat="1" applyFill="1" applyBorder="1"/>
    <xf numFmtId="170" fontId="0" fillId="8" borderId="3" xfId="0" applyNumberFormat="1" applyFill="1" applyBorder="1"/>
    <xf numFmtId="170" fontId="0" fillId="15" borderId="3" xfId="0" applyNumberFormat="1" applyFill="1" applyBorder="1"/>
    <xf numFmtId="0" fontId="0" fillId="0" borderId="3" xfId="0" applyFont="1" applyFill="1" applyBorder="1" applyAlignment="1">
      <alignment horizontal="right" vertical="top"/>
    </xf>
    <xf numFmtId="165" fontId="0" fillId="4" borderId="3" xfId="0" applyNumberFormat="1" applyFont="1" applyFill="1" applyBorder="1" applyAlignment="1">
      <alignment horizontal="right"/>
    </xf>
    <xf numFmtId="2" fontId="0" fillId="0" borderId="0" xfId="0" applyNumberFormat="1"/>
    <xf numFmtId="0" fontId="0" fillId="0" borderId="0" xfId="0" applyBorder="1"/>
    <xf numFmtId="2" fontId="0" fillId="2" borderId="3" xfId="0" applyNumberFormat="1" applyFill="1" applyBorder="1"/>
    <xf numFmtId="2" fontId="0" fillId="0" borderId="4" xfId="0" applyNumberFormat="1" applyBorder="1"/>
    <xf numFmtId="0" fontId="14" fillId="0" borderId="3" xfId="0" applyFont="1" applyBorder="1" applyAlignment="1">
      <alignment horizontal="center" vertical="top" wrapText="1"/>
    </xf>
    <xf numFmtId="2" fontId="14" fillId="0" borderId="3" xfId="0" applyNumberFormat="1" applyFont="1" applyBorder="1" applyAlignment="1">
      <alignment horizontal="left" vertical="top" wrapText="1"/>
    </xf>
    <xf numFmtId="0" fontId="14" fillId="0" borderId="3" xfId="0" applyFont="1" applyBorder="1" applyAlignment="1">
      <alignment horizontal="left" vertical="top" wrapText="1"/>
    </xf>
    <xf numFmtId="2" fontId="0" fillId="12" borderId="3" xfId="0" applyNumberFormat="1" applyFill="1" applyBorder="1"/>
    <xf numFmtId="2" fontId="0" fillId="8" borderId="5" xfId="0" applyNumberFormat="1" applyFill="1" applyBorder="1"/>
    <xf numFmtId="0" fontId="0" fillId="0" borderId="3" xfId="0" applyBorder="1" applyAlignment="1">
      <alignment wrapText="1"/>
    </xf>
    <xf numFmtId="0" fontId="9" fillId="0" borderId="3" xfId="0" applyFont="1" applyBorder="1" applyAlignment="1">
      <alignment horizontal="center" vertical="center"/>
    </xf>
    <xf numFmtId="0" fontId="13" fillId="0" borderId="0" xfId="0" applyFont="1" applyAlignment="1">
      <alignment horizontal="center" vertical="top"/>
    </xf>
    <xf numFmtId="166" fontId="13" fillId="19" borderId="3" xfId="0" applyNumberFormat="1" applyFont="1" applyFill="1" applyBorder="1" applyAlignment="1">
      <alignment horizontal="center" vertical="top" wrapText="1"/>
    </xf>
    <xf numFmtId="4" fontId="13" fillId="0" borderId="0" xfId="0" applyNumberFormat="1" applyFont="1" applyAlignment="1">
      <alignment horizontal="left" vertical="top"/>
    </xf>
    <xf numFmtId="171" fontId="13" fillId="0" borderId="0" xfId="0" applyNumberFormat="1" applyFont="1" applyAlignment="1" applyProtection="1">
      <alignment horizontal="left" vertical="top"/>
    </xf>
    <xf numFmtId="0" fontId="13" fillId="0" borderId="0" xfId="0" applyFont="1" applyAlignment="1">
      <alignment horizontal="center" vertical="top" wrapText="1"/>
    </xf>
    <xf numFmtId="2" fontId="13" fillId="0" borderId="0" xfId="0" applyNumberFormat="1" applyFont="1" applyAlignment="1">
      <alignment horizontal="center" vertical="top"/>
    </xf>
    <xf numFmtId="4" fontId="13" fillId="0" borderId="0" xfId="1" applyNumberFormat="1" applyFont="1" applyAlignment="1">
      <alignment horizontal="left" vertical="top"/>
    </xf>
    <xf numFmtId="0" fontId="13" fillId="0" borderId="0" xfId="0" applyFont="1" applyAlignment="1">
      <alignment vertical="top" wrapText="1"/>
    </xf>
    <xf numFmtId="0" fontId="17" fillId="0" borderId="3" xfId="0" applyFont="1" applyFill="1" applyBorder="1" applyAlignment="1">
      <alignment horizontal="left" vertical="top" wrapText="1"/>
    </xf>
    <xf numFmtId="170" fontId="13" fillId="0" borderId="0" xfId="0" applyNumberFormat="1" applyFont="1" applyAlignment="1">
      <alignment horizontal="center" vertical="top"/>
    </xf>
    <xf numFmtId="170" fontId="13" fillId="19" borderId="3" xfId="0" applyNumberFormat="1" applyFont="1" applyFill="1" applyBorder="1" applyAlignment="1">
      <alignment horizontal="center" vertical="top" wrapText="1"/>
    </xf>
    <xf numFmtId="170" fontId="13" fillId="0" borderId="0" xfId="0" applyNumberFormat="1" applyFont="1" applyAlignment="1">
      <alignment vertical="top" wrapText="1"/>
    </xf>
    <xf numFmtId="166" fontId="13" fillId="0" borderId="0" xfId="0" applyNumberFormat="1" applyFont="1" applyAlignment="1">
      <alignment horizontal="center" vertical="top"/>
    </xf>
    <xf numFmtId="166" fontId="13" fillId="0" borderId="0" xfId="0" applyNumberFormat="1" applyFont="1" applyAlignment="1">
      <alignment vertical="top" wrapText="1"/>
    </xf>
    <xf numFmtId="166" fontId="0" fillId="0" borderId="0" xfId="0" applyNumberFormat="1"/>
    <xf numFmtId="2" fontId="13" fillId="19" borderId="3" xfId="0" applyNumberFormat="1" applyFont="1" applyFill="1" applyBorder="1" applyAlignment="1">
      <alignment horizontal="center" vertical="top" wrapText="1"/>
    </xf>
    <xf numFmtId="2" fontId="13" fillId="0" borderId="0" xfId="0" applyNumberFormat="1" applyFont="1" applyAlignment="1">
      <alignment vertical="top" wrapText="1"/>
    </xf>
    <xf numFmtId="0" fontId="20" fillId="0" borderId="1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24" fillId="0" borderId="15" xfId="0" applyFont="1" applyBorder="1" applyAlignment="1">
      <alignment horizontal="center"/>
    </xf>
    <xf numFmtId="0" fontId="27" fillId="0" borderId="6" xfId="0" applyFont="1" applyBorder="1" applyAlignment="1">
      <alignment horizontal="center" vertical="center"/>
    </xf>
    <xf numFmtId="0" fontId="27" fillId="0" borderId="7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25" fillId="13" borderId="3" xfId="0" applyFont="1" applyFill="1" applyBorder="1" applyAlignment="1">
      <alignment horizontal="center"/>
    </xf>
    <xf numFmtId="0" fontId="27" fillId="17" borderId="5" xfId="0" applyFont="1" applyFill="1" applyBorder="1" applyAlignment="1">
      <alignment horizontal="center" vertical="center"/>
    </xf>
    <xf numFmtId="0" fontId="27" fillId="17" borderId="3" xfId="0" applyFont="1" applyFill="1" applyBorder="1" applyAlignment="1">
      <alignment horizontal="center" vertical="center"/>
    </xf>
    <xf numFmtId="0" fontId="27" fillId="18" borderId="3" xfId="0" applyFont="1" applyFill="1" applyBorder="1" applyAlignment="1">
      <alignment horizontal="center" vertical="center"/>
    </xf>
    <xf numFmtId="0" fontId="27" fillId="11" borderId="3" xfId="0" applyFont="1" applyFill="1" applyBorder="1" applyAlignment="1">
      <alignment horizontal="center" vertical="center"/>
    </xf>
    <xf numFmtId="0" fontId="27" fillId="11" borderId="3" xfId="0" applyFont="1" applyFill="1" applyBorder="1" applyAlignment="1">
      <alignment horizontal="center"/>
    </xf>
    <xf numFmtId="0" fontId="27" fillId="9" borderId="3" xfId="0" applyFont="1" applyFill="1" applyBorder="1" applyAlignment="1">
      <alignment horizontal="center" vertical="center"/>
    </xf>
    <xf numFmtId="0" fontId="18" fillId="0" borderId="0" xfId="0" applyFont="1" applyFill="1" applyAlignment="1"/>
    <xf numFmtId="0" fontId="18" fillId="0" borderId="0" xfId="0" applyFont="1" applyFill="1" applyAlignment="1">
      <alignment vertical="top" wrapText="1"/>
    </xf>
    <xf numFmtId="0" fontId="18" fillId="0" borderId="0" xfId="0" applyFont="1" applyFill="1" applyAlignment="1">
      <alignment vertical="top"/>
    </xf>
    <xf numFmtId="0" fontId="8" fillId="0" borderId="3" xfId="0" applyFont="1" applyBorder="1" applyAlignment="1">
      <alignment wrapText="1"/>
    </xf>
    <xf numFmtId="166" fontId="0" fillId="0" borderId="0" xfId="0" applyNumberFormat="1" applyBorder="1"/>
    <xf numFmtId="2" fontId="0" fillId="0" borderId="0" xfId="0" applyNumberFormat="1" applyBorder="1"/>
    <xf numFmtId="0" fontId="17" fillId="19" borderId="16" xfId="0" applyFont="1" applyFill="1" applyBorder="1" applyAlignment="1">
      <alignment horizontal="left" vertical="top" wrapText="1"/>
    </xf>
    <xf numFmtId="0" fontId="17" fillId="19" borderId="13" xfId="0" applyFont="1" applyFill="1" applyBorder="1" applyAlignment="1">
      <alignment horizontal="left" vertical="top" wrapText="1"/>
    </xf>
    <xf numFmtId="0" fontId="17" fillId="19" borderId="4" xfId="0" applyFont="1" applyFill="1" applyBorder="1" applyAlignment="1">
      <alignment horizontal="left" vertical="top" wrapText="1"/>
    </xf>
    <xf numFmtId="0" fontId="13" fillId="0" borderId="0" xfId="0" applyFont="1" applyAlignment="1">
      <alignment horizontal="left" vertical="top"/>
    </xf>
    <xf numFmtId="0" fontId="13" fillId="0" borderId="0" xfId="0" applyFont="1" applyAlignment="1">
      <alignment horizontal="left" vertical="top" wrapText="1"/>
    </xf>
    <xf numFmtId="170" fontId="17" fillId="19" borderId="3" xfId="0" applyNumberFormat="1" applyFont="1" applyFill="1" applyBorder="1" applyAlignment="1">
      <alignment horizontal="left" vertical="top"/>
    </xf>
    <xf numFmtId="166" fontId="17" fillId="19" borderId="16" xfId="0" applyNumberFormat="1" applyFont="1" applyFill="1" applyBorder="1" applyAlignment="1">
      <alignment horizontal="left" vertical="top"/>
    </xf>
    <xf numFmtId="166" fontId="17" fillId="19" borderId="3" xfId="0" applyNumberFormat="1" applyFont="1" applyFill="1" applyBorder="1" applyAlignment="1">
      <alignment horizontal="left" vertical="top"/>
    </xf>
    <xf numFmtId="0" fontId="0" fillId="3" borderId="0" xfId="0" applyFill="1"/>
    <xf numFmtId="0" fontId="10" fillId="18" borderId="0" xfId="0" applyFont="1" applyFill="1" applyAlignment="1">
      <alignment horizontal="center"/>
    </xf>
    <xf numFmtId="0" fontId="10" fillId="3" borderId="0" xfId="0" applyFont="1" applyFill="1" applyAlignment="1">
      <alignment horizontal="center" vertical="center"/>
    </xf>
    <xf numFmtId="0" fontId="0" fillId="18" borderId="0" xfId="0" applyFill="1"/>
    <xf numFmtId="0" fontId="0" fillId="3" borderId="0" xfId="0" applyFill="1" applyBorder="1"/>
    <xf numFmtId="2" fontId="17" fillId="19" borderId="16" xfId="0" applyNumberFormat="1" applyFont="1" applyFill="1" applyBorder="1" applyAlignment="1">
      <alignment horizontal="left" vertical="top"/>
    </xf>
    <xf numFmtId="2" fontId="17" fillId="19" borderId="3" xfId="0" applyNumberFormat="1" applyFont="1" applyFill="1" applyBorder="1" applyAlignment="1">
      <alignment horizontal="left" vertical="top"/>
    </xf>
    <xf numFmtId="0" fontId="17" fillId="19" borderId="3" xfId="0" applyFont="1" applyFill="1" applyBorder="1" applyAlignment="1">
      <alignment horizontal="left" vertical="top" wrapText="1"/>
    </xf>
    <xf numFmtId="166" fontId="17" fillId="19" borderId="16" xfId="0" applyNumberFormat="1" applyFont="1" applyFill="1" applyBorder="1" applyAlignment="1">
      <alignment horizontal="center" vertical="top"/>
    </xf>
    <xf numFmtId="170" fontId="17" fillId="19" borderId="3" xfId="0" applyNumberFormat="1" applyFont="1" applyFill="1" applyBorder="1" applyAlignment="1">
      <alignment horizontal="center" vertical="top"/>
    </xf>
    <xf numFmtId="166" fontId="17" fillId="19" borderId="3" xfId="0" applyNumberFormat="1" applyFont="1" applyFill="1" applyBorder="1" applyAlignment="1">
      <alignment horizontal="center" vertical="top"/>
    </xf>
    <xf numFmtId="2" fontId="13" fillId="0" borderId="0" xfId="0" applyNumberFormat="1" applyFont="1" applyAlignment="1">
      <alignment horizontal="left" vertical="top"/>
    </xf>
    <xf numFmtId="2" fontId="13" fillId="0" borderId="0" xfId="0" applyNumberFormat="1" applyFont="1" applyAlignment="1">
      <alignment horizontal="left" vertical="top" wrapText="1"/>
    </xf>
    <xf numFmtId="2" fontId="17" fillId="19" borderId="16" xfId="0" applyNumberFormat="1" applyFont="1" applyFill="1" applyBorder="1" applyAlignment="1">
      <alignment horizontal="center" vertical="top"/>
    </xf>
    <xf numFmtId="2" fontId="17" fillId="19" borderId="3" xfId="0" applyNumberFormat="1" applyFont="1" applyFill="1" applyBorder="1" applyAlignment="1">
      <alignment horizontal="center" vertical="top"/>
    </xf>
    <xf numFmtId="170" fontId="13" fillId="0" borderId="0" xfId="0" applyNumberFormat="1" applyFont="1" applyAlignment="1">
      <alignment horizontal="left" vertical="top"/>
    </xf>
    <xf numFmtId="170" fontId="13" fillId="0" borderId="0" xfId="0" applyNumberFormat="1" applyFont="1" applyAlignment="1">
      <alignment horizontal="left" vertical="top" wrapText="1"/>
    </xf>
    <xf numFmtId="2" fontId="14" fillId="0" borderId="0" xfId="0" applyNumberFormat="1" applyFont="1" applyBorder="1" applyAlignment="1" applyProtection="1">
      <alignment horizontal="center" vertical="center" wrapText="1"/>
    </xf>
    <xf numFmtId="0" fontId="7" fillId="0" borderId="0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42" fillId="0" borderId="0" xfId="2"/>
    <xf numFmtId="0" fontId="42" fillId="9" borderId="0" xfId="2" applyFill="1"/>
    <xf numFmtId="0" fontId="42" fillId="12" borderId="0" xfId="2" applyFill="1"/>
    <xf numFmtId="0" fontId="42" fillId="12" borderId="0" xfId="2" quotePrefix="1" applyFill="1"/>
    <xf numFmtId="0" fontId="42" fillId="0" borderId="0" xfId="2" applyAlignment="1">
      <alignment vertical="top" wrapText="1"/>
    </xf>
    <xf numFmtId="0" fontId="0" fillId="0" borderId="0" xfId="0" applyFont="1"/>
    <xf numFmtId="0" fontId="0" fillId="0" borderId="0" xfId="0" applyFont="1" applyAlignment="1">
      <alignment wrapText="1"/>
    </xf>
    <xf numFmtId="2" fontId="14" fillId="0" borderId="3" xfId="0" applyNumberFormat="1" applyFont="1" applyBorder="1" applyAlignment="1">
      <alignment horizontal="center" vertical="center" wrapText="1" shrinkToFit="1"/>
    </xf>
    <xf numFmtId="0" fontId="14" fillId="0" borderId="3" xfId="0" applyFont="1" applyBorder="1" applyAlignment="1">
      <alignment horizontal="center" vertical="center" wrapText="1" shrinkToFit="1"/>
    </xf>
    <xf numFmtId="0" fontId="0" fillId="0" borderId="0" xfId="0" applyAlignment="1">
      <alignment vertical="center"/>
    </xf>
    <xf numFmtId="0" fontId="0" fillId="0" borderId="0" xfId="0" applyBorder="1" applyAlignment="1">
      <alignment vertical="center"/>
    </xf>
    <xf numFmtId="0" fontId="18" fillId="0" borderId="0" xfId="0" applyFont="1" applyFill="1" applyAlignment="1">
      <alignment vertical="center" wrapText="1"/>
    </xf>
    <xf numFmtId="0" fontId="17" fillId="0" borderId="3" xfId="0" applyFont="1" applyBorder="1" applyAlignment="1">
      <alignment horizontal="center" vertical="center" textRotation="90"/>
    </xf>
    <xf numFmtId="0" fontId="17" fillId="19" borderId="3" xfId="0" applyFont="1" applyFill="1" applyBorder="1" applyAlignment="1">
      <alignment horizontal="center" vertical="center" textRotation="90"/>
    </xf>
    <xf numFmtId="0" fontId="0" fillId="0" borderId="3" xfId="0" applyBorder="1" applyAlignment="1">
      <alignment horizontal="center" vertical="top" wrapText="1"/>
    </xf>
    <xf numFmtId="0" fontId="15" fillId="0" borderId="3" xfId="0" applyFont="1" applyBorder="1" applyAlignment="1">
      <alignment vertical="center"/>
    </xf>
    <xf numFmtId="0" fontId="0" fillId="0" borderId="0" xfId="0" applyAlignment="1"/>
    <xf numFmtId="0" fontId="0" fillId="0" borderId="17" xfId="0" applyBorder="1"/>
    <xf numFmtId="0" fontId="45" fillId="0" borderId="0" xfId="0" applyFont="1" applyBorder="1"/>
    <xf numFmtId="0" fontId="0" fillId="0" borderId="16" xfId="0" applyBorder="1"/>
    <xf numFmtId="0" fontId="0" fillId="0" borderId="13" xfId="0" applyBorder="1"/>
    <xf numFmtId="0" fontId="0" fillId="0" borderId="9" xfId="0" applyBorder="1"/>
    <xf numFmtId="0" fontId="0" fillId="0" borderId="18" xfId="0" applyBorder="1"/>
    <xf numFmtId="0" fontId="0" fillId="0" borderId="19" xfId="0" applyBorder="1"/>
    <xf numFmtId="0" fontId="0" fillId="0" borderId="21" xfId="0" applyBorder="1"/>
    <xf numFmtId="0" fontId="45" fillId="0" borderId="21" xfId="0" applyFont="1" applyBorder="1"/>
    <xf numFmtId="0" fontId="0" fillId="0" borderId="0" xfId="0"/>
    <xf numFmtId="0" fontId="0" fillId="0" borderId="0" xfId="0" applyBorder="1" applyAlignment="1">
      <alignment horizontal="left" vertical="top" wrapText="1"/>
    </xf>
    <xf numFmtId="0" fontId="0" fillId="20" borderId="3" xfId="0" applyFont="1" applyFill="1" applyBorder="1" applyAlignment="1">
      <alignment wrapText="1"/>
    </xf>
    <xf numFmtId="0" fontId="0" fillId="0" borderId="0" xfId="0" applyBorder="1" applyAlignment="1"/>
    <xf numFmtId="0" fontId="0" fillId="0" borderId="0" xfId="0" applyBorder="1" applyAlignment="1">
      <alignment horizontal="right"/>
    </xf>
    <xf numFmtId="0" fontId="47" fillId="0" borderId="0" xfId="0" applyFont="1" applyAlignment="1">
      <alignment horizontal="left" vertical="top" wrapText="1"/>
    </xf>
    <xf numFmtId="0" fontId="0" fillId="0" borderId="0" xfId="0"/>
    <xf numFmtId="0" fontId="10" fillId="0" borderId="0" xfId="0" applyFont="1"/>
    <xf numFmtId="0" fontId="14" fillId="0" borderId="3" xfId="0" applyFont="1" applyBorder="1" applyAlignment="1">
      <alignment horizontal="center" vertical="center" wrapText="1"/>
    </xf>
    <xf numFmtId="2" fontId="14" fillId="0" borderId="3" xfId="0" applyNumberFormat="1" applyFont="1" applyBorder="1" applyAlignment="1">
      <alignment horizontal="left" vertical="top" wrapText="1"/>
    </xf>
    <xf numFmtId="169" fontId="0" fillId="0" borderId="0" xfId="0" applyNumberFormat="1"/>
    <xf numFmtId="172" fontId="0" fillId="0" borderId="0" xfId="0" applyNumberFormat="1"/>
    <xf numFmtId="172" fontId="0" fillId="0" borderId="0" xfId="0" applyNumberFormat="1" applyAlignment="1">
      <alignment horizontal="center"/>
    </xf>
    <xf numFmtId="0" fontId="0" fillId="4" borderId="11" xfId="0" applyFill="1" applyBorder="1" applyAlignment="1">
      <alignment horizontal="center"/>
    </xf>
    <xf numFmtId="2" fontId="0" fillId="4" borderId="3" xfId="0" applyNumberFormat="1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19" borderId="0" xfId="0" quotePrefix="1" applyFill="1"/>
    <xf numFmtId="0" fontId="0" fillId="0" borderId="22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9" xfId="0" applyBorder="1"/>
    <xf numFmtId="0" fontId="0" fillId="0" borderId="30" xfId="0" applyBorder="1"/>
    <xf numFmtId="0" fontId="45" fillId="0" borderId="30" xfId="0" applyFont="1" applyBorder="1"/>
    <xf numFmtId="0" fontId="0" fillId="0" borderId="31" xfId="0" applyBorder="1"/>
    <xf numFmtId="0" fontId="0" fillId="0" borderId="3" xfId="0" applyBorder="1" applyAlignment="1">
      <alignment horizontal="center"/>
    </xf>
    <xf numFmtId="0" fontId="10" fillId="0" borderId="21" xfId="0" applyFont="1" applyBorder="1"/>
    <xf numFmtId="2" fontId="14" fillId="0" borderId="0" xfId="0" applyNumberFormat="1" applyFont="1" applyBorder="1" applyAlignment="1">
      <alignment horizontal="center" vertical="center" wrapText="1" shrinkToFit="1"/>
    </xf>
    <xf numFmtId="0" fontId="32" fillId="19" borderId="3" xfId="0" applyNumberFormat="1" applyFont="1" applyFill="1" applyBorder="1" applyAlignment="1">
      <alignment horizontal="center" vertical="top" wrapText="1"/>
    </xf>
    <xf numFmtId="2" fontId="32" fillId="19" borderId="3" xfId="0" applyNumberFormat="1" applyFont="1" applyFill="1" applyBorder="1" applyAlignment="1">
      <alignment horizontal="center" vertical="center" wrapText="1"/>
    </xf>
    <xf numFmtId="0" fontId="32" fillId="19" borderId="12" xfId="0" applyNumberFormat="1" applyFont="1" applyFill="1" applyBorder="1" applyAlignment="1">
      <alignment horizontal="center" vertical="center" wrapText="1"/>
    </xf>
    <xf numFmtId="0" fontId="32" fillId="19" borderId="3" xfId="0" applyNumberFormat="1" applyFont="1" applyFill="1" applyBorder="1" applyAlignment="1">
      <alignment horizontal="center" vertical="center" wrapText="1"/>
    </xf>
    <xf numFmtId="0" fontId="32" fillId="19" borderId="0" xfId="0" applyNumberFormat="1" applyFont="1" applyFill="1" applyBorder="1" applyAlignment="1">
      <alignment horizontal="center" vertical="center"/>
    </xf>
    <xf numFmtId="0" fontId="32" fillId="0" borderId="3" xfId="0" applyNumberFormat="1" applyFont="1" applyBorder="1" applyAlignment="1">
      <alignment horizontal="center" vertical="center" wrapText="1"/>
    </xf>
    <xf numFmtId="0" fontId="38" fillId="0" borderId="0" xfId="0" applyFont="1"/>
    <xf numFmtId="0" fontId="32" fillId="0" borderId="3" xfId="0" applyFont="1" applyBorder="1" applyAlignment="1">
      <alignment horizontal="center" vertical="center" wrapText="1" shrinkToFit="1"/>
    </xf>
    <xf numFmtId="2" fontId="32" fillId="0" borderId="3" xfId="0" applyNumberFormat="1" applyFont="1" applyBorder="1" applyAlignment="1">
      <alignment horizontal="center" vertical="center" wrapText="1" shrinkToFit="1"/>
    </xf>
    <xf numFmtId="2" fontId="32" fillId="0" borderId="13" xfId="0" applyNumberFormat="1" applyFont="1" applyBorder="1" applyAlignment="1">
      <alignment horizontal="center" vertical="center" wrapText="1" shrinkToFit="1"/>
    </xf>
    <xf numFmtId="0" fontId="38" fillId="0" borderId="0" xfId="0" applyFont="1" applyBorder="1"/>
    <xf numFmtId="0" fontId="38" fillId="19" borderId="0" xfId="0" applyFont="1" applyFill="1"/>
    <xf numFmtId="2" fontId="32" fillId="0" borderId="0" xfId="0" applyNumberFormat="1" applyFont="1" applyBorder="1" applyAlignment="1">
      <alignment horizontal="center" vertical="center" wrapText="1" shrinkToFit="1"/>
    </xf>
    <xf numFmtId="2" fontId="32" fillId="19" borderId="32" xfId="0" applyNumberFormat="1" applyFont="1" applyFill="1" applyBorder="1" applyAlignment="1">
      <alignment vertical="top" wrapText="1"/>
    </xf>
    <xf numFmtId="14" fontId="0" fillId="19" borderId="0" xfId="0" quotePrefix="1" applyNumberFormat="1" applyFill="1"/>
    <xf numFmtId="0" fontId="0" fillId="9" borderId="3" xfId="0" applyFont="1" applyFill="1" applyBorder="1" applyAlignment="1">
      <alignment horizontal="left" vertical="top" wrapText="1"/>
    </xf>
    <xf numFmtId="0" fontId="5" fillId="9" borderId="3" xfId="0" applyFont="1" applyFill="1" applyBorder="1" applyAlignment="1">
      <alignment horizontal="left" vertical="top" wrapText="1"/>
    </xf>
    <xf numFmtId="0" fontId="0" fillId="18" borderId="0" xfId="0" applyFont="1" applyFill="1"/>
    <xf numFmtId="0" fontId="0" fillId="0" borderId="0" xfId="0" applyFont="1" applyFill="1" applyBorder="1" applyAlignment="1">
      <alignment wrapText="1"/>
    </xf>
    <xf numFmtId="0" fontId="0" fillId="7" borderId="0" xfId="0" applyFont="1" applyFill="1"/>
    <xf numFmtId="0" fontId="0" fillId="18" borderId="22" xfId="0" applyFont="1" applyFill="1" applyBorder="1" applyAlignment="1">
      <alignment wrapText="1"/>
    </xf>
    <xf numFmtId="0" fontId="0" fillId="18" borderId="24" xfId="0" applyFont="1" applyFill="1" applyBorder="1"/>
    <xf numFmtId="0" fontId="0" fillId="18" borderId="25" xfId="0" applyFont="1" applyFill="1" applyBorder="1"/>
    <xf numFmtId="0" fontId="0" fillId="18" borderId="26" xfId="0" applyFont="1" applyFill="1" applyBorder="1"/>
    <xf numFmtId="0" fontId="0" fillId="18" borderId="0" xfId="0" applyFont="1" applyFill="1" applyBorder="1"/>
    <xf numFmtId="0" fontId="0" fillId="18" borderId="29" xfId="0" applyFont="1" applyFill="1" applyBorder="1"/>
    <xf numFmtId="0" fontId="0" fillId="18" borderId="31" xfId="0" applyFont="1" applyFill="1" applyBorder="1"/>
    <xf numFmtId="0" fontId="0" fillId="0" borderId="0" xfId="0"/>
    <xf numFmtId="0" fontId="0" fillId="20" borderId="4" xfId="0" applyFont="1" applyFill="1" applyBorder="1" applyAlignment="1">
      <alignment wrapText="1"/>
    </xf>
    <xf numFmtId="0" fontId="28" fillId="0" borderId="3" xfId="0" applyFont="1" applyBorder="1" applyAlignment="1">
      <alignment horizontal="center" wrapText="1"/>
    </xf>
    <xf numFmtId="2" fontId="14" fillId="0" borderId="3" xfId="0" applyNumberFormat="1" applyFont="1" applyBorder="1" applyAlignment="1" applyProtection="1">
      <alignment horizontal="center" vertical="center" wrapText="1"/>
    </xf>
    <xf numFmtId="0" fontId="20" fillId="0" borderId="3" xfId="0" applyFont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4" fillId="0" borderId="3" xfId="0" applyFont="1" applyBorder="1" applyAlignment="1">
      <alignment horizontal="center"/>
    </xf>
    <xf numFmtId="0" fontId="25" fillId="19" borderId="3" xfId="0" applyFont="1" applyFill="1" applyBorder="1" applyAlignment="1">
      <alignment horizontal="center"/>
    </xf>
    <xf numFmtId="2" fontId="0" fillId="19" borderId="3" xfId="0" applyNumberFormat="1" applyFill="1" applyBorder="1" applyAlignment="1">
      <alignment horizontal="center" vertical="center"/>
    </xf>
    <xf numFmtId="0" fontId="27" fillId="19" borderId="3" xfId="0" applyFont="1" applyFill="1" applyBorder="1" applyAlignment="1">
      <alignment horizontal="center"/>
    </xf>
    <xf numFmtId="2" fontId="0" fillId="0" borderId="3" xfId="0" applyNumberFormat="1" applyBorder="1" applyAlignment="1">
      <alignment horizontal="center" vertical="center"/>
    </xf>
    <xf numFmtId="0" fontId="14" fillId="0" borderId="5" xfId="0" applyFont="1" applyBorder="1" applyAlignment="1">
      <alignment horizontal="center" vertical="center" wrapText="1"/>
    </xf>
    <xf numFmtId="0" fontId="28" fillId="0" borderId="5" xfId="0" applyFont="1" applyBorder="1" applyAlignment="1">
      <alignment horizontal="center" wrapText="1"/>
    </xf>
    <xf numFmtId="0" fontId="28" fillId="0" borderId="5" xfId="0" applyFont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0" fontId="14" fillId="0" borderId="36" xfId="0" applyFont="1" applyBorder="1" applyAlignment="1">
      <alignment horizontal="center" wrapText="1"/>
    </xf>
    <xf numFmtId="2" fontId="0" fillId="19" borderId="4" xfId="0" applyNumberFormat="1" applyFill="1" applyBorder="1" applyAlignment="1">
      <alignment horizontal="center" vertical="center"/>
    </xf>
    <xf numFmtId="0" fontId="27" fillId="19" borderId="12" xfId="0" applyFont="1" applyFill="1" applyBorder="1" applyAlignment="1">
      <alignment horizontal="center"/>
    </xf>
    <xf numFmtId="0" fontId="27" fillId="19" borderId="5" xfId="0" applyFont="1" applyFill="1" applyBorder="1" applyAlignment="1">
      <alignment horizontal="center"/>
    </xf>
    <xf numFmtId="0" fontId="36" fillId="22" borderId="1" xfId="0" applyFont="1" applyFill="1" applyBorder="1"/>
    <xf numFmtId="0" fontId="51" fillId="18" borderId="33" xfId="0" applyFont="1" applyFill="1" applyBorder="1"/>
    <xf numFmtId="0" fontId="51" fillId="18" borderId="34" xfId="0" applyFont="1" applyFill="1" applyBorder="1"/>
    <xf numFmtId="0" fontId="0" fillId="4" borderId="3" xfId="0" applyFont="1" applyFill="1" applyBorder="1" applyAlignment="1">
      <alignment wrapText="1"/>
    </xf>
    <xf numFmtId="0" fontId="0" fillId="4" borderId="3" xfId="0" applyFont="1" applyFill="1" applyBorder="1" applyAlignment="1">
      <alignment horizontal="left" vertical="top" wrapText="1"/>
    </xf>
    <xf numFmtId="0" fontId="0" fillId="19" borderId="3" xfId="0" applyFont="1" applyFill="1" applyBorder="1" applyAlignment="1">
      <alignment wrapText="1"/>
    </xf>
    <xf numFmtId="0" fontId="0" fillId="19" borderId="3" xfId="0" applyFont="1" applyFill="1" applyBorder="1" applyAlignment="1">
      <alignment horizontal="left" vertical="top" wrapText="1"/>
    </xf>
    <xf numFmtId="0" fontId="0" fillId="18" borderId="15" xfId="0" applyFont="1" applyFill="1" applyBorder="1"/>
    <xf numFmtId="0" fontId="0" fillId="18" borderId="22" xfId="0" applyFont="1" applyFill="1" applyBorder="1"/>
    <xf numFmtId="0" fontId="0" fillId="18" borderId="37" xfId="0" applyFont="1" applyFill="1" applyBorder="1"/>
    <xf numFmtId="0" fontId="36" fillId="18" borderId="1" xfId="0" applyFont="1" applyFill="1" applyBorder="1"/>
    <xf numFmtId="0" fontId="0" fillId="4" borderId="0" xfId="0" applyFont="1" applyFill="1"/>
    <xf numFmtId="0" fontId="0" fillId="4" borderId="3" xfId="0" applyFont="1" applyFill="1" applyBorder="1" applyAlignment="1">
      <alignment vertical="top" wrapText="1"/>
    </xf>
    <xf numFmtId="0" fontId="0" fillId="4" borderId="3" xfId="0" applyFont="1" applyFill="1" applyBorder="1"/>
    <xf numFmtId="0" fontId="0" fillId="23" borderId="3" xfId="0" applyFont="1" applyFill="1" applyBorder="1" applyAlignment="1">
      <alignment wrapText="1"/>
    </xf>
    <xf numFmtId="0" fontId="0" fillId="23" borderId="3" xfId="0" applyFont="1" applyFill="1" applyBorder="1" applyAlignment="1">
      <alignment horizontal="left" vertical="top" wrapText="1"/>
    </xf>
    <xf numFmtId="0" fontId="0" fillId="9" borderId="22" xfId="0" applyFont="1" applyFill="1" applyBorder="1"/>
    <xf numFmtId="0" fontId="0" fillId="9" borderId="37" xfId="0" applyFont="1" applyFill="1" applyBorder="1"/>
    <xf numFmtId="0" fontId="0" fillId="9" borderId="24" xfId="0" applyFont="1" applyFill="1" applyBorder="1"/>
    <xf numFmtId="0" fontId="0" fillId="9" borderId="38" xfId="0" applyFont="1" applyFill="1" applyBorder="1" applyAlignment="1">
      <alignment horizontal="left" vertical="top" wrapText="1"/>
    </xf>
    <xf numFmtId="0" fontId="0" fillId="9" borderId="39" xfId="0" applyFont="1" applyFill="1" applyBorder="1" applyAlignment="1">
      <alignment horizontal="left" vertical="top" wrapText="1"/>
    </xf>
    <xf numFmtId="0" fontId="0" fillId="9" borderId="40" xfId="0" applyFont="1" applyFill="1" applyBorder="1" applyAlignment="1">
      <alignment wrapText="1"/>
    </xf>
    <xf numFmtId="0" fontId="0" fillId="9" borderId="41" xfId="0" applyFont="1" applyFill="1" applyBorder="1" applyAlignment="1">
      <alignment wrapText="1"/>
    </xf>
    <xf numFmtId="0" fontId="11" fillId="9" borderId="41" xfId="0" applyFont="1" applyFill="1" applyBorder="1" applyAlignment="1">
      <alignment wrapText="1"/>
    </xf>
    <xf numFmtId="0" fontId="0" fillId="9" borderId="41" xfId="0" applyNumberFormat="1" applyFont="1" applyFill="1" applyBorder="1"/>
    <xf numFmtId="49" fontId="0" fillId="9" borderId="41" xfId="0" applyNumberFormat="1" applyFont="1" applyFill="1" applyBorder="1" applyAlignment="1">
      <alignment wrapText="1"/>
    </xf>
    <xf numFmtId="0" fontId="0" fillId="9" borderId="42" xfId="0" applyFont="1" applyFill="1" applyBorder="1" applyAlignment="1">
      <alignment wrapText="1"/>
    </xf>
    <xf numFmtId="0" fontId="11" fillId="5" borderId="43" xfId="0" applyFont="1" applyFill="1" applyBorder="1" applyAlignment="1">
      <alignment wrapText="1"/>
    </xf>
    <xf numFmtId="0" fontId="0" fillId="21" borderId="44" xfId="0" applyFill="1" applyBorder="1" applyAlignment="1">
      <alignment horizontal="left" vertical="top" wrapText="1"/>
    </xf>
    <xf numFmtId="0" fontId="0" fillId="21" borderId="45" xfId="0" applyFill="1" applyBorder="1" applyAlignment="1">
      <alignment horizontal="left" vertical="top" wrapText="1"/>
    </xf>
    <xf numFmtId="0" fontId="0" fillId="21" borderId="46" xfId="0" applyFill="1" applyBorder="1" applyAlignment="1">
      <alignment horizontal="left" vertical="top" wrapText="1"/>
    </xf>
    <xf numFmtId="0" fontId="0" fillId="21" borderId="38" xfId="0" applyFill="1" applyBorder="1" applyAlignment="1">
      <alignment wrapText="1"/>
    </xf>
    <xf numFmtId="0" fontId="0" fillId="6" borderId="44" xfId="0" applyFont="1" applyFill="1" applyBorder="1" applyAlignment="1">
      <alignment vertical="top" wrapText="1"/>
    </xf>
    <xf numFmtId="0" fontId="0" fillId="6" borderId="45" xfId="0" applyFont="1" applyFill="1" applyBorder="1" applyAlignment="1">
      <alignment vertical="top" wrapText="1"/>
    </xf>
    <xf numFmtId="0" fontId="0" fillId="6" borderId="46" xfId="0" applyFont="1" applyFill="1" applyBorder="1" applyAlignment="1">
      <alignment vertical="top" wrapText="1"/>
    </xf>
    <xf numFmtId="0" fontId="0" fillId="6" borderId="40" xfId="0" applyFont="1" applyFill="1" applyBorder="1"/>
    <xf numFmtId="0" fontId="0" fillId="6" borderId="41" xfId="0" applyFont="1" applyFill="1" applyBorder="1"/>
    <xf numFmtId="0" fontId="0" fillId="6" borderId="42" xfId="0" applyFont="1" applyFill="1" applyBorder="1"/>
    <xf numFmtId="0" fontId="11" fillId="5" borderId="2" xfId="0" applyFont="1" applyFill="1" applyBorder="1" applyAlignment="1">
      <alignment wrapText="1"/>
    </xf>
    <xf numFmtId="2" fontId="0" fillId="19" borderId="5" xfId="0" applyNumberFormat="1" applyFill="1" applyBorder="1" applyAlignment="1">
      <alignment horizontal="center" vertical="center"/>
    </xf>
    <xf numFmtId="0" fontId="27" fillId="19" borderId="5" xfId="0" applyFont="1" applyFill="1" applyBorder="1" applyAlignment="1" applyProtection="1">
      <alignment horizontal="center"/>
      <protection locked="0"/>
    </xf>
    <xf numFmtId="0" fontId="0" fillId="0" borderId="0" xfId="0"/>
    <xf numFmtId="0" fontId="42" fillId="0" borderId="0" xfId="2" applyFill="1"/>
    <xf numFmtId="0" fontId="42" fillId="0" borderId="0" xfId="2" applyNumberFormat="1" applyFont="1" applyBorder="1" applyAlignment="1">
      <alignment horizontal="right"/>
    </xf>
    <xf numFmtId="0" fontId="42" fillId="0" borderId="0" xfId="2" applyAlignment="1">
      <alignment horizontal="left" vertical="top"/>
    </xf>
    <xf numFmtId="0" fontId="42" fillId="0" borderId="0" xfId="2" applyNumberFormat="1" applyAlignment="1">
      <alignment horizontal="left" vertical="top"/>
    </xf>
    <xf numFmtId="0" fontId="42" fillId="0" borderId="0" xfId="2" applyNumberFormat="1" applyFont="1" applyBorder="1" applyAlignment="1">
      <alignment horizontal="left" vertical="top"/>
    </xf>
    <xf numFmtId="0" fontId="42" fillId="0" borderId="0" xfId="2" applyNumberFormat="1" applyFill="1" applyAlignment="1">
      <alignment horizontal="left" vertical="top"/>
    </xf>
    <xf numFmtId="0" fontId="42" fillId="24" borderId="0" xfId="2" applyFill="1"/>
    <xf numFmtId="0" fontId="0" fillId="0" borderId="0" xfId="0"/>
    <xf numFmtId="0" fontId="10" fillId="0" borderId="0" xfId="0" applyFont="1"/>
    <xf numFmtId="0" fontId="7" fillId="0" borderId="0" xfId="0" applyFont="1" applyBorder="1" applyAlignment="1">
      <alignment horizontal="center" vertical="center"/>
    </xf>
    <xf numFmtId="0" fontId="14" fillId="0" borderId="3" xfId="0" applyFont="1" applyBorder="1" applyAlignment="1">
      <alignment horizontal="center" vertical="center" wrapText="1"/>
    </xf>
    <xf numFmtId="0" fontId="32" fillId="19" borderId="12" xfId="0" applyNumberFormat="1" applyFont="1" applyFill="1" applyBorder="1" applyAlignment="1">
      <alignment horizontal="center" vertical="center" wrapText="1"/>
    </xf>
    <xf numFmtId="0" fontId="0" fillId="0" borderId="0" xfId="0" applyFill="1" applyBorder="1"/>
    <xf numFmtId="0" fontId="0" fillId="0" borderId="3" xfId="0" applyBorder="1" applyAlignment="1">
      <alignment horizontal="center"/>
    </xf>
    <xf numFmtId="0" fontId="0" fillId="7" borderId="0" xfId="0" applyFont="1" applyFill="1" applyBorder="1" applyAlignment="1">
      <alignment wrapText="1"/>
    </xf>
    <xf numFmtId="0" fontId="0" fillId="18" borderId="3" xfId="0" applyFont="1" applyFill="1" applyBorder="1"/>
    <xf numFmtId="0" fontId="0" fillId="18" borderId="3" xfId="0" applyFont="1" applyFill="1" applyBorder="1" applyAlignment="1">
      <alignment wrapText="1"/>
    </xf>
    <xf numFmtId="0" fontId="3" fillId="0" borderId="0" xfId="0" applyFont="1" applyAlignment="1">
      <alignment horizontal="left" vertical="top"/>
    </xf>
    <xf numFmtId="0" fontId="0" fillId="22" borderId="2" xfId="0" applyFont="1" applyFill="1" applyBorder="1"/>
    <xf numFmtId="0" fontId="0" fillId="22" borderId="1" xfId="0" applyFont="1" applyFill="1" applyBorder="1"/>
    <xf numFmtId="0" fontId="17" fillId="0" borderId="5" xfId="0" applyFont="1" applyBorder="1" applyAlignment="1">
      <alignment horizontal="center" vertical="top" wrapText="1"/>
    </xf>
    <xf numFmtId="0" fontId="17" fillId="0" borderId="5" xfId="0" applyFont="1" applyBorder="1" applyAlignment="1">
      <alignment horizontal="center" vertical="center" wrapText="1"/>
    </xf>
    <xf numFmtId="166" fontId="17" fillId="0" borderId="5" xfId="0" applyNumberFormat="1" applyFont="1" applyBorder="1" applyAlignment="1">
      <alignment horizontal="center" vertical="center" wrapText="1"/>
    </xf>
    <xf numFmtId="2" fontId="17" fillId="0" borderId="5" xfId="0" applyNumberFormat="1" applyFont="1" applyBorder="1" applyAlignment="1">
      <alignment horizontal="center" vertical="center" wrapText="1"/>
    </xf>
    <xf numFmtId="170" fontId="17" fillId="0" borderId="5" xfId="0" applyNumberFormat="1" applyFont="1" applyBorder="1" applyAlignment="1">
      <alignment horizontal="center" vertical="center" wrapText="1"/>
    </xf>
    <xf numFmtId="2" fontId="14" fillId="0" borderId="3" xfId="0" applyNumberFormat="1" applyFont="1" applyBorder="1" applyAlignment="1">
      <alignment horizontal="center" vertical="center" wrapText="1"/>
    </xf>
    <xf numFmtId="0" fontId="32" fillId="19" borderId="12" xfId="0" applyNumberFormat="1" applyFont="1" applyFill="1" applyBorder="1" applyAlignment="1">
      <alignment horizontal="center" vertical="top" wrapText="1"/>
    </xf>
    <xf numFmtId="2" fontId="32" fillId="19" borderId="0" xfId="0" applyNumberFormat="1" applyFont="1" applyFill="1" applyBorder="1" applyAlignment="1">
      <alignment horizontal="center" vertical="center" wrapText="1"/>
    </xf>
    <xf numFmtId="0" fontId="38" fillId="19" borderId="3" xfId="0" applyFont="1" applyFill="1" applyBorder="1" applyAlignment="1">
      <alignment horizontal="center" vertical="center" wrapText="1"/>
    </xf>
    <xf numFmtId="2" fontId="32" fillId="19" borderId="3" xfId="0" applyNumberFormat="1" applyFont="1" applyFill="1" applyBorder="1" applyAlignment="1">
      <alignment horizontal="left" vertical="center" wrapText="1"/>
    </xf>
    <xf numFmtId="0" fontId="32" fillId="19" borderId="3" xfId="0" applyNumberFormat="1" applyFont="1" applyFill="1" applyBorder="1" applyAlignment="1">
      <alignment horizontal="left" vertical="center" wrapText="1"/>
    </xf>
    <xf numFmtId="2" fontId="32" fillId="19" borderId="5" xfId="0" applyNumberFormat="1" applyFont="1" applyFill="1" applyBorder="1" applyAlignment="1">
      <alignment horizontal="left" vertical="center" wrapText="1"/>
    </xf>
    <xf numFmtId="0" fontId="38" fillId="19" borderId="3" xfId="0" applyFont="1" applyFill="1" applyBorder="1" applyAlignment="1">
      <alignment horizontal="left" vertical="center" wrapText="1"/>
    </xf>
    <xf numFmtId="0" fontId="32" fillId="0" borderId="3" xfId="0" applyFont="1" applyBorder="1" applyAlignment="1">
      <alignment horizontal="left" vertical="center" wrapText="1"/>
    </xf>
    <xf numFmtId="2" fontId="32" fillId="0" borderId="3" xfId="0" applyNumberFormat="1" applyFont="1" applyBorder="1" applyAlignment="1">
      <alignment horizontal="left" vertical="center" wrapText="1"/>
    </xf>
    <xf numFmtId="0" fontId="38" fillId="0" borderId="3" xfId="0" applyFont="1" applyBorder="1" applyAlignment="1">
      <alignment horizontal="left" vertical="center"/>
    </xf>
    <xf numFmtId="0" fontId="38" fillId="0" borderId="3" xfId="0" applyFont="1" applyBorder="1" applyAlignment="1">
      <alignment horizontal="left" vertical="center" wrapText="1"/>
    </xf>
    <xf numFmtId="0" fontId="45" fillId="0" borderId="30" xfId="0" applyFont="1" applyBorder="1" applyAlignment="1">
      <alignment vertical="top"/>
    </xf>
    <xf numFmtId="0" fontId="45" fillId="0" borderId="0" xfId="0" applyFont="1" applyAlignment="1">
      <alignment vertical="top"/>
    </xf>
    <xf numFmtId="0" fontId="45" fillId="0" borderId="13" xfId="0" applyFont="1" applyBorder="1" applyAlignment="1">
      <alignment vertical="top"/>
    </xf>
    <xf numFmtId="2" fontId="42" fillId="0" borderId="0" xfId="2" applyNumberFormat="1"/>
    <xf numFmtId="0" fontId="13" fillId="0" borderId="3" xfId="0" applyFont="1" applyBorder="1" applyAlignment="1">
      <alignment horizontal="center" vertical="center"/>
    </xf>
    <xf numFmtId="2" fontId="13" fillId="0" borderId="3" xfId="0" applyNumberFormat="1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" fontId="32" fillId="19" borderId="3" xfId="0" applyNumberFormat="1" applyFont="1" applyFill="1" applyBorder="1" applyAlignment="1">
      <alignment horizontal="center" vertical="center"/>
    </xf>
    <xf numFmtId="2" fontId="32" fillId="19" borderId="3" xfId="0" applyNumberFormat="1" applyFont="1" applyFill="1" applyBorder="1" applyAlignment="1">
      <alignment horizontal="center" vertical="center"/>
    </xf>
    <xf numFmtId="0" fontId="32" fillId="19" borderId="3" xfId="0" applyNumberFormat="1" applyFont="1" applyFill="1" applyBorder="1" applyAlignment="1">
      <alignment horizontal="center" vertical="center"/>
    </xf>
    <xf numFmtId="2" fontId="32" fillId="19" borderId="3" xfId="0" applyNumberFormat="1" applyFont="1" applyFill="1" applyBorder="1" applyAlignment="1">
      <alignment horizontal="center" vertical="top"/>
    </xf>
    <xf numFmtId="173" fontId="0" fillId="0" borderId="0" xfId="0" applyNumberFormat="1"/>
    <xf numFmtId="173" fontId="17" fillId="0" borderId="5" xfId="0" applyNumberFormat="1" applyFont="1" applyBorder="1" applyAlignment="1">
      <alignment horizontal="center" vertical="center" wrapText="1"/>
    </xf>
    <xf numFmtId="173" fontId="13" fillId="19" borderId="3" xfId="0" applyNumberFormat="1" applyFont="1" applyFill="1" applyBorder="1" applyAlignment="1">
      <alignment horizontal="center" vertical="top" wrapText="1"/>
    </xf>
    <xf numFmtId="173" fontId="13" fillId="0" borderId="0" xfId="0" applyNumberFormat="1" applyFont="1" applyAlignment="1">
      <alignment horizontal="center" vertical="top"/>
    </xf>
    <xf numFmtId="173" fontId="13" fillId="0" borderId="0" xfId="0" applyNumberFormat="1" applyFont="1" applyAlignment="1">
      <alignment vertical="top" wrapText="1"/>
    </xf>
    <xf numFmtId="173" fontId="0" fillId="0" borderId="0" xfId="0" applyNumberFormat="1" applyBorder="1"/>
    <xf numFmtId="0" fontId="45" fillId="0" borderId="13" xfId="0" applyFont="1" applyBorder="1" applyAlignment="1">
      <alignment horizontal="right" vertical="top"/>
    </xf>
    <xf numFmtId="0" fontId="0" fillId="0" borderId="0" xfId="0"/>
    <xf numFmtId="0" fontId="52" fillId="0" borderId="0" xfId="0" applyFont="1" applyAlignment="1"/>
    <xf numFmtId="0" fontId="52" fillId="0" borderId="0" xfId="0" applyFont="1"/>
    <xf numFmtId="0" fontId="14" fillId="0" borderId="3" xfId="0" applyNumberFormat="1" applyFont="1" applyBorder="1" applyAlignment="1">
      <alignment horizontal="center" vertical="center" wrapText="1"/>
    </xf>
    <xf numFmtId="0" fontId="0" fillId="0" borderId="16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17" xfId="0" applyBorder="1" applyAlignment="1">
      <alignment horizontal="center" wrapText="1"/>
    </xf>
    <xf numFmtId="0" fontId="0" fillId="0" borderId="19" xfId="0" applyBorder="1" applyAlignment="1">
      <alignment horizontal="center" wrapText="1"/>
    </xf>
    <xf numFmtId="0" fontId="0" fillId="0" borderId="23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0" xfId="0" quotePrefix="1"/>
    <xf numFmtId="0" fontId="5" fillId="0" borderId="0" xfId="0" applyFont="1" applyAlignment="1">
      <alignment horizontal="left" vertical="top"/>
    </xf>
    <xf numFmtId="0" fontId="5" fillId="0" borderId="0" xfId="0" applyFont="1" applyAlignment="1">
      <alignment horizontal="left" vertical="top" wrapText="1"/>
    </xf>
    <xf numFmtId="0" fontId="10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0" xfId="0" applyAlignment="1">
      <alignment horizontal="right" vertical="top" wrapText="1"/>
    </xf>
    <xf numFmtId="0" fontId="0" fillId="0" borderId="0" xfId="0"/>
    <xf numFmtId="0" fontId="38" fillId="0" borderId="3" xfId="0" applyFont="1" applyBorder="1" applyAlignment="1">
      <alignment horizontal="center" wrapText="1"/>
    </xf>
    <xf numFmtId="0" fontId="0" fillId="0" borderId="0" xfId="0" applyFont="1" applyAlignment="1">
      <alignment horizontal="left" vertical="top" wrapText="1"/>
    </xf>
    <xf numFmtId="0" fontId="43" fillId="0" borderId="0" xfId="0" applyFont="1" applyAlignment="1">
      <alignment horizontal="center" vertical="top"/>
    </xf>
    <xf numFmtId="0" fontId="0" fillId="0" borderId="0" xfId="0" quotePrefix="1" applyBorder="1" applyAlignment="1">
      <alignment horizontal="left" vertical="top"/>
    </xf>
    <xf numFmtId="0" fontId="38" fillId="0" borderId="11" xfId="0" applyFont="1" applyBorder="1" applyAlignment="1">
      <alignment horizontal="center" vertical="center" wrapText="1"/>
    </xf>
    <xf numFmtId="0" fontId="38" fillId="0" borderId="10" xfId="0" applyFont="1" applyBorder="1" applyAlignment="1">
      <alignment horizontal="center" vertical="center" wrapText="1"/>
    </xf>
    <xf numFmtId="0" fontId="38" fillId="0" borderId="4" xfId="0" applyFont="1" applyBorder="1" applyAlignment="1">
      <alignment horizontal="center" vertical="center" wrapText="1"/>
    </xf>
    <xf numFmtId="0" fontId="38" fillId="0" borderId="3" xfId="0" applyFont="1" applyBorder="1" applyAlignment="1">
      <alignment horizontal="center" vertical="center"/>
    </xf>
    <xf numFmtId="0" fontId="38" fillId="0" borderId="3" xfId="0" applyFont="1" applyBorder="1" applyAlignment="1">
      <alignment vertical="top" wrapText="1"/>
    </xf>
    <xf numFmtId="0" fontId="38" fillId="0" borderId="3" xfId="0" applyFont="1" applyBorder="1" applyAlignment="1">
      <alignment horizontal="center" vertical="center" wrapText="1"/>
    </xf>
    <xf numFmtId="0" fontId="0" fillId="0" borderId="0" xfId="0" quotePrefix="1" applyBorder="1" applyAlignment="1">
      <alignment horizontal="left" vertical="top" wrapText="1"/>
    </xf>
    <xf numFmtId="0" fontId="0" fillId="19" borderId="0" xfId="0" quotePrefix="1" applyFill="1"/>
    <xf numFmtId="0" fontId="10" fillId="0" borderId="0" xfId="0" quotePrefix="1" applyFont="1"/>
    <xf numFmtId="0" fontId="38" fillId="0" borderId="11" xfId="0" applyFont="1" applyBorder="1" applyAlignment="1">
      <alignment horizontal="center" vertical="center"/>
    </xf>
    <xf numFmtId="0" fontId="38" fillId="0" borderId="4" xfId="0" applyFont="1" applyBorder="1" applyAlignment="1">
      <alignment horizontal="center" vertical="center"/>
    </xf>
    <xf numFmtId="0" fontId="38" fillId="0" borderId="10" xfId="0" applyFont="1" applyBorder="1" applyAlignment="1">
      <alignment horizontal="center" vertical="center"/>
    </xf>
    <xf numFmtId="0" fontId="38" fillId="0" borderId="11" xfId="0" applyFont="1" applyBorder="1" applyAlignment="1">
      <alignment vertical="top" wrapText="1"/>
    </xf>
    <xf numFmtId="0" fontId="38" fillId="0" borderId="10" xfId="0" applyFont="1" applyBorder="1" applyAlignment="1">
      <alignment vertical="top" wrapText="1"/>
    </xf>
    <xf numFmtId="0" fontId="38" fillId="0" borderId="4" xfId="0" applyFont="1" applyBorder="1" applyAlignment="1">
      <alignment vertical="top" wrapText="1"/>
    </xf>
    <xf numFmtId="0" fontId="38" fillId="0" borderId="16" xfId="0" applyFont="1" applyBorder="1" applyAlignment="1">
      <alignment horizontal="center" vertical="center"/>
    </xf>
    <xf numFmtId="0" fontId="38" fillId="0" borderId="9" xfId="0" applyFont="1" applyBorder="1" applyAlignment="1">
      <alignment horizontal="center" vertical="center"/>
    </xf>
    <xf numFmtId="0" fontId="38" fillId="0" borderId="16" xfId="0" applyFont="1" applyBorder="1" applyAlignment="1">
      <alignment horizontal="center" vertical="center" wrapText="1"/>
    </xf>
    <xf numFmtId="0" fontId="38" fillId="0" borderId="13" xfId="0" applyFont="1" applyBorder="1" applyAlignment="1">
      <alignment horizontal="center" vertical="center" wrapText="1"/>
    </xf>
    <xf numFmtId="0" fontId="38" fillId="0" borderId="9" xfId="0" applyFont="1" applyBorder="1" applyAlignment="1">
      <alignment horizontal="center" vertical="center" wrapText="1"/>
    </xf>
    <xf numFmtId="0" fontId="38" fillId="0" borderId="11" xfId="0" applyFont="1" applyBorder="1" applyAlignment="1">
      <alignment horizontal="center" wrapText="1"/>
    </xf>
    <xf numFmtId="0" fontId="38" fillId="0" borderId="4" xfId="0" applyFont="1" applyBorder="1" applyAlignment="1">
      <alignment horizontal="center" wrapText="1"/>
    </xf>
    <xf numFmtId="0" fontId="38" fillId="0" borderId="16" xfId="0" applyFont="1" applyBorder="1" applyAlignment="1">
      <alignment horizontal="left" vertical="top" wrapText="1"/>
    </xf>
    <xf numFmtId="0" fontId="38" fillId="0" borderId="13" xfId="0" applyFont="1" applyBorder="1" applyAlignment="1">
      <alignment horizontal="left" vertical="top" wrapText="1"/>
    </xf>
    <xf numFmtId="0" fontId="38" fillId="0" borderId="9" xfId="0" applyFont="1" applyBorder="1" applyAlignment="1">
      <alignment horizontal="left" vertical="top" wrapText="1"/>
    </xf>
    <xf numFmtId="0" fontId="38" fillId="0" borderId="18" xfId="0" applyFont="1" applyBorder="1" applyAlignment="1">
      <alignment horizontal="left" vertical="top" wrapText="1"/>
    </xf>
    <xf numFmtId="0" fontId="38" fillId="0" borderId="17" xfId="0" applyFont="1" applyBorder="1" applyAlignment="1">
      <alignment horizontal="left" vertical="top" wrapText="1"/>
    </xf>
    <xf numFmtId="0" fontId="38" fillId="0" borderId="19" xfId="0" applyFont="1" applyBorder="1" applyAlignment="1">
      <alignment horizontal="left" vertical="top" wrapText="1"/>
    </xf>
    <xf numFmtId="0" fontId="38" fillId="0" borderId="11" xfId="0" applyFont="1" applyBorder="1" applyAlignment="1">
      <alignment horizontal="center" vertical="top" wrapText="1"/>
    </xf>
    <xf numFmtId="0" fontId="38" fillId="0" borderId="4" xfId="0" applyFont="1" applyBorder="1" applyAlignment="1">
      <alignment horizontal="center" vertical="top" wrapText="1"/>
    </xf>
    <xf numFmtId="0" fontId="38" fillId="0" borderId="3" xfId="0" applyFont="1" applyBorder="1" applyAlignment="1">
      <alignment horizontal="center" vertical="top" wrapText="1"/>
    </xf>
    <xf numFmtId="0" fontId="43" fillId="0" borderId="0" xfId="0" applyFont="1" applyAlignment="1">
      <alignment horizontal="center"/>
    </xf>
    <xf numFmtId="0" fontId="10" fillId="0" borderId="0" xfId="0" applyFont="1"/>
    <xf numFmtId="0" fontId="10" fillId="0" borderId="0" xfId="0" applyFont="1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0" xfId="0" quotePrefix="1" applyAlignment="1">
      <alignment horizontal="left" vertical="top" wrapText="1"/>
    </xf>
    <xf numFmtId="0" fontId="10" fillId="0" borderId="0" xfId="0" applyFont="1" applyAlignment="1">
      <alignment vertical="top"/>
    </xf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  <xf numFmtId="0" fontId="4" fillId="0" borderId="0" xfId="0" applyFont="1" applyAlignment="1"/>
    <xf numFmtId="0" fontId="10" fillId="0" borderId="0" xfId="0" applyFont="1" applyAlignment="1"/>
    <xf numFmtId="0" fontId="5" fillId="0" borderId="0" xfId="0" applyFont="1" applyBorder="1" applyAlignment="1"/>
    <xf numFmtId="0" fontId="0" fillId="0" borderId="0" xfId="0" quotePrefix="1" applyAlignment="1">
      <alignment horizontal="left" vertical="top"/>
    </xf>
    <xf numFmtId="0" fontId="0" fillId="0" borderId="0" xfId="0" applyAlignment="1">
      <alignment horizontal="center"/>
    </xf>
    <xf numFmtId="0" fontId="6" fillId="0" borderId="0" xfId="0" applyFont="1" applyAlignment="1">
      <alignment horizontal="left" vertical="top"/>
    </xf>
    <xf numFmtId="0" fontId="0" fillId="0" borderId="0" xfId="0" applyAlignment="1">
      <alignment horizontal="left" vertical="top" wrapText="1"/>
    </xf>
    <xf numFmtId="0" fontId="47" fillId="0" borderId="0" xfId="0" applyFont="1" applyAlignment="1">
      <alignment horizontal="left" vertical="top" wrapText="1"/>
    </xf>
    <xf numFmtId="0" fontId="10" fillId="0" borderId="0" xfId="0" applyFont="1" applyAlignment="1">
      <alignment horizontal="left" vertical="top"/>
    </xf>
    <xf numFmtId="0" fontId="2" fillId="0" borderId="0" xfId="0" applyFont="1" applyAlignment="1">
      <alignment horizontal="left" vertical="top" wrapText="1"/>
    </xf>
    <xf numFmtId="0" fontId="2" fillId="0" borderId="0" xfId="0" applyFont="1" applyAlignment="1">
      <alignment horizontal="left" vertical="top"/>
    </xf>
    <xf numFmtId="0" fontId="38" fillId="0" borderId="3" xfId="0" quotePrefix="1" applyNumberFormat="1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0" fillId="0" borderId="17" xfId="0" applyBorder="1" applyAlignment="1">
      <alignment horizontal="left" vertical="top" wrapText="1"/>
    </xf>
    <xf numFmtId="0" fontId="19" fillId="0" borderId="35" xfId="0" applyFont="1" applyBorder="1" applyAlignment="1">
      <alignment horizontal="center" vertical="center" wrapText="1"/>
    </xf>
    <xf numFmtId="0" fontId="14" fillId="0" borderId="36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/>
    </xf>
    <xf numFmtId="0" fontId="17" fillId="0" borderId="12" xfId="0" applyFont="1" applyBorder="1" applyAlignment="1">
      <alignment horizontal="center" vertical="center" textRotation="90" wrapText="1"/>
    </xf>
    <xf numFmtId="0" fontId="17" fillId="0" borderId="14" xfId="0" applyFont="1" applyBorder="1" applyAlignment="1">
      <alignment horizontal="center" vertical="center" textRotation="90" wrapText="1"/>
    </xf>
    <xf numFmtId="0" fontId="17" fillId="0" borderId="5" xfId="0" applyFont="1" applyBorder="1" applyAlignment="1">
      <alignment horizontal="center" vertical="center" textRotation="90" wrapText="1"/>
    </xf>
    <xf numFmtId="49" fontId="13" fillId="0" borderId="0" xfId="0" applyNumberFormat="1" applyFont="1" applyBorder="1" applyAlignment="1">
      <alignment horizontal="left" vertical="top" wrapText="1"/>
    </xf>
    <xf numFmtId="0" fontId="13" fillId="0" borderId="17" xfId="0" applyFont="1" applyBorder="1" applyAlignment="1">
      <alignment horizontal="left" vertical="top"/>
    </xf>
    <xf numFmtId="0" fontId="17" fillId="0" borderId="12" xfId="0" applyFont="1" applyBorder="1" applyAlignment="1">
      <alignment horizontal="center" vertical="center" textRotation="90"/>
    </xf>
    <xf numFmtId="0" fontId="17" fillId="0" borderId="14" xfId="0" applyFont="1" applyBorder="1" applyAlignment="1">
      <alignment horizontal="center" vertical="center" textRotation="90"/>
    </xf>
    <xf numFmtId="0" fontId="17" fillId="0" borderId="5" xfId="0" applyFont="1" applyBorder="1" applyAlignment="1">
      <alignment horizontal="center" vertical="center" textRotation="90"/>
    </xf>
    <xf numFmtId="0" fontId="14" fillId="0" borderId="35" xfId="0" applyFont="1" applyBorder="1" applyAlignment="1">
      <alignment horizontal="center" vertical="center" wrapText="1"/>
    </xf>
    <xf numFmtId="0" fontId="17" fillId="19" borderId="12" xfId="0" applyFont="1" applyFill="1" applyBorder="1" applyAlignment="1">
      <alignment horizontal="left" vertical="top" textRotation="90"/>
    </xf>
    <xf numFmtId="0" fontId="17" fillId="19" borderId="14" xfId="0" applyFont="1" applyFill="1" applyBorder="1" applyAlignment="1">
      <alignment horizontal="left" vertical="top" textRotation="90"/>
    </xf>
    <xf numFmtId="0" fontId="17" fillId="19" borderId="5" xfId="0" applyFont="1" applyFill="1" applyBorder="1" applyAlignment="1">
      <alignment horizontal="left" vertical="top" textRotation="90"/>
    </xf>
    <xf numFmtId="0" fontId="13" fillId="0" borderId="17" xfId="0" applyFont="1" applyBorder="1" applyAlignment="1">
      <alignment horizontal="left" vertical="top" wrapText="1"/>
    </xf>
    <xf numFmtId="0" fontId="17" fillId="19" borderId="12" xfId="0" applyFont="1" applyFill="1" applyBorder="1" applyAlignment="1">
      <alignment horizontal="center" vertical="center" textRotation="90" wrapText="1"/>
    </xf>
    <xf numFmtId="0" fontId="17" fillId="19" borderId="14" xfId="0" applyFont="1" applyFill="1" applyBorder="1" applyAlignment="1">
      <alignment horizontal="center" vertical="center" textRotation="90" wrapText="1"/>
    </xf>
    <xf numFmtId="0" fontId="17" fillId="19" borderId="5" xfId="0" applyFont="1" applyFill="1" applyBorder="1" applyAlignment="1">
      <alignment horizontal="center" vertical="center" textRotation="90" wrapText="1"/>
    </xf>
    <xf numFmtId="0" fontId="17" fillId="19" borderId="12" xfId="0" applyFont="1" applyFill="1" applyBorder="1" applyAlignment="1">
      <alignment horizontal="center" vertical="center" textRotation="90"/>
    </xf>
    <xf numFmtId="0" fontId="17" fillId="19" borderId="14" xfId="0" applyFont="1" applyFill="1" applyBorder="1" applyAlignment="1">
      <alignment horizontal="center" vertical="center" textRotation="90"/>
    </xf>
    <xf numFmtId="0" fontId="17" fillId="19" borderId="5" xfId="0" applyFont="1" applyFill="1" applyBorder="1" applyAlignment="1">
      <alignment horizontal="center" vertical="center" textRotation="90"/>
    </xf>
    <xf numFmtId="0" fontId="17" fillId="19" borderId="12" xfId="0" applyFont="1" applyFill="1" applyBorder="1" applyAlignment="1">
      <alignment horizontal="left" vertical="top" textRotation="90" wrapText="1"/>
    </xf>
    <xf numFmtId="0" fontId="17" fillId="19" borderId="14" xfId="0" applyFont="1" applyFill="1" applyBorder="1" applyAlignment="1">
      <alignment horizontal="left" vertical="top" textRotation="90" wrapText="1"/>
    </xf>
    <xf numFmtId="0" fontId="17" fillId="19" borderId="5" xfId="0" applyFont="1" applyFill="1" applyBorder="1" applyAlignment="1">
      <alignment horizontal="left" vertical="top" textRotation="90" wrapText="1"/>
    </xf>
    <xf numFmtId="0" fontId="52" fillId="0" borderId="3" xfId="0" applyFont="1" applyBorder="1" applyAlignment="1">
      <alignment horizontal="center" vertical="center"/>
    </xf>
    <xf numFmtId="0" fontId="52" fillId="0" borderId="3" xfId="0" applyFont="1" applyBorder="1" applyAlignment="1"/>
    <xf numFmtId="0" fontId="52" fillId="0" borderId="3" xfId="0" applyFont="1" applyBorder="1" applyAlignment="1">
      <alignment horizontal="center"/>
    </xf>
    <xf numFmtId="0" fontId="0" fillId="0" borderId="17" xfId="0" applyFont="1" applyBorder="1" applyAlignment="1">
      <alignment horizontal="left" vertical="top" wrapText="1"/>
    </xf>
    <xf numFmtId="168" fontId="14" fillId="0" borderId="11" xfId="0" applyNumberFormat="1" applyFont="1" applyBorder="1" applyAlignment="1">
      <alignment horizontal="center" vertical="center"/>
    </xf>
    <xf numFmtId="168" fontId="14" fillId="0" borderId="10" xfId="0" applyNumberFormat="1" applyFont="1" applyBorder="1" applyAlignment="1">
      <alignment horizontal="center" vertical="center"/>
    </xf>
    <xf numFmtId="168" fontId="14" fillId="0" borderId="4" xfId="0" applyNumberFormat="1" applyFont="1" applyBorder="1" applyAlignment="1">
      <alignment horizontal="center" vertical="center"/>
    </xf>
    <xf numFmtId="0" fontId="9" fillId="0" borderId="11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1" fontId="14" fillId="0" borderId="11" xfId="0" applyNumberFormat="1" applyFont="1" applyBorder="1" applyAlignment="1">
      <alignment horizontal="center" vertical="center" wrapText="1"/>
    </xf>
    <xf numFmtId="1" fontId="14" fillId="0" borderId="10" xfId="0" applyNumberFormat="1" applyFont="1" applyBorder="1" applyAlignment="1">
      <alignment horizontal="center" vertical="center" wrapText="1"/>
    </xf>
    <xf numFmtId="1" fontId="14" fillId="0" borderId="4" xfId="0" applyNumberFormat="1" applyFont="1" applyBorder="1" applyAlignment="1">
      <alignment horizontal="center" vertical="center" wrapText="1"/>
    </xf>
    <xf numFmtId="168" fontId="14" fillId="0" borderId="11" xfId="0" applyNumberFormat="1" applyFont="1" applyBorder="1" applyAlignment="1">
      <alignment horizontal="center" vertical="center" wrapText="1"/>
    </xf>
    <xf numFmtId="168" fontId="14" fillId="0" borderId="10" xfId="0" applyNumberFormat="1" applyFont="1" applyBorder="1" applyAlignment="1">
      <alignment horizontal="center" vertical="center" wrapText="1"/>
    </xf>
    <xf numFmtId="168" fontId="14" fillId="0" borderId="4" xfId="0" applyNumberFormat="1" applyFont="1" applyBorder="1" applyAlignment="1">
      <alignment horizontal="center" vertical="center" wrapText="1"/>
    </xf>
    <xf numFmtId="0" fontId="14" fillId="0" borderId="3" xfId="0" applyFont="1" applyBorder="1" applyAlignment="1">
      <alignment horizontal="center" vertical="center" wrapText="1"/>
    </xf>
    <xf numFmtId="0" fontId="9" fillId="0" borderId="5" xfId="0" applyFont="1" applyBorder="1" applyAlignment="1">
      <alignment horizontal="center" vertical="center" wrapText="1"/>
    </xf>
    <xf numFmtId="2" fontId="14" fillId="0" borderId="3" xfId="0" applyNumberFormat="1" applyFont="1" applyBorder="1" applyAlignment="1">
      <alignment horizontal="left" vertical="top" wrapText="1"/>
    </xf>
    <xf numFmtId="0" fontId="9" fillId="0" borderId="5" xfId="0" applyFont="1" applyBorder="1" applyAlignment="1">
      <alignment vertical="top"/>
    </xf>
    <xf numFmtId="2" fontId="14" fillId="0" borderId="12" xfId="0" applyNumberFormat="1" applyFont="1" applyBorder="1" applyAlignment="1">
      <alignment horizontal="center" vertical="center" wrapText="1" shrinkToFit="1"/>
    </xf>
    <xf numFmtId="2" fontId="14" fillId="0" borderId="5" xfId="0" applyNumberFormat="1" applyFont="1" applyBorder="1" applyAlignment="1">
      <alignment horizontal="center" vertical="center" wrapText="1" shrinkToFit="1"/>
    </xf>
    <xf numFmtId="2" fontId="14" fillId="0" borderId="11" xfId="0" applyNumberFormat="1" applyFont="1" applyBorder="1" applyAlignment="1">
      <alignment horizontal="center" vertical="center" wrapText="1"/>
    </xf>
    <xf numFmtId="2" fontId="14" fillId="0" borderId="10" xfId="0" applyNumberFormat="1" applyFont="1" applyBorder="1" applyAlignment="1">
      <alignment horizontal="center" vertical="center" wrapText="1"/>
    </xf>
    <xf numFmtId="2" fontId="14" fillId="0" borderId="4" xfId="0" applyNumberFormat="1" applyFont="1" applyBorder="1" applyAlignment="1">
      <alignment horizontal="center" vertical="center" wrapText="1"/>
    </xf>
    <xf numFmtId="0" fontId="2" fillId="0" borderId="17" xfId="0" applyFont="1" applyBorder="1" applyAlignment="1">
      <alignment horizontal="left" vertical="top" wrapText="1"/>
    </xf>
    <xf numFmtId="2" fontId="32" fillId="0" borderId="12" xfId="0" applyNumberFormat="1" applyFont="1" applyBorder="1" applyAlignment="1">
      <alignment horizontal="center" vertical="center" wrapText="1" shrinkToFit="1"/>
    </xf>
    <xf numFmtId="2" fontId="32" fillId="0" borderId="5" xfId="0" applyNumberFormat="1" applyFont="1" applyBorder="1" applyAlignment="1">
      <alignment horizontal="center" vertical="center" wrapText="1" shrinkToFit="1"/>
    </xf>
    <xf numFmtId="0" fontId="38" fillId="19" borderId="11" xfId="0" applyFont="1" applyFill="1" applyBorder="1" applyAlignment="1">
      <alignment horizontal="center" vertical="center" wrapText="1"/>
    </xf>
    <xf numFmtId="0" fontId="38" fillId="19" borderId="10" xfId="0" applyFont="1" applyFill="1" applyBorder="1" applyAlignment="1">
      <alignment horizontal="center" vertical="center" wrapText="1"/>
    </xf>
    <xf numFmtId="0" fontId="32" fillId="19" borderId="12" xfId="0" applyNumberFormat="1" applyFont="1" applyFill="1" applyBorder="1" applyAlignment="1">
      <alignment horizontal="center" vertical="center" wrapText="1"/>
    </xf>
    <xf numFmtId="0" fontId="32" fillId="19" borderId="14" xfId="0" applyNumberFormat="1" applyFont="1" applyFill="1" applyBorder="1" applyAlignment="1">
      <alignment horizontal="center" vertical="center" wrapText="1"/>
    </xf>
    <xf numFmtId="2" fontId="32" fillId="0" borderId="3" xfId="0" applyNumberFormat="1" applyFont="1" applyBorder="1" applyAlignment="1">
      <alignment horizontal="left" vertical="center" wrapText="1"/>
    </xf>
    <xf numFmtId="0" fontId="38" fillId="0" borderId="5" xfId="0" applyFont="1" applyBorder="1" applyAlignment="1">
      <alignment horizontal="left" vertical="center"/>
    </xf>
    <xf numFmtId="2" fontId="32" fillId="19" borderId="12" xfId="0" applyNumberFormat="1" applyFont="1" applyFill="1" applyBorder="1" applyAlignment="1">
      <alignment horizontal="left" vertical="center" wrapText="1"/>
    </xf>
    <xf numFmtId="2" fontId="32" fillId="19" borderId="5" xfId="0" applyNumberFormat="1" applyFont="1" applyFill="1" applyBorder="1" applyAlignment="1">
      <alignment horizontal="left" vertical="center" wrapText="1"/>
    </xf>
    <xf numFmtId="0" fontId="15" fillId="0" borderId="3" xfId="0" applyFont="1" applyBorder="1" applyAlignment="1">
      <alignment wrapText="1"/>
    </xf>
    <xf numFmtId="0" fontId="15" fillId="0" borderId="3" xfId="0" applyFont="1" applyBorder="1" applyAlignment="1">
      <alignment horizontal="left" vertical="center" wrapText="1"/>
    </xf>
    <xf numFmtId="0" fontId="15" fillId="0" borderId="3" xfId="0" applyFont="1" applyBorder="1" applyAlignment="1">
      <alignment horizontal="center" vertical="center" wrapText="1"/>
    </xf>
    <xf numFmtId="0" fontId="15" fillId="0" borderId="3" xfId="0" applyFont="1" applyBorder="1" applyAlignment="1">
      <alignment horizontal="center" wrapText="1"/>
    </xf>
    <xf numFmtId="0" fontId="0" fillId="22" borderId="22" xfId="0" applyFont="1" applyFill="1" applyBorder="1" applyAlignment="1">
      <alignment horizontal="left" vertical="top" wrapText="1"/>
    </xf>
    <xf numFmtId="0" fontId="0" fillId="22" borderId="24" xfId="0" applyFont="1" applyFill="1" applyBorder="1" applyAlignment="1">
      <alignment horizontal="left" vertical="top" wrapText="1"/>
    </xf>
    <xf numFmtId="0" fontId="0" fillId="22" borderId="29" xfId="0" applyFont="1" applyFill="1" applyBorder="1" applyAlignment="1">
      <alignment horizontal="left" vertical="top" wrapText="1"/>
    </xf>
    <xf numFmtId="0" fontId="0" fillId="22" borderId="31" xfId="0" applyFont="1" applyFill="1" applyBorder="1" applyAlignment="1">
      <alignment horizontal="left" vertical="top" wrapText="1"/>
    </xf>
    <xf numFmtId="0" fontId="0" fillId="0" borderId="3" xfId="0" applyBorder="1" applyAlignment="1">
      <alignment horizontal="center" wrapText="1"/>
    </xf>
    <xf numFmtId="0" fontId="0" fillId="0" borderId="3" xfId="0" applyBorder="1" applyAlignment="1">
      <alignment horizontal="center"/>
    </xf>
    <xf numFmtId="0" fontId="0" fillId="0" borderId="3" xfId="0" applyBorder="1" applyAlignment="1">
      <alignment horizontal="center" vertical="top" wrapText="1"/>
    </xf>
    <xf numFmtId="0" fontId="15" fillId="0" borderId="3" xfId="0" applyFont="1" applyBorder="1" applyAlignment="1">
      <alignment horizontal="center" vertical="center"/>
    </xf>
    <xf numFmtId="0" fontId="15" fillId="0" borderId="3" xfId="0" applyFont="1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3" xfId="0" applyBorder="1" applyAlignment="1">
      <alignment horizontal="center" vertical="center" wrapText="1"/>
    </xf>
    <xf numFmtId="0" fontId="15" fillId="0" borderId="3" xfId="0" applyFont="1" applyBorder="1" applyAlignment="1">
      <alignment horizontal="left" vertical="top"/>
    </xf>
    <xf numFmtId="0" fontId="15" fillId="0" borderId="3" xfId="0" applyFont="1" applyBorder="1" applyAlignment="1">
      <alignment horizontal="center"/>
    </xf>
    <xf numFmtId="0" fontId="44" fillId="0" borderId="3" xfId="0" applyFont="1" applyBorder="1" applyAlignment="1">
      <alignment horizontal="center" vertical="top" wrapText="1"/>
    </xf>
    <xf numFmtId="0" fontId="44" fillId="0" borderId="3" xfId="0" applyFont="1" applyBorder="1" applyAlignment="1">
      <alignment horizontal="center" vertical="top"/>
    </xf>
    <xf numFmtId="0" fontId="15" fillId="0" borderId="3" xfId="0" applyFont="1" applyBorder="1" applyAlignment="1">
      <alignment horizontal="left"/>
    </xf>
    <xf numFmtId="0" fontId="15" fillId="0" borderId="3" xfId="0" quotePrefix="1" applyNumberFormat="1" applyFont="1" applyBorder="1" applyAlignment="1">
      <alignment horizontal="center" vertical="center"/>
    </xf>
    <xf numFmtId="0" fontId="37" fillId="18" borderId="0" xfId="0" applyFont="1" applyFill="1" applyAlignment="1">
      <alignment horizontal="center" vertical="center" textRotation="90"/>
    </xf>
    <xf numFmtId="0" fontId="36" fillId="18" borderId="0" xfId="0" applyFont="1" applyFill="1" applyAlignment="1">
      <alignment horizontal="center" vertical="center" textRotation="90"/>
    </xf>
    <xf numFmtId="0" fontId="37" fillId="3" borderId="0" xfId="0" applyFont="1" applyFill="1" applyAlignment="1">
      <alignment horizontal="center" vertical="center" textRotation="90" wrapText="1"/>
    </xf>
  </cellXfs>
  <cellStyles count="3">
    <cellStyle name="Comma" xfId="1" builtinId="3"/>
    <cellStyle name="Normal" xfId="0" builtinId="0"/>
    <cellStyle name="Обычный 2" xfId="2" xr:uid="{00000000-0005-0000-0000-000001000000}"/>
  </cellStyles>
  <dxfs count="1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left" vertical="top" textRotation="0" wrapText="0" indent="0" justifyLastLine="0" shrinkToFit="0" readingOrder="0"/>
    </dxf>
    <dxf>
      <numFmt numFmtId="0" formatCode="General"/>
      <alignment horizontal="left" vertical="top" textRotation="0" wrapText="0" indent="0" justifyLastLine="0" shrinkToFit="0" readingOrder="0"/>
    </dxf>
    <dxf>
      <fill>
        <patternFill patternType="solid">
          <fgColor indexed="64"/>
          <bgColor rgb="FF00B0F0"/>
        </patternFill>
      </fill>
    </dxf>
    <dxf>
      <fill>
        <patternFill patternType="solid">
          <fgColor indexed="64"/>
          <bgColor rgb="FF00B0F0"/>
        </patternFill>
      </fill>
    </dxf>
    <dxf>
      <alignment horizontal="general" vertical="top" textRotation="0" wrapText="1" indent="0" justifyLastLine="0" shrinkToFit="0" readingOrder="0"/>
    </dxf>
    <dxf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Таблица" displayName="Таблица" ref="A1:Y14" totalsRowShown="0" headerRowDxfId="7">
  <tableColumns count="25">
    <tableColumn id="1" xr3:uid="{00000000-0010-0000-0000-000001000000}" name="Камера"/>
    <tableColumn id="13" xr3:uid="{00000000-0010-0000-0000-00000D000000}" name="Диапазон мин, °C" dataDxfId="6" dataCellStyle="Обычный 2"/>
    <tableColumn id="14" xr3:uid="{00000000-0010-0000-0000-00000E000000}" name="Диапазон макс, °C" dataDxfId="5" dataCellStyle="Обычный 2"/>
    <tableColumn id="2" xr3:uid="{00000000-0010-0000-0000-000002000000}" name="Рабочий объем, л"/>
    <tableColumn id="7" xr3:uid="{00000000-0010-0000-0000-000007000000}" name="Скорость нагрева °C / мин"/>
    <tableColumn id="8" xr3:uid="{00000000-0010-0000-0000-000008000000}" name="Скорость охлаждения °C / мин"/>
    <tableColumn id="9" xr3:uid="{00000000-0010-0000-0000-000009000000}" name="Время нагрева, мин"/>
    <tableColumn id="10" xr3:uid="{00000000-0010-0000-0000-00000A000000}" name="Время охлаждения, мин"/>
    <tableColumn id="11" xr3:uid="{00000000-0010-0000-0000-00000B000000}" name="Градиент до 100 °C"/>
    <tableColumn id="4" xr3:uid="{00000000-0010-0000-0000-000004000000}" name="Градиент от 100,1 °C" dataCellStyle="Обычный 2"/>
    <tableColumn id="12" xr3:uid="{00000000-0010-0000-0000-00000C000000}" name="Амплитуда, ± °C, до 100°C"/>
    <tableColumn id="20" xr3:uid="{00000000-0010-0000-0000-000014000000}" name="Допустимые отклонения до 100 °C включ."/>
    <tableColumn id="21" xr3:uid="{00000000-0010-0000-0000-000015000000}" name="Допустимые отклонения св. 100 °C"/>
    <tableColumn id="3" xr3:uid="{00000000-0010-0000-0000-000003000000}" name="Скорость циркуляции воздуха (в центре), м/с"/>
    <tableColumn id="6" xr3:uid="{00000000-0010-0000-0000-000006000000}" name="Диапазон по методу 1 °C, нагрев" dataDxfId="4" dataCellStyle="Обычный 2">
      <calculatedColumnFormula>"от "&amp;B2+(C2-B2)*0.1&amp;" °C до "&amp;C2-(C2-B2)*0.1&amp;" °C"</calculatedColumnFormula>
    </tableColumn>
    <tableColumn id="5" xr3:uid="{00000000-0010-0000-0000-000005000000}" name="Диапазон по методу 1 °C, охлаждение" dataDxfId="3" dataCellStyle="Обычный 2">
      <calculatedColumnFormula>"от "&amp;C2-(C2-B2)*0.1&amp;" °C до "&amp;B2+(C2-B2)*0.1&amp;" °C"</calculatedColumnFormula>
    </tableColumn>
    <tableColumn id="17" xr3:uid="{00000000-0010-0000-0000-000011000000}" name="Рабочая зона ширина, мм" dataDxfId="2" dataCellStyle="Обычный 2"/>
    <tableColumn id="18" xr3:uid="{00000000-0010-0000-0000-000012000000}" name="Рабочая зона высота, мм" dataDxfId="1" dataCellStyle="Обычный 2"/>
    <tableColumn id="19" xr3:uid="{00000000-0010-0000-0000-000013000000}" name="Рабочая зона глубина, мм" dataDxfId="0" dataCellStyle="Обычный 2"/>
    <tableColumn id="25" xr3:uid="{00000000-0010-0000-0000-000019000000}" name="Мин отн.влажность, %" dataCellStyle="Обычный 2"/>
    <tableColumn id="22" xr3:uid="{00000000-0010-0000-0000-000016000000}" name="Макс отн.влажность, %" dataCellStyle="Обычный 2"/>
    <tableColumn id="23" xr3:uid="{00000000-0010-0000-0000-000017000000}" name="Допустимое отклонение отн.влажности, %" dataCellStyle="Обычный 2"/>
    <tableColumn id="24" xr3:uid="{00000000-0010-0000-0000-000018000000}" name="Амплитуда отн.влажности, %" dataCellStyle="Обычный 2"/>
    <tableColumn id="26" xr3:uid="{00000000-0010-0000-0000-00001A000000}" name="Градиент отн.влажности, %" dataCellStyle="Обычный 2"/>
    <tableColumn id="15" xr3:uid="{8B50127A-49B4-40A9-A16B-7814ED6F6AFC}" name="Амплитуда, ± °C, от 100,1°C" dataCellStyle="Обычный 2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Другая 3">
      <a:majorFont>
        <a:latin typeface="Arial"/>
        <a:ea typeface=""/>
        <a:cs typeface=""/>
      </a:majorFont>
      <a:minorFont>
        <a:latin typeface="Arial"/>
        <a:ea typeface=""/>
        <a:cs typeface="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R211"/>
  <sheetViews>
    <sheetView view="pageLayout" topLeftCell="A143" zoomScale="85" zoomScaleNormal="100" zoomScaleSheetLayoutView="85" zoomScalePageLayoutView="85" workbookViewId="0">
      <selection activeCell="A6" sqref="A6:O6"/>
    </sheetView>
  </sheetViews>
  <sheetFormatPr defaultColWidth="5.25" defaultRowHeight="14.25" x14ac:dyDescent="0.2"/>
  <cols>
    <col min="1" max="2" width="5.25" customWidth="1"/>
    <col min="5" max="5" width="6.125" customWidth="1"/>
    <col min="13" max="13" width="3.75" customWidth="1"/>
    <col min="14" max="14" width="5.875" customWidth="1"/>
    <col min="15" max="15" width="6.5" customWidth="1"/>
  </cols>
  <sheetData>
    <row r="1" spans="1:15" ht="96" hidden="1" customHeight="1" x14ac:dyDescent="0.2">
      <c r="A1" s="359" t="str">
        <f>"Утверждаю
 Генеральный директор
"&amp;info!B3&amp;"
______________"&amp;info!Q3&amp;"
«__» ___________ 202_ г.
"</f>
        <v xml:space="preserve">Утверждаю
 Генеральный директор
ООО «Остек-Тест»
______________Седов М.А.
«__» ___________ 202_ г.
</v>
      </c>
      <c r="B1" s="359"/>
      <c r="C1" s="359"/>
      <c r="D1" s="359"/>
      <c r="E1" s="359"/>
      <c r="F1" s="359"/>
      <c r="G1" s="359"/>
      <c r="H1" s="359"/>
      <c r="I1" s="359"/>
      <c r="J1" s="359"/>
      <c r="K1" s="359"/>
      <c r="L1" s="359"/>
      <c r="M1" s="359"/>
      <c r="N1" s="359"/>
      <c r="O1" s="359"/>
    </row>
    <row r="2" spans="1:15" ht="18" x14ac:dyDescent="0.2">
      <c r="A2" s="363" t="str">
        <f>"Протокол "&amp;info!D17&amp;" аттестации № "&amp;info!F3&amp;"."&amp;info!G3</f>
        <v>Протокол первичной аттестации № 1994.1</v>
      </c>
      <c r="B2" s="363"/>
      <c r="C2" s="363"/>
      <c r="D2" s="363"/>
      <c r="E2" s="363"/>
      <c r="F2" s="363"/>
      <c r="G2" s="363"/>
      <c r="H2" s="363"/>
      <c r="I2" s="363"/>
      <c r="J2" s="363"/>
      <c r="K2" s="363"/>
      <c r="L2" s="363"/>
      <c r="M2" s="363"/>
      <c r="N2" s="363"/>
      <c r="O2" s="363"/>
    </row>
    <row r="3" spans="1:15" ht="18" x14ac:dyDescent="0.25">
      <c r="A3" s="396" t="str">
        <f>"от "&amp;info!H3&amp;"г."</f>
        <v>от 18.05.2020г.</v>
      </c>
      <c r="B3" s="396"/>
      <c r="C3" s="396"/>
      <c r="D3" s="396"/>
      <c r="E3" s="396"/>
      <c r="F3" s="396"/>
      <c r="G3" s="396"/>
      <c r="H3" s="396"/>
      <c r="I3" s="396"/>
      <c r="J3" s="396"/>
      <c r="K3" s="396"/>
      <c r="L3" s="396"/>
      <c r="M3" s="396"/>
      <c r="N3" s="396"/>
      <c r="O3" s="396"/>
    </row>
    <row r="4" spans="1:15" ht="15" customHeight="1" x14ac:dyDescent="0.2">
      <c r="A4" s="401" t="s">
        <v>262</v>
      </c>
      <c r="B4" s="401"/>
      <c r="C4" s="401"/>
      <c r="D4" s="401"/>
      <c r="E4" s="401"/>
      <c r="F4" s="401"/>
      <c r="G4" s="401"/>
      <c r="H4" s="401"/>
      <c r="I4" s="401"/>
      <c r="J4" s="401"/>
      <c r="K4" s="401"/>
      <c r="L4" s="401"/>
      <c r="M4" s="401"/>
      <c r="N4" s="401"/>
      <c r="O4" s="401"/>
    </row>
    <row r="5" spans="1:15" x14ac:dyDescent="0.2">
      <c r="A5" s="402" t="str">
        <f>"Наименование: "&amp;info!J3</f>
        <v>Наименование: Камера тепла холода и влаги</v>
      </c>
      <c r="B5" s="402"/>
      <c r="C5" s="402"/>
      <c r="D5" s="402"/>
      <c r="E5" s="402"/>
      <c r="F5" s="402"/>
      <c r="G5" s="402"/>
      <c r="H5" s="402"/>
      <c r="I5" s="402"/>
      <c r="J5" s="402"/>
      <c r="K5" s="402"/>
      <c r="L5" s="402"/>
      <c r="M5" s="402"/>
      <c r="N5" s="402"/>
      <c r="O5" s="402"/>
    </row>
    <row r="6" spans="1:15" x14ac:dyDescent="0.2">
      <c r="A6" s="403" t="str">
        <f>"Тип: "&amp;info!D3</f>
        <v>Тип: PU-3KT</v>
      </c>
      <c r="B6" s="403"/>
      <c r="C6" s="403"/>
      <c r="D6" s="403"/>
      <c r="E6" s="403"/>
      <c r="F6" s="403"/>
      <c r="G6" s="403"/>
      <c r="H6" s="403"/>
      <c r="I6" s="403"/>
      <c r="J6" s="403"/>
      <c r="K6" s="403"/>
      <c r="L6" s="403"/>
      <c r="M6" s="403"/>
      <c r="N6" s="403"/>
      <c r="O6" s="403"/>
    </row>
    <row r="7" spans="1:15" ht="14.25" customHeight="1" x14ac:dyDescent="0.2">
      <c r="A7" s="402" t="str">
        <f>"Заводской номер: "&amp;info!I3</f>
        <v>Заводской номер: 225225</v>
      </c>
      <c r="B7" s="402"/>
      <c r="C7" s="402"/>
      <c r="D7" s="402"/>
      <c r="E7" s="402"/>
      <c r="F7" s="402"/>
      <c r="G7" s="402"/>
      <c r="H7" s="402"/>
      <c r="I7" s="402"/>
      <c r="J7" s="402"/>
      <c r="K7" s="402"/>
      <c r="L7" s="402"/>
      <c r="M7" s="402"/>
      <c r="N7" s="402"/>
      <c r="O7" s="402"/>
    </row>
    <row r="8" spans="1:15" x14ac:dyDescent="0.2">
      <c r="A8" s="403" t="str">
        <f>"Наименование изготовителя: "&amp;info!E3</f>
        <v>Наименование изготовителя: Espec., Корея</v>
      </c>
      <c r="B8" s="403"/>
      <c r="C8" s="403"/>
      <c r="D8" s="403"/>
      <c r="E8" s="403"/>
      <c r="F8" s="403"/>
      <c r="G8" s="403"/>
      <c r="H8" s="403"/>
      <c r="I8" s="403"/>
      <c r="J8" s="403"/>
      <c r="K8" s="403"/>
      <c r="L8" s="403"/>
      <c r="M8" s="403"/>
      <c r="N8" s="403"/>
      <c r="O8" s="403"/>
    </row>
    <row r="9" spans="1:15" ht="14.25" customHeight="1" x14ac:dyDescent="0.2">
      <c r="A9" s="404" t="str">
        <f>"Место эксплуатации: "&amp;info!B3&amp;"., "&amp;info!C3</f>
        <v>Место эксплуатации: ООО «Остек-Тест»., г. Москва</v>
      </c>
      <c r="B9" s="404"/>
      <c r="C9" s="404"/>
      <c r="D9" s="404"/>
      <c r="E9" s="404"/>
      <c r="F9" s="404"/>
      <c r="G9" s="404"/>
      <c r="H9" s="404"/>
      <c r="I9" s="404"/>
      <c r="J9" s="404"/>
      <c r="K9" s="404"/>
      <c r="L9" s="404"/>
      <c r="M9" s="404"/>
      <c r="N9" s="404"/>
      <c r="O9" s="404"/>
    </row>
    <row r="10" spans="1:15" ht="6" customHeight="1" x14ac:dyDescent="0.2">
      <c r="A10" s="360"/>
      <c r="B10" s="360"/>
      <c r="C10" s="360"/>
      <c r="D10" s="360"/>
      <c r="E10" s="360"/>
      <c r="F10" s="360"/>
      <c r="G10" s="360"/>
      <c r="H10" s="360"/>
      <c r="I10" s="360"/>
      <c r="J10" s="360"/>
      <c r="K10" s="360"/>
      <c r="L10" s="360"/>
      <c r="M10" s="360"/>
      <c r="N10" s="360"/>
      <c r="O10" s="360"/>
    </row>
    <row r="11" spans="1:15" ht="16.5" customHeight="1" x14ac:dyDescent="0.25">
      <c r="A11" s="405" t="s">
        <v>191</v>
      </c>
      <c r="B11" s="405"/>
      <c r="C11" s="405"/>
      <c r="D11" s="405"/>
      <c r="E11" s="405"/>
      <c r="F11" s="405"/>
      <c r="G11" s="405"/>
      <c r="H11" s="405"/>
      <c r="I11" s="405"/>
      <c r="J11" s="405"/>
      <c r="K11" s="405"/>
      <c r="L11" s="405"/>
      <c r="M11" s="405"/>
      <c r="N11" s="405"/>
      <c r="O11" s="405"/>
    </row>
    <row r="12" spans="1:15" ht="26.25" customHeight="1" x14ac:dyDescent="0.2">
      <c r="A12" s="356" t="str">
        <f>info!L3</f>
        <v>Приказ о создании комисии от 25.03.2020г. № 310</v>
      </c>
      <c r="B12" s="356"/>
      <c r="C12" s="356"/>
      <c r="D12" s="356"/>
      <c r="E12" s="356"/>
      <c r="F12" s="356"/>
      <c r="G12" s="356"/>
      <c r="H12" s="356"/>
      <c r="I12" s="356"/>
      <c r="J12" s="356"/>
      <c r="K12" s="356"/>
      <c r="L12" s="356"/>
      <c r="M12" s="356"/>
      <c r="N12" s="356"/>
      <c r="O12" s="356"/>
    </row>
    <row r="13" spans="1:15" ht="12.75" customHeight="1" thickBot="1" x14ac:dyDescent="0.25">
      <c r="A13" s="406" t="s">
        <v>192</v>
      </c>
      <c r="B13" s="406"/>
      <c r="C13" s="406"/>
      <c r="D13" s="406"/>
      <c r="E13" s="406"/>
      <c r="F13" s="406"/>
      <c r="G13" s="406"/>
      <c r="H13" s="406"/>
      <c r="I13" s="406"/>
      <c r="J13" s="406"/>
      <c r="K13" s="406"/>
      <c r="L13" s="406"/>
      <c r="M13" s="406"/>
      <c r="N13" s="406"/>
      <c r="O13" s="406"/>
    </row>
    <row r="14" spans="1:15" ht="14.25" customHeight="1" x14ac:dyDescent="0.2">
      <c r="A14" s="186"/>
      <c r="B14" s="350" t="str">
        <f>info!B8</f>
        <v>ООО «»</v>
      </c>
      <c r="C14" s="350"/>
      <c r="D14" s="350"/>
      <c r="E14" s="350"/>
      <c r="F14" s="350"/>
      <c r="G14" s="350"/>
      <c r="H14" s="350"/>
      <c r="I14" s="350"/>
      <c r="J14" s="350"/>
      <c r="K14" s="350"/>
      <c r="L14" s="350"/>
      <c r="M14" s="350"/>
      <c r="N14" s="350"/>
      <c r="O14" s="187"/>
    </row>
    <row r="15" spans="1:15" ht="16.5" customHeight="1" x14ac:dyDescent="0.2">
      <c r="A15" s="188"/>
      <c r="B15" s="165"/>
      <c r="C15" s="165"/>
      <c r="D15" s="165"/>
      <c r="E15" s="165"/>
      <c r="F15" s="165"/>
      <c r="G15" s="166" t="s">
        <v>193</v>
      </c>
      <c r="H15" s="165"/>
      <c r="I15" s="165"/>
      <c r="J15" s="165"/>
      <c r="K15" s="165"/>
      <c r="L15" s="165"/>
      <c r="M15" s="165"/>
      <c r="N15" s="165"/>
      <c r="O15" s="189"/>
    </row>
    <row r="16" spans="1:15" ht="14.25" customHeight="1" x14ac:dyDescent="0.2">
      <c r="A16" s="351">
        <f>info!B7</f>
        <v>11</v>
      </c>
      <c r="B16" s="352"/>
      <c r="C16" s="352"/>
      <c r="D16" s="352"/>
      <c r="E16" s="352"/>
      <c r="F16" s="352"/>
      <c r="G16" s="352"/>
      <c r="H16" s="352"/>
      <c r="I16" s="352"/>
      <c r="J16" s="352"/>
      <c r="K16" s="66"/>
      <c r="L16" s="352">
        <f>info!B9</f>
        <v>11</v>
      </c>
      <c r="M16" s="352"/>
      <c r="N16" s="352"/>
      <c r="O16" s="353"/>
    </row>
    <row r="17" spans="1:15" ht="11.25" customHeight="1" thickBot="1" x14ac:dyDescent="0.25">
      <c r="A17" s="190"/>
      <c r="B17" s="191"/>
      <c r="C17" s="191"/>
      <c r="D17" s="192"/>
      <c r="E17" s="322" t="s">
        <v>194</v>
      </c>
      <c r="F17" s="191"/>
      <c r="G17" s="191"/>
      <c r="H17" s="191"/>
      <c r="I17" s="191"/>
      <c r="J17" s="191"/>
      <c r="K17" s="191"/>
      <c r="L17" s="191"/>
      <c r="M17" s="322" t="s">
        <v>268</v>
      </c>
      <c r="N17" s="191"/>
      <c r="O17" s="193"/>
    </row>
    <row r="18" spans="1:15" ht="16.5" customHeight="1" thickBot="1" x14ac:dyDescent="0.25">
      <c r="A18" s="66" t="s">
        <v>195</v>
      </c>
      <c r="B18" s="66"/>
      <c r="C18" s="66"/>
      <c r="D18" s="159"/>
      <c r="E18" s="66"/>
      <c r="F18" s="66"/>
      <c r="G18" s="66"/>
      <c r="H18" s="66"/>
      <c r="I18" s="66"/>
      <c r="J18" s="66"/>
      <c r="K18" s="66"/>
      <c r="L18" s="66"/>
      <c r="M18" s="159"/>
      <c r="N18" s="66"/>
      <c r="O18" s="66"/>
    </row>
    <row r="19" spans="1:15" x14ac:dyDescent="0.2">
      <c r="A19" s="186"/>
      <c r="B19" s="350">
        <f>info!C8</f>
        <v>1</v>
      </c>
      <c r="C19" s="350"/>
      <c r="D19" s="350"/>
      <c r="E19" s="350"/>
      <c r="F19" s="350"/>
      <c r="G19" s="350"/>
      <c r="H19" s="350"/>
      <c r="I19" s="350"/>
      <c r="J19" s="350"/>
      <c r="K19" s="350"/>
      <c r="L19" s="350"/>
      <c r="M19" s="350"/>
      <c r="N19" s="350"/>
      <c r="O19" s="187"/>
    </row>
    <row r="20" spans="1:15" ht="16.5" x14ac:dyDescent="0.2">
      <c r="A20" s="188"/>
      <c r="B20" s="165"/>
      <c r="C20" s="165"/>
      <c r="D20" s="165"/>
      <c r="E20" s="165"/>
      <c r="F20" s="165"/>
      <c r="G20" s="166" t="s">
        <v>193</v>
      </c>
      <c r="H20" s="165"/>
      <c r="I20" s="165"/>
      <c r="J20" s="165"/>
      <c r="K20" s="165"/>
      <c r="L20" s="165"/>
      <c r="M20" s="165"/>
      <c r="N20" s="165"/>
      <c r="O20" s="189"/>
    </row>
    <row r="21" spans="1:15" x14ac:dyDescent="0.2">
      <c r="A21" s="351">
        <f>info!C7</f>
        <v>1</v>
      </c>
      <c r="B21" s="352"/>
      <c r="C21" s="352"/>
      <c r="D21" s="352"/>
      <c r="E21" s="352"/>
      <c r="F21" s="352"/>
      <c r="G21" s="352"/>
      <c r="H21" s="352"/>
      <c r="I21" s="352"/>
      <c r="J21" s="352"/>
      <c r="K21" s="66"/>
      <c r="L21" s="352">
        <f>info!C9</f>
        <v>1</v>
      </c>
      <c r="M21" s="352"/>
      <c r="N21" s="352"/>
      <c r="O21" s="353"/>
    </row>
    <row r="22" spans="1:15" ht="11.25" customHeight="1" thickBot="1" x14ac:dyDescent="0.25">
      <c r="A22" s="190"/>
      <c r="B22" s="191"/>
      <c r="C22" s="191"/>
      <c r="D22" s="192"/>
      <c r="E22" s="322" t="s">
        <v>194</v>
      </c>
      <c r="F22" s="191"/>
      <c r="G22" s="191"/>
      <c r="H22" s="191"/>
      <c r="I22" s="191"/>
      <c r="J22" s="191"/>
      <c r="K22" s="191"/>
      <c r="L22" s="191"/>
      <c r="M22" s="322" t="s">
        <v>268</v>
      </c>
      <c r="N22" s="191"/>
      <c r="O22" s="193"/>
    </row>
    <row r="23" spans="1:15" ht="14.25" customHeight="1" x14ac:dyDescent="0.2">
      <c r="A23" s="186"/>
      <c r="B23" s="350">
        <f>info!D8</f>
        <v>2</v>
      </c>
      <c r="C23" s="350"/>
      <c r="D23" s="350"/>
      <c r="E23" s="350"/>
      <c r="F23" s="350"/>
      <c r="G23" s="350"/>
      <c r="H23" s="350"/>
      <c r="I23" s="350"/>
      <c r="J23" s="350"/>
      <c r="K23" s="350"/>
      <c r="L23" s="350"/>
      <c r="M23" s="350"/>
      <c r="N23" s="350"/>
      <c r="O23" s="187"/>
    </row>
    <row r="24" spans="1:15" ht="16.5" x14ac:dyDescent="0.2">
      <c r="A24" s="188"/>
      <c r="B24" s="165"/>
      <c r="C24" s="165"/>
      <c r="D24" s="165"/>
      <c r="E24" s="165"/>
      <c r="F24" s="165"/>
      <c r="G24" s="166" t="s">
        <v>193</v>
      </c>
      <c r="H24" s="165"/>
      <c r="I24" s="165"/>
      <c r="J24" s="165"/>
      <c r="K24" s="165"/>
      <c r="L24" s="165"/>
      <c r="M24" s="165"/>
      <c r="N24" s="165"/>
      <c r="O24" s="189"/>
    </row>
    <row r="25" spans="1:15" ht="14.25" customHeight="1" x14ac:dyDescent="0.2">
      <c r="A25" s="351">
        <f>info!D7</f>
        <v>2</v>
      </c>
      <c r="B25" s="352"/>
      <c r="C25" s="352"/>
      <c r="D25" s="352"/>
      <c r="E25" s="352"/>
      <c r="F25" s="352"/>
      <c r="G25" s="352"/>
      <c r="H25" s="352"/>
      <c r="I25" s="352"/>
      <c r="J25" s="352"/>
      <c r="K25" s="66"/>
      <c r="L25" s="352">
        <f>info!D9</f>
        <v>2</v>
      </c>
      <c r="M25" s="352"/>
      <c r="N25" s="352"/>
      <c r="O25" s="353"/>
    </row>
    <row r="26" spans="1:15" ht="11.25" customHeight="1" thickBot="1" x14ac:dyDescent="0.25">
      <c r="A26" s="190"/>
      <c r="B26" s="191"/>
      <c r="C26" s="191"/>
      <c r="D26" s="192"/>
      <c r="E26" s="322" t="s">
        <v>194</v>
      </c>
      <c r="F26" s="191"/>
      <c r="G26" s="191"/>
      <c r="H26" s="191"/>
      <c r="I26" s="191"/>
      <c r="J26" s="191"/>
      <c r="K26" s="191"/>
      <c r="L26" s="191"/>
      <c r="M26" s="322" t="s">
        <v>268</v>
      </c>
      <c r="N26" s="191"/>
      <c r="O26" s="193"/>
    </row>
    <row r="27" spans="1:15" x14ac:dyDescent="0.2">
      <c r="A27" s="186"/>
      <c r="B27" s="350">
        <f>info!E8</f>
        <v>3</v>
      </c>
      <c r="C27" s="350"/>
      <c r="D27" s="350"/>
      <c r="E27" s="350"/>
      <c r="F27" s="350"/>
      <c r="G27" s="350"/>
      <c r="H27" s="350"/>
      <c r="I27" s="350"/>
      <c r="J27" s="350"/>
      <c r="K27" s="350"/>
      <c r="L27" s="350"/>
      <c r="M27" s="350"/>
      <c r="N27" s="350"/>
      <c r="O27" s="187"/>
    </row>
    <row r="28" spans="1:15" ht="17.25" x14ac:dyDescent="0.25">
      <c r="A28" s="188"/>
      <c r="B28" s="165"/>
      <c r="C28" s="165"/>
      <c r="D28" s="165"/>
      <c r="E28" s="165"/>
      <c r="F28" s="165"/>
      <c r="G28" s="166" t="s">
        <v>193</v>
      </c>
      <c r="H28" s="165"/>
      <c r="I28" s="165"/>
      <c r="J28" s="165"/>
      <c r="K28" s="165"/>
      <c r="L28" s="165"/>
      <c r="M28" s="165"/>
      <c r="N28" s="195"/>
      <c r="O28" s="189"/>
    </row>
    <row r="29" spans="1:15" x14ac:dyDescent="0.2">
      <c r="A29" s="351">
        <f>info!E7</f>
        <v>3</v>
      </c>
      <c r="B29" s="352"/>
      <c r="C29" s="352"/>
      <c r="D29" s="352"/>
      <c r="E29" s="352"/>
      <c r="F29" s="352"/>
      <c r="G29" s="352"/>
      <c r="H29" s="352"/>
      <c r="I29" s="352"/>
      <c r="J29" s="352"/>
      <c r="K29" s="66"/>
      <c r="L29" s="352">
        <f>info!E9</f>
        <v>3</v>
      </c>
      <c r="M29" s="352"/>
      <c r="N29" s="352"/>
      <c r="O29" s="353"/>
    </row>
    <row r="30" spans="1:15" ht="10.5" customHeight="1" thickBot="1" x14ac:dyDescent="0.25">
      <c r="A30" s="190"/>
      <c r="B30" s="191"/>
      <c r="C30" s="191"/>
      <c r="D30" s="192"/>
      <c r="E30" s="322" t="s">
        <v>194</v>
      </c>
      <c r="F30" s="191"/>
      <c r="G30" s="191"/>
      <c r="H30" s="191"/>
      <c r="I30" s="191"/>
      <c r="J30" s="191"/>
      <c r="K30" s="191"/>
      <c r="L30" s="191"/>
      <c r="M30" s="322" t="s">
        <v>268</v>
      </c>
      <c r="N30" s="191"/>
      <c r="O30" s="193"/>
    </row>
    <row r="31" spans="1:15" x14ac:dyDescent="0.2">
      <c r="A31" s="186"/>
      <c r="B31" s="350">
        <f>info!F8</f>
        <v>4</v>
      </c>
      <c r="C31" s="350"/>
      <c r="D31" s="350"/>
      <c r="E31" s="350"/>
      <c r="F31" s="350"/>
      <c r="G31" s="350"/>
      <c r="H31" s="350"/>
      <c r="I31" s="350"/>
      <c r="J31" s="350"/>
      <c r="K31" s="350"/>
      <c r="L31" s="350"/>
      <c r="M31" s="350"/>
      <c r="N31" s="350"/>
      <c r="O31" s="187"/>
    </row>
    <row r="32" spans="1:15" ht="16.5" x14ac:dyDescent="0.2">
      <c r="A32" s="188"/>
      <c r="B32" s="165"/>
      <c r="C32" s="165"/>
      <c r="D32" s="165"/>
      <c r="E32" s="165"/>
      <c r="F32" s="165"/>
      <c r="G32" s="166" t="s">
        <v>193</v>
      </c>
      <c r="H32" s="165"/>
      <c r="I32" s="165"/>
      <c r="J32" s="165"/>
      <c r="K32" s="165"/>
      <c r="L32" s="165"/>
      <c r="M32" s="165"/>
      <c r="N32" s="165"/>
      <c r="O32" s="189"/>
    </row>
    <row r="33" spans="1:18" ht="14.25" customHeight="1" x14ac:dyDescent="0.2">
      <c r="A33" s="351">
        <f>info!F7</f>
        <v>4</v>
      </c>
      <c r="B33" s="352"/>
      <c r="C33" s="352"/>
      <c r="D33" s="352"/>
      <c r="E33" s="352"/>
      <c r="F33" s="352"/>
      <c r="G33" s="352"/>
      <c r="H33" s="352"/>
      <c r="I33" s="352"/>
      <c r="J33" s="352"/>
      <c r="K33" s="66"/>
      <c r="L33" s="352">
        <f>info!F9</f>
        <v>4</v>
      </c>
      <c r="M33" s="352"/>
      <c r="N33" s="352"/>
      <c r="O33" s="353"/>
    </row>
    <row r="34" spans="1:18" ht="11.25" customHeight="1" thickBot="1" x14ac:dyDescent="0.3">
      <c r="A34" s="190"/>
      <c r="B34" s="191"/>
      <c r="C34" s="191"/>
      <c r="D34" s="192"/>
      <c r="E34" s="322" t="s">
        <v>194</v>
      </c>
      <c r="F34" s="191"/>
      <c r="G34" s="191"/>
      <c r="H34" s="191"/>
      <c r="I34" s="191"/>
      <c r="J34" s="191"/>
      <c r="K34" s="191"/>
      <c r="L34" s="191"/>
      <c r="M34" s="322" t="s">
        <v>268</v>
      </c>
      <c r="N34" s="191"/>
      <c r="O34" s="193"/>
      <c r="R34" s="174"/>
    </row>
    <row r="35" spans="1:18" x14ac:dyDescent="0.2">
      <c r="A35" s="186"/>
      <c r="B35" s="350">
        <f>info!G8</f>
        <v>5</v>
      </c>
      <c r="C35" s="350"/>
      <c r="D35" s="350"/>
      <c r="E35" s="350"/>
      <c r="F35" s="350"/>
      <c r="G35" s="350"/>
      <c r="H35" s="350"/>
      <c r="I35" s="350"/>
      <c r="J35" s="350"/>
      <c r="K35" s="350"/>
      <c r="L35" s="350"/>
      <c r="M35" s="350"/>
      <c r="N35" s="350"/>
      <c r="O35" s="187"/>
    </row>
    <row r="36" spans="1:18" ht="14.25" customHeight="1" x14ac:dyDescent="0.2">
      <c r="A36" s="188"/>
      <c r="B36" s="165"/>
      <c r="C36" s="165"/>
      <c r="D36" s="165"/>
      <c r="E36" s="165"/>
      <c r="F36" s="165"/>
      <c r="G36" s="166" t="s">
        <v>193</v>
      </c>
      <c r="H36" s="165"/>
      <c r="I36" s="165"/>
      <c r="J36" s="165"/>
      <c r="K36" s="165"/>
      <c r="L36" s="165"/>
      <c r="M36" s="165"/>
      <c r="N36" s="165"/>
      <c r="O36" s="189"/>
    </row>
    <row r="37" spans="1:18" x14ac:dyDescent="0.2">
      <c r="A37" s="351">
        <f>info!G7</f>
        <v>5</v>
      </c>
      <c r="B37" s="352"/>
      <c r="C37" s="352"/>
      <c r="D37" s="352"/>
      <c r="E37" s="352"/>
      <c r="F37" s="352"/>
      <c r="G37" s="352"/>
      <c r="H37" s="352"/>
      <c r="I37" s="352"/>
      <c r="J37" s="352"/>
      <c r="K37" s="66"/>
      <c r="L37" s="352">
        <f>info!G9</f>
        <v>5</v>
      </c>
      <c r="M37" s="352"/>
      <c r="N37" s="352"/>
      <c r="O37" s="353"/>
    </row>
    <row r="38" spans="1:18" ht="11.25" customHeight="1" thickBot="1" x14ac:dyDescent="0.25">
      <c r="A38" s="190"/>
      <c r="B38" s="191"/>
      <c r="C38" s="191"/>
      <c r="D38" s="192"/>
      <c r="E38" s="322" t="s">
        <v>194</v>
      </c>
      <c r="F38" s="191"/>
      <c r="G38" s="191"/>
      <c r="H38" s="191"/>
      <c r="I38" s="191"/>
      <c r="J38" s="191"/>
      <c r="K38" s="191"/>
      <c r="L38" s="191"/>
      <c r="M38" s="322" t="s">
        <v>268</v>
      </c>
      <c r="N38" s="191"/>
      <c r="O38" s="193"/>
    </row>
    <row r="39" spans="1:18" ht="14.25" customHeight="1" x14ac:dyDescent="0.2">
      <c r="A39" s="186"/>
      <c r="B39" s="350">
        <f>info!H8</f>
        <v>6</v>
      </c>
      <c r="C39" s="350"/>
      <c r="D39" s="350"/>
      <c r="E39" s="350"/>
      <c r="F39" s="350"/>
      <c r="G39" s="350"/>
      <c r="H39" s="350"/>
      <c r="I39" s="350"/>
      <c r="J39" s="350"/>
      <c r="K39" s="350"/>
      <c r="L39" s="350"/>
      <c r="M39" s="350"/>
      <c r="N39" s="350"/>
      <c r="O39" s="187"/>
    </row>
    <row r="40" spans="1:18" ht="14.25" customHeight="1" x14ac:dyDescent="0.2">
      <c r="A40" s="188"/>
      <c r="B40" s="165"/>
      <c r="C40" s="165"/>
      <c r="D40" s="165"/>
      <c r="E40" s="165"/>
      <c r="F40" s="165"/>
      <c r="G40" s="166" t="s">
        <v>193</v>
      </c>
      <c r="H40" s="165"/>
      <c r="I40" s="165"/>
      <c r="J40" s="165"/>
      <c r="K40" s="165"/>
      <c r="L40" s="165"/>
      <c r="M40" s="165"/>
      <c r="N40" s="165"/>
      <c r="O40" s="189"/>
    </row>
    <row r="41" spans="1:18" ht="14.25" customHeight="1" x14ac:dyDescent="0.2">
      <c r="A41" s="351">
        <f>info!H7</f>
        <v>6</v>
      </c>
      <c r="B41" s="352"/>
      <c r="C41" s="352"/>
      <c r="D41" s="352"/>
      <c r="E41" s="352"/>
      <c r="F41" s="352"/>
      <c r="G41" s="352"/>
      <c r="H41" s="352"/>
      <c r="I41" s="352"/>
      <c r="J41" s="352"/>
      <c r="K41" s="66"/>
      <c r="L41" s="352">
        <f>info!H9</f>
        <v>6</v>
      </c>
      <c r="M41" s="352"/>
      <c r="N41" s="352"/>
      <c r="O41" s="353"/>
    </row>
    <row r="42" spans="1:18" ht="12" customHeight="1" thickBot="1" x14ac:dyDescent="0.25">
      <c r="A42" s="190"/>
      <c r="B42" s="191"/>
      <c r="C42" s="191"/>
      <c r="D42" s="192"/>
      <c r="E42" s="322" t="s">
        <v>194</v>
      </c>
      <c r="F42" s="191"/>
      <c r="G42" s="191"/>
      <c r="H42" s="191"/>
      <c r="I42" s="191"/>
      <c r="J42" s="191"/>
      <c r="K42" s="191"/>
      <c r="L42" s="191"/>
      <c r="M42" s="322" t="s">
        <v>268</v>
      </c>
      <c r="N42" s="191"/>
      <c r="O42" s="193"/>
    </row>
    <row r="43" spans="1:18" ht="14.25" customHeight="1" x14ac:dyDescent="0.2">
      <c r="A43" s="186"/>
      <c r="B43" s="350">
        <f>info!I8</f>
        <v>7</v>
      </c>
      <c r="C43" s="350"/>
      <c r="D43" s="350"/>
      <c r="E43" s="350"/>
      <c r="F43" s="350"/>
      <c r="G43" s="350"/>
      <c r="H43" s="350"/>
      <c r="I43" s="350"/>
      <c r="J43" s="350"/>
      <c r="K43" s="350"/>
      <c r="L43" s="350"/>
      <c r="M43" s="350"/>
      <c r="N43" s="350"/>
      <c r="O43" s="187"/>
    </row>
    <row r="44" spans="1:18" ht="14.25" customHeight="1" x14ac:dyDescent="0.2">
      <c r="A44" s="188"/>
      <c r="B44" s="165"/>
      <c r="C44" s="165"/>
      <c r="D44" s="165"/>
      <c r="E44" s="165"/>
      <c r="F44" s="165"/>
      <c r="G44" s="166" t="s">
        <v>193</v>
      </c>
      <c r="H44" s="165"/>
      <c r="I44" s="165"/>
      <c r="J44" s="165"/>
      <c r="K44" s="165"/>
      <c r="L44" s="165"/>
      <c r="M44" s="165"/>
      <c r="N44" s="165"/>
      <c r="O44" s="189"/>
    </row>
    <row r="45" spans="1:18" ht="14.25" customHeight="1" x14ac:dyDescent="0.2">
      <c r="A45" s="351">
        <f>info!I7</f>
        <v>7</v>
      </c>
      <c r="B45" s="352"/>
      <c r="C45" s="352"/>
      <c r="D45" s="352"/>
      <c r="E45" s="352"/>
      <c r="F45" s="352"/>
      <c r="G45" s="352"/>
      <c r="H45" s="352"/>
      <c r="I45" s="352"/>
      <c r="J45" s="352"/>
      <c r="K45" s="66"/>
      <c r="L45" s="352">
        <f>info!I9</f>
        <v>7</v>
      </c>
      <c r="M45" s="352"/>
      <c r="N45" s="352"/>
      <c r="O45" s="353"/>
    </row>
    <row r="46" spans="1:18" ht="12" customHeight="1" thickBot="1" x14ac:dyDescent="0.25">
      <c r="A46" s="190"/>
      <c r="B46" s="191"/>
      <c r="C46" s="191"/>
      <c r="D46" s="192"/>
      <c r="E46" s="322" t="s">
        <v>194</v>
      </c>
      <c r="F46" s="191"/>
      <c r="G46" s="191"/>
      <c r="H46" s="191"/>
      <c r="I46" s="191"/>
      <c r="J46" s="191"/>
      <c r="K46" s="191"/>
      <c r="L46" s="191"/>
      <c r="M46" s="322" t="s">
        <v>268</v>
      </c>
      <c r="N46" s="191"/>
      <c r="O46" s="193"/>
    </row>
    <row r="47" spans="1:18" x14ac:dyDescent="0.2">
      <c r="A47" s="186"/>
      <c r="B47" s="350">
        <f>info!J8</f>
        <v>8</v>
      </c>
      <c r="C47" s="350"/>
      <c r="D47" s="350"/>
      <c r="E47" s="350"/>
      <c r="F47" s="350"/>
      <c r="G47" s="350"/>
      <c r="H47" s="350"/>
      <c r="I47" s="350"/>
      <c r="J47" s="350"/>
      <c r="K47" s="350"/>
      <c r="L47" s="350"/>
      <c r="M47" s="350"/>
      <c r="N47" s="350"/>
      <c r="O47" s="187"/>
    </row>
    <row r="48" spans="1:18" ht="16.5" x14ac:dyDescent="0.2">
      <c r="A48" s="188"/>
      <c r="B48" s="165"/>
      <c r="C48" s="165"/>
      <c r="D48" s="165"/>
      <c r="E48" s="165"/>
      <c r="F48" s="165"/>
      <c r="G48" s="166" t="s">
        <v>193</v>
      </c>
      <c r="H48" s="165"/>
      <c r="I48" s="165"/>
      <c r="J48" s="165"/>
      <c r="K48" s="165"/>
      <c r="L48" s="165"/>
      <c r="M48" s="165"/>
      <c r="N48" s="165"/>
      <c r="O48" s="189"/>
    </row>
    <row r="49" spans="1:15" x14ac:dyDescent="0.2">
      <c r="A49" s="351">
        <f>info!J7</f>
        <v>8</v>
      </c>
      <c r="B49" s="352"/>
      <c r="C49" s="352"/>
      <c r="D49" s="352"/>
      <c r="E49" s="352"/>
      <c r="F49" s="352"/>
      <c r="G49" s="352"/>
      <c r="H49" s="352"/>
      <c r="I49" s="352"/>
      <c r="J49" s="352"/>
      <c r="K49" s="66"/>
      <c r="L49" s="352">
        <f>info!J9</f>
        <v>8</v>
      </c>
      <c r="M49" s="352"/>
      <c r="N49" s="352"/>
      <c r="O49" s="353"/>
    </row>
    <row r="50" spans="1:15" ht="12" customHeight="1" thickBot="1" x14ac:dyDescent="0.25">
      <c r="A50" s="190"/>
      <c r="B50" s="191"/>
      <c r="C50" s="191"/>
      <c r="D50" s="192"/>
      <c r="E50" s="322" t="s">
        <v>194</v>
      </c>
      <c r="F50" s="191"/>
      <c r="G50" s="191"/>
      <c r="H50" s="191"/>
      <c r="I50" s="191"/>
      <c r="J50" s="191"/>
      <c r="K50" s="191"/>
      <c r="L50" s="191"/>
      <c r="M50" s="322" t="s">
        <v>268</v>
      </c>
      <c r="N50" s="191"/>
      <c r="O50" s="193"/>
    </row>
    <row r="51" spans="1:15" s="167" customFormat="1" x14ac:dyDescent="0.2">
      <c r="A51" s="186"/>
      <c r="B51" s="350">
        <f>info!K8</f>
        <v>9</v>
      </c>
      <c r="C51" s="350"/>
      <c r="D51" s="350"/>
      <c r="E51" s="350"/>
      <c r="F51" s="350"/>
      <c r="G51" s="350"/>
      <c r="H51" s="350"/>
      <c r="I51" s="350"/>
      <c r="J51" s="350"/>
      <c r="K51" s="350"/>
      <c r="L51" s="350"/>
      <c r="M51" s="350"/>
      <c r="N51" s="350"/>
      <c r="O51" s="187"/>
    </row>
    <row r="52" spans="1:15" s="167" customFormat="1" ht="16.5" x14ac:dyDescent="0.2">
      <c r="A52" s="188"/>
      <c r="B52" s="165"/>
      <c r="C52" s="165"/>
      <c r="D52" s="165"/>
      <c r="E52" s="165"/>
      <c r="F52" s="165"/>
      <c r="G52" s="166" t="s">
        <v>193</v>
      </c>
      <c r="H52" s="165"/>
      <c r="I52" s="165"/>
      <c r="J52" s="165"/>
      <c r="K52" s="165"/>
      <c r="L52" s="165"/>
      <c r="M52" s="165"/>
      <c r="N52" s="165"/>
      <c r="O52" s="189"/>
    </row>
    <row r="53" spans="1:15" s="167" customFormat="1" x14ac:dyDescent="0.2">
      <c r="A53" s="351">
        <f>info!K7</f>
        <v>9</v>
      </c>
      <c r="B53" s="352"/>
      <c r="C53" s="352"/>
      <c r="D53" s="352"/>
      <c r="E53" s="352"/>
      <c r="F53" s="352"/>
      <c r="G53" s="352"/>
      <c r="H53" s="352"/>
      <c r="I53" s="352"/>
      <c r="J53" s="352"/>
      <c r="K53" s="66"/>
      <c r="L53" s="352">
        <f>info!K9</f>
        <v>9</v>
      </c>
      <c r="M53" s="352"/>
      <c r="N53" s="352"/>
      <c r="O53" s="353"/>
    </row>
    <row r="54" spans="1:15" ht="14.25" customHeight="1" thickBot="1" x14ac:dyDescent="0.25">
      <c r="A54" s="190"/>
      <c r="B54" s="191"/>
      <c r="C54" s="191"/>
      <c r="D54" s="192"/>
      <c r="E54" s="322" t="s">
        <v>194</v>
      </c>
      <c r="F54" s="191"/>
      <c r="G54" s="191"/>
      <c r="H54" s="191"/>
      <c r="I54" s="191"/>
      <c r="J54" s="191"/>
      <c r="K54" s="191"/>
      <c r="L54" s="191"/>
      <c r="M54" s="322" t="s">
        <v>268</v>
      </c>
      <c r="N54" s="191"/>
      <c r="O54" s="193"/>
    </row>
    <row r="55" spans="1:15" ht="15" x14ac:dyDescent="0.25">
      <c r="A55" s="397" t="s">
        <v>272</v>
      </c>
      <c r="B55" s="397"/>
      <c r="C55" s="397"/>
      <c r="D55" s="397"/>
      <c r="E55" s="397"/>
      <c r="F55" s="397"/>
      <c r="G55" s="397"/>
      <c r="H55" s="397"/>
      <c r="I55" s="397"/>
      <c r="J55" s="397"/>
      <c r="K55" s="397"/>
      <c r="L55" s="397"/>
      <c r="M55" s="397"/>
      <c r="N55" s="397"/>
      <c r="O55" s="397"/>
    </row>
    <row r="56" spans="1:15" x14ac:dyDescent="0.2">
      <c r="A56" s="354" t="s">
        <v>252</v>
      </c>
      <c r="B56" s="354"/>
      <c r="C56" s="354"/>
      <c r="D56" s="354"/>
      <c r="E56" s="354"/>
      <c r="F56" s="354"/>
      <c r="G56" s="354"/>
      <c r="H56" s="354"/>
      <c r="I56" s="354"/>
      <c r="J56" s="354"/>
      <c r="K56" s="354"/>
      <c r="L56" s="354"/>
      <c r="M56" s="354"/>
      <c r="N56" s="354"/>
      <c r="O56" s="354"/>
    </row>
    <row r="57" spans="1:15" ht="15" x14ac:dyDescent="0.25">
      <c r="A57" s="373" t="s">
        <v>196</v>
      </c>
      <c r="B57" s="373"/>
      <c r="C57" s="373"/>
      <c r="D57" s="373"/>
      <c r="E57" s="373"/>
      <c r="F57" s="373"/>
      <c r="G57" s="373"/>
      <c r="H57" s="373"/>
      <c r="I57" s="373"/>
      <c r="J57" s="373"/>
      <c r="K57" s="373"/>
      <c r="L57" s="373"/>
      <c r="M57" s="373"/>
      <c r="N57" s="373"/>
      <c r="O57" s="373"/>
    </row>
    <row r="58" spans="1:15" x14ac:dyDescent="0.2">
      <c r="A58" s="354" t="s">
        <v>197</v>
      </c>
      <c r="B58" s="354"/>
      <c r="C58" s="354"/>
      <c r="D58" s="354"/>
      <c r="E58" s="354"/>
      <c r="F58" s="354"/>
      <c r="G58" s="354"/>
      <c r="H58" s="354"/>
      <c r="I58" s="354"/>
      <c r="J58" s="354"/>
      <c r="K58" s="354"/>
      <c r="L58" s="354"/>
      <c r="M58" s="354"/>
      <c r="N58" s="354"/>
      <c r="O58" s="354"/>
    </row>
    <row r="59" spans="1:15" x14ac:dyDescent="0.2">
      <c r="A59" s="354" t="s">
        <v>198</v>
      </c>
      <c r="B59" s="354"/>
      <c r="C59" s="354"/>
      <c r="D59" s="354"/>
      <c r="E59" s="354"/>
      <c r="F59" s="354"/>
      <c r="G59" s="354"/>
      <c r="H59" s="354"/>
      <c r="I59" s="354"/>
      <c r="J59" s="354"/>
      <c r="K59" s="354"/>
      <c r="L59" s="354"/>
      <c r="M59" s="354"/>
      <c r="N59" s="354"/>
      <c r="O59" s="354"/>
    </row>
    <row r="60" spans="1:15" x14ac:dyDescent="0.2">
      <c r="A60" s="354" t="s">
        <v>199</v>
      </c>
      <c r="B60" s="354"/>
      <c r="C60" s="354"/>
      <c r="D60" s="354"/>
      <c r="E60" s="354"/>
      <c r="F60" s="354"/>
      <c r="G60" s="354"/>
      <c r="H60" s="354"/>
      <c r="I60" s="354"/>
      <c r="J60" s="354"/>
      <c r="K60" s="354"/>
      <c r="L60" s="354"/>
      <c r="M60" s="354"/>
      <c r="N60" s="354"/>
      <c r="O60" s="354"/>
    </row>
    <row r="61" spans="1:15" x14ac:dyDescent="0.2">
      <c r="A61" s="354" t="s">
        <v>200</v>
      </c>
      <c r="B61" s="354"/>
      <c r="C61" s="354"/>
      <c r="D61" s="354"/>
      <c r="E61" s="354"/>
      <c r="F61" s="354"/>
      <c r="G61" s="354"/>
      <c r="H61" s="354"/>
      <c r="I61" s="354"/>
      <c r="J61" s="354"/>
      <c r="K61" s="354"/>
      <c r="L61" s="354"/>
      <c r="M61" s="354"/>
      <c r="N61" s="354"/>
      <c r="O61" s="354"/>
    </row>
    <row r="62" spans="1:15" x14ac:dyDescent="0.2">
      <c r="A62" s="354" t="s">
        <v>201</v>
      </c>
      <c r="B62" s="354"/>
      <c r="C62" s="354"/>
      <c r="D62" s="354"/>
      <c r="E62" s="354"/>
      <c r="F62" s="354"/>
      <c r="G62" s="354"/>
      <c r="H62" s="354"/>
      <c r="I62" s="354"/>
      <c r="J62" s="354"/>
      <c r="K62" s="354"/>
      <c r="L62" s="354"/>
      <c r="M62" s="354"/>
      <c r="N62" s="354"/>
      <c r="O62" s="354"/>
    </row>
    <row r="63" spans="1:15" x14ac:dyDescent="0.2">
      <c r="A63" s="354" t="s">
        <v>202</v>
      </c>
      <c r="B63" s="354"/>
      <c r="C63" s="354"/>
      <c r="D63" s="354"/>
      <c r="E63" s="354"/>
      <c r="F63" s="354"/>
      <c r="G63" s="354"/>
      <c r="H63" s="354"/>
      <c r="I63" s="354"/>
      <c r="J63" s="354"/>
      <c r="K63" s="354"/>
      <c r="L63" s="354"/>
      <c r="M63" s="354"/>
      <c r="N63" s="354"/>
      <c r="O63" s="354"/>
    </row>
    <row r="64" spans="1:15" x14ac:dyDescent="0.2">
      <c r="A64" s="354" t="s">
        <v>203</v>
      </c>
      <c r="B64" s="354"/>
      <c r="C64" s="354"/>
      <c r="D64" s="354"/>
      <c r="E64" s="354"/>
      <c r="F64" s="354"/>
      <c r="G64" s="354"/>
      <c r="H64" s="354"/>
      <c r="I64" s="354"/>
      <c r="J64" s="354"/>
      <c r="K64" s="354"/>
      <c r="L64" s="354"/>
      <c r="M64" s="354"/>
      <c r="N64" s="354"/>
      <c r="O64" s="354"/>
    </row>
    <row r="65" spans="1:15" x14ac:dyDescent="0.2">
      <c r="A65" s="372" t="str">
        <f>"3.1.7 скорость охлаждения ("&amp;VLOOKUP(info!D3,Таблица[#All],16,0)&amp;");"</f>
        <v>3.1.7 скорость охлаждения (от 86 °C до -26 °C);</v>
      </c>
      <c r="B65" s="372"/>
      <c r="C65" s="372"/>
      <c r="D65" s="372"/>
      <c r="E65" s="372"/>
      <c r="F65" s="372"/>
      <c r="G65" s="372"/>
      <c r="H65" s="372"/>
      <c r="I65" s="372"/>
      <c r="J65" s="372"/>
      <c r="K65" s="372"/>
      <c r="L65" s="372"/>
      <c r="M65" s="372"/>
      <c r="N65" s="372"/>
      <c r="O65" s="372"/>
    </row>
    <row r="66" spans="1:15" x14ac:dyDescent="0.2">
      <c r="A66" s="372" t="str">
        <f>"3.1.8 скорость нагрева ("&amp;VLOOKUP(info!D3,Таблица[#All],15,0)&amp;");"</f>
        <v>3.1.8 скорость нагрева (от -26 °C до 86 °C);</v>
      </c>
      <c r="B66" s="372"/>
      <c r="C66" s="372"/>
      <c r="D66" s="372"/>
      <c r="E66" s="372"/>
      <c r="F66" s="372"/>
      <c r="G66" s="372"/>
      <c r="H66" s="372"/>
      <c r="I66" s="372"/>
      <c r="J66" s="372"/>
      <c r="K66" s="372"/>
      <c r="L66" s="372"/>
      <c r="M66" s="372"/>
      <c r="N66" s="372"/>
      <c r="O66" s="372"/>
    </row>
    <row r="67" spans="1:15" x14ac:dyDescent="0.2">
      <c r="A67" s="372" t="str">
        <f>"3.1.9 время нагрева от 20 °С до "&amp;VLOOKUP(info!D3,Таблица[#All],3,0)&amp;" °С;"</f>
        <v>3.1.9 время нагрева от 20 °С до 100 °С;</v>
      </c>
      <c r="B67" s="372"/>
      <c r="C67" s="372"/>
      <c r="D67" s="372"/>
      <c r="E67" s="372"/>
      <c r="F67" s="372"/>
      <c r="G67" s="372"/>
      <c r="H67" s="372"/>
      <c r="I67" s="372"/>
      <c r="J67" s="372"/>
      <c r="K67" s="372"/>
      <c r="L67" s="372"/>
      <c r="M67" s="372"/>
      <c r="N67" s="372"/>
      <c r="O67" s="372"/>
    </row>
    <row r="68" spans="1:15" x14ac:dyDescent="0.2">
      <c r="A68" s="372" t="str">
        <f>"3.1.10 время охлаждения  от 20 °С до "&amp;VLOOKUP(info!D3,Таблица[#All],2,0)&amp;" °С;"</f>
        <v>3.1.10 время охлаждения  от 20 °С до -40 °С;</v>
      </c>
      <c r="B68" s="372"/>
      <c r="C68" s="372"/>
      <c r="D68" s="372"/>
      <c r="E68" s="372"/>
      <c r="F68" s="372"/>
      <c r="G68" s="372"/>
      <c r="H68" s="372"/>
      <c r="I68" s="372"/>
      <c r="J68" s="372"/>
      <c r="K68" s="372"/>
      <c r="L68" s="372"/>
      <c r="M68" s="372"/>
      <c r="N68" s="372"/>
      <c r="O68" s="372"/>
    </row>
    <row r="69" spans="1:15" s="173" customFormat="1" x14ac:dyDescent="0.2">
      <c r="A69" s="211" t="s">
        <v>295</v>
      </c>
      <c r="B69" s="185"/>
      <c r="C69" s="185"/>
      <c r="D69" s="185"/>
      <c r="E69" s="185"/>
      <c r="F69" s="185"/>
      <c r="G69" s="185"/>
      <c r="H69" s="185"/>
      <c r="I69" s="185"/>
      <c r="J69" s="185"/>
      <c r="K69" s="185"/>
      <c r="L69" s="185"/>
      <c r="M69" s="185"/>
      <c r="N69" s="185"/>
      <c r="O69" s="185"/>
    </row>
    <row r="70" spans="1:15" ht="15" hidden="1" x14ac:dyDescent="0.25">
      <c r="A70" s="373" t="s">
        <v>204</v>
      </c>
      <c r="B70" s="373"/>
      <c r="C70" s="373"/>
      <c r="D70" s="373"/>
      <c r="E70" s="373"/>
      <c r="F70" s="373"/>
      <c r="G70" s="373"/>
      <c r="H70" s="373"/>
      <c r="I70" s="373"/>
      <c r="J70" s="373"/>
      <c r="K70" s="373"/>
      <c r="L70" s="373"/>
      <c r="M70" s="373"/>
      <c r="N70" s="373"/>
      <c r="O70" s="373"/>
    </row>
    <row r="71" spans="1:15" hidden="1" x14ac:dyDescent="0.2">
      <c r="A71" s="354" t="s">
        <v>205</v>
      </c>
      <c r="B71" s="354"/>
      <c r="C71" s="354"/>
      <c r="D71" s="354"/>
      <c r="E71" s="354"/>
      <c r="F71" s="354"/>
      <c r="G71" s="354"/>
      <c r="H71" s="354"/>
      <c r="I71" s="354"/>
      <c r="J71" s="354"/>
      <c r="K71" s="354"/>
      <c r="L71" s="354"/>
      <c r="M71" s="354"/>
      <c r="N71" s="354"/>
      <c r="O71" s="354"/>
    </row>
    <row r="72" spans="1:15" hidden="1" x14ac:dyDescent="0.2">
      <c r="A72" s="354" t="s">
        <v>206</v>
      </c>
      <c r="B72" s="354"/>
      <c r="C72" s="354"/>
      <c r="D72" s="354"/>
      <c r="E72" s="354"/>
      <c r="F72" s="354"/>
      <c r="G72" s="354"/>
      <c r="H72" s="354"/>
      <c r="I72" s="354"/>
      <c r="J72" s="354"/>
      <c r="K72" s="354"/>
      <c r="L72" s="354"/>
      <c r="M72" s="354"/>
      <c r="N72" s="354"/>
      <c r="O72" s="354"/>
    </row>
    <row r="73" spans="1:15" hidden="1" x14ac:dyDescent="0.2">
      <c r="A73" s="354" t="s">
        <v>207</v>
      </c>
      <c r="B73" s="354"/>
      <c r="C73" s="354"/>
      <c r="D73" s="354"/>
      <c r="E73" s="354"/>
      <c r="F73" s="354"/>
      <c r="G73" s="354"/>
      <c r="H73" s="354"/>
      <c r="I73" s="354"/>
      <c r="J73" s="354"/>
      <c r="K73" s="354"/>
      <c r="L73" s="354"/>
      <c r="M73" s="354"/>
      <c r="N73" s="354"/>
      <c r="O73" s="354"/>
    </row>
    <row r="74" spans="1:15" hidden="1" x14ac:dyDescent="0.2">
      <c r="A74" s="354" t="s">
        <v>208</v>
      </c>
      <c r="B74" s="354"/>
      <c r="C74" s="354"/>
      <c r="D74" s="354"/>
      <c r="E74" s="354"/>
      <c r="F74" s="354"/>
      <c r="G74" s="354"/>
      <c r="H74" s="354"/>
      <c r="I74" s="354"/>
      <c r="J74" s="354"/>
      <c r="K74" s="354"/>
      <c r="L74" s="354"/>
      <c r="M74" s="354"/>
      <c r="N74" s="354"/>
      <c r="O74" s="354"/>
    </row>
    <row r="75" spans="1:15" hidden="1" x14ac:dyDescent="0.2">
      <c r="A75" s="354" t="s">
        <v>209</v>
      </c>
      <c r="B75" s="354"/>
      <c r="C75" s="354"/>
      <c r="D75" s="354"/>
      <c r="E75" s="354"/>
      <c r="F75" s="354"/>
      <c r="G75" s="354"/>
      <c r="H75" s="354"/>
      <c r="I75" s="354"/>
      <c r="J75" s="354"/>
      <c r="K75" s="354"/>
      <c r="L75" s="354"/>
      <c r="M75" s="354"/>
      <c r="N75" s="354"/>
      <c r="O75" s="354"/>
    </row>
    <row r="76" spans="1:15" hidden="1" x14ac:dyDescent="0.2">
      <c r="A76" s="354" t="s">
        <v>210</v>
      </c>
      <c r="B76" s="354"/>
      <c r="C76" s="354"/>
      <c r="D76" s="354"/>
      <c r="E76" s="354"/>
      <c r="F76" s="354"/>
      <c r="G76" s="354"/>
      <c r="H76" s="354"/>
      <c r="I76" s="354"/>
      <c r="J76" s="354"/>
      <c r="K76" s="354"/>
      <c r="L76" s="354"/>
      <c r="M76" s="354"/>
      <c r="N76" s="354"/>
      <c r="O76" s="354"/>
    </row>
    <row r="77" spans="1:15" hidden="1" x14ac:dyDescent="0.2">
      <c r="A77" s="354" t="s">
        <v>211</v>
      </c>
      <c r="B77" s="354"/>
      <c r="C77" s="354"/>
      <c r="D77" s="354"/>
      <c r="E77" s="354"/>
      <c r="F77" s="354"/>
      <c r="G77" s="354"/>
      <c r="H77" s="354"/>
      <c r="I77" s="354"/>
      <c r="J77" s="354"/>
      <c r="K77" s="354"/>
      <c r="L77" s="354"/>
      <c r="M77" s="354"/>
      <c r="N77" s="354"/>
      <c r="O77" s="354"/>
    </row>
    <row r="78" spans="1:15" hidden="1" x14ac:dyDescent="0.2">
      <c r="A78" s="354" t="s">
        <v>212</v>
      </c>
      <c r="B78" s="354"/>
      <c r="C78" s="354"/>
      <c r="D78" s="354"/>
      <c r="E78" s="354"/>
      <c r="F78" s="354"/>
      <c r="G78" s="354"/>
      <c r="H78" s="354"/>
      <c r="I78" s="354"/>
      <c r="J78" s="354"/>
      <c r="K78" s="354"/>
      <c r="L78" s="354"/>
      <c r="M78" s="354"/>
      <c r="N78" s="354"/>
      <c r="O78" s="354"/>
    </row>
    <row r="79" spans="1:15" hidden="1" x14ac:dyDescent="0.2">
      <c r="A79" s="354" t="s">
        <v>213</v>
      </c>
      <c r="B79" s="354"/>
      <c r="C79" s="354"/>
      <c r="D79" s="354"/>
      <c r="E79" s="354"/>
      <c r="F79" s="354"/>
      <c r="G79" s="354"/>
      <c r="H79" s="354"/>
      <c r="I79" s="354"/>
      <c r="J79" s="354"/>
      <c r="K79" s="354"/>
      <c r="L79" s="354"/>
      <c r="M79" s="354"/>
      <c r="N79" s="354"/>
      <c r="O79" s="354"/>
    </row>
    <row r="80" spans="1:15" hidden="1" x14ac:dyDescent="0.2">
      <c r="A80" s="354" t="s">
        <v>214</v>
      </c>
      <c r="B80" s="354"/>
      <c r="C80" s="354"/>
      <c r="D80" s="354"/>
      <c r="E80" s="354"/>
      <c r="F80" s="354"/>
      <c r="G80" s="354"/>
      <c r="H80" s="354"/>
      <c r="I80" s="354"/>
      <c r="J80" s="354"/>
      <c r="K80" s="354"/>
      <c r="L80" s="354"/>
      <c r="M80" s="354"/>
      <c r="N80" s="354"/>
      <c r="O80" s="354"/>
    </row>
    <row r="81" spans="1:15" hidden="1" x14ac:dyDescent="0.2">
      <c r="A81" s="400" t="s">
        <v>215</v>
      </c>
      <c r="B81" s="400"/>
      <c r="C81" s="400"/>
      <c r="D81" s="400"/>
      <c r="E81" s="400"/>
      <c r="F81" s="400"/>
      <c r="G81" s="400"/>
      <c r="H81" s="400"/>
      <c r="I81" s="400"/>
      <c r="J81" s="400"/>
      <c r="K81" s="400"/>
      <c r="L81" s="400"/>
      <c r="M81" s="400"/>
      <c r="N81" s="400"/>
      <c r="O81" s="400"/>
    </row>
    <row r="82" spans="1:15" hidden="1" x14ac:dyDescent="0.2">
      <c r="A82" s="354" t="s">
        <v>216</v>
      </c>
      <c r="B82" s="354"/>
      <c r="C82" s="354"/>
      <c r="D82" s="354"/>
      <c r="E82" s="354"/>
      <c r="F82" s="354"/>
      <c r="G82" s="354"/>
      <c r="H82" s="354"/>
      <c r="I82" s="354"/>
      <c r="J82" s="354"/>
      <c r="K82" s="354"/>
      <c r="L82" s="354"/>
      <c r="M82" s="354"/>
      <c r="N82" s="354"/>
      <c r="O82" s="354"/>
    </row>
    <row r="83" spans="1:15" hidden="1" x14ac:dyDescent="0.2">
      <c r="A83" s="354" t="s">
        <v>294</v>
      </c>
      <c r="B83" s="354"/>
      <c r="C83" s="354"/>
      <c r="D83" s="354"/>
      <c r="E83" s="354"/>
      <c r="F83" s="354"/>
      <c r="G83" s="354"/>
      <c r="H83" s="354"/>
      <c r="I83" s="354"/>
      <c r="J83" s="354"/>
      <c r="K83" s="354"/>
      <c r="L83" s="354"/>
      <c r="M83" s="354"/>
      <c r="N83" s="354"/>
      <c r="O83" s="354"/>
    </row>
    <row r="84" spans="1:15" s="173" customFormat="1" hidden="1" x14ac:dyDescent="0.2">
      <c r="A84" s="407" t="s">
        <v>296</v>
      </c>
      <c r="B84" s="407"/>
      <c r="C84" s="407"/>
      <c r="D84" s="407"/>
      <c r="E84" s="407"/>
      <c r="F84" s="407"/>
      <c r="G84" s="407"/>
      <c r="H84" s="407"/>
      <c r="I84" s="407"/>
      <c r="J84" s="407"/>
      <c r="K84" s="407"/>
      <c r="L84" s="407"/>
      <c r="M84" s="407"/>
      <c r="N84" s="407"/>
      <c r="O84" s="407"/>
    </row>
    <row r="85" spans="1:15" ht="15" x14ac:dyDescent="0.25">
      <c r="A85" s="373" t="s">
        <v>217</v>
      </c>
      <c r="B85" s="373"/>
      <c r="C85" s="373"/>
      <c r="D85" s="373"/>
      <c r="E85" s="373"/>
      <c r="F85" s="373"/>
      <c r="G85" s="373"/>
      <c r="H85" s="373"/>
      <c r="I85" s="373"/>
      <c r="J85" s="373"/>
      <c r="K85" s="373"/>
      <c r="L85" s="373"/>
      <c r="M85" s="373"/>
      <c r="N85" s="373"/>
      <c r="O85" s="373"/>
    </row>
    <row r="86" spans="1:15" x14ac:dyDescent="0.2">
      <c r="A86" s="354" t="s">
        <v>218</v>
      </c>
      <c r="B86" s="354"/>
      <c r="C86" s="354"/>
      <c r="D86" s="354"/>
      <c r="E86" s="354"/>
      <c r="F86" s="354"/>
      <c r="G86" s="354"/>
      <c r="H86" s="354"/>
      <c r="I86" s="354"/>
      <c r="J86" s="354"/>
      <c r="K86" s="354"/>
      <c r="L86" s="354"/>
      <c r="M86" s="354"/>
      <c r="N86" s="354"/>
      <c r="O86" s="354"/>
    </row>
    <row r="87" spans="1:15" x14ac:dyDescent="0.2">
      <c r="A87" s="354" t="s">
        <v>219</v>
      </c>
      <c r="B87" s="354"/>
      <c r="C87" s="354"/>
      <c r="D87" s="354"/>
      <c r="E87" s="354"/>
      <c r="F87" s="354"/>
      <c r="G87" s="354"/>
      <c r="H87" s="354"/>
      <c r="I87" s="354"/>
      <c r="J87" s="354"/>
      <c r="K87" s="354"/>
      <c r="L87" s="354"/>
      <c r="M87" s="354"/>
      <c r="N87" s="354"/>
      <c r="O87" s="354"/>
    </row>
    <row r="88" spans="1:15" x14ac:dyDescent="0.2">
      <c r="A88" s="354" t="s">
        <v>220</v>
      </c>
      <c r="B88" s="354"/>
      <c r="C88" s="354"/>
      <c r="D88" s="354"/>
      <c r="E88" s="354"/>
      <c r="F88" s="354"/>
      <c r="G88" s="354"/>
      <c r="H88" s="354"/>
      <c r="I88" s="354"/>
      <c r="J88" s="354"/>
      <c r="K88" s="354"/>
      <c r="L88" s="354"/>
      <c r="M88" s="354"/>
      <c r="N88" s="354"/>
      <c r="O88" s="354"/>
    </row>
    <row r="89" spans="1:15" x14ac:dyDescent="0.2">
      <c r="A89" s="354" t="s">
        <v>221</v>
      </c>
      <c r="B89" s="354"/>
      <c r="C89" s="354"/>
      <c r="D89" s="354"/>
      <c r="E89" s="354"/>
      <c r="F89" s="354"/>
      <c r="G89" s="354"/>
      <c r="H89" s="354"/>
      <c r="I89" s="354"/>
      <c r="J89" s="354"/>
      <c r="K89" s="354"/>
      <c r="L89" s="354"/>
      <c r="M89" s="354"/>
      <c r="N89" s="354"/>
      <c r="O89" s="354"/>
    </row>
    <row r="90" spans="1:15" ht="12" customHeight="1" x14ac:dyDescent="0.2">
      <c r="A90" s="354" t="s">
        <v>222</v>
      </c>
      <c r="B90" s="354"/>
      <c r="C90" s="354"/>
      <c r="D90" s="354"/>
      <c r="E90" s="354"/>
      <c r="F90" s="354"/>
      <c r="G90" s="354"/>
      <c r="H90" s="354"/>
      <c r="I90" s="354"/>
      <c r="J90" s="354"/>
      <c r="K90" s="354"/>
      <c r="L90" s="354"/>
      <c r="M90" s="354"/>
      <c r="N90" s="354"/>
      <c r="O90" s="354"/>
    </row>
    <row r="91" spans="1:15" x14ac:dyDescent="0.2">
      <c r="A91" s="354" t="s">
        <v>223</v>
      </c>
      <c r="B91" s="354"/>
      <c r="C91" s="354"/>
      <c r="D91" s="354"/>
      <c r="E91" s="354"/>
      <c r="F91" s="354"/>
      <c r="G91" s="354"/>
      <c r="H91" s="354"/>
      <c r="I91" s="354"/>
      <c r="J91" s="354"/>
      <c r="K91" s="354"/>
      <c r="L91" s="354"/>
      <c r="M91" s="354"/>
      <c r="N91" s="354"/>
      <c r="O91" s="354"/>
    </row>
    <row r="92" spans="1:15" x14ac:dyDescent="0.2">
      <c r="A92" s="354" t="s">
        <v>224</v>
      </c>
      <c r="B92" s="354"/>
      <c r="C92" s="354"/>
      <c r="D92" s="354"/>
      <c r="E92" s="354"/>
      <c r="F92" s="354"/>
      <c r="G92" s="354"/>
      <c r="H92" s="354"/>
      <c r="I92" s="354"/>
      <c r="J92" s="354"/>
      <c r="K92" s="354"/>
      <c r="L92" s="354"/>
      <c r="M92" s="354"/>
      <c r="N92" s="354"/>
      <c r="O92" s="354"/>
    </row>
    <row r="93" spans="1:15" x14ac:dyDescent="0.2">
      <c r="A93" s="354" t="s">
        <v>225</v>
      </c>
      <c r="B93" s="354"/>
      <c r="C93" s="354"/>
      <c r="D93" s="354"/>
      <c r="E93" s="354"/>
      <c r="F93" s="354"/>
      <c r="G93" s="354"/>
      <c r="H93" s="354"/>
      <c r="I93" s="354"/>
      <c r="J93" s="354"/>
      <c r="K93" s="354"/>
      <c r="L93" s="354"/>
      <c r="M93" s="354"/>
      <c r="N93" s="354"/>
      <c r="O93" s="354"/>
    </row>
    <row r="94" spans="1:15" x14ac:dyDescent="0.2">
      <c r="A94" s="354"/>
      <c r="B94" s="354"/>
      <c r="C94" s="354"/>
      <c r="D94" s="354"/>
      <c r="E94" s="354"/>
      <c r="F94" s="354"/>
      <c r="G94" s="354"/>
      <c r="H94" s="354"/>
      <c r="I94" s="354"/>
      <c r="J94" s="354"/>
      <c r="K94" s="354"/>
      <c r="L94" s="354"/>
      <c r="M94" s="354"/>
      <c r="N94" s="354"/>
      <c r="O94" s="354"/>
    </row>
    <row r="95" spans="1:15" ht="15" customHeight="1" x14ac:dyDescent="0.2">
      <c r="A95" s="357" t="s">
        <v>227</v>
      </c>
      <c r="B95" s="357"/>
      <c r="C95" s="357"/>
      <c r="D95" s="357"/>
      <c r="E95" s="357"/>
      <c r="F95" s="357"/>
      <c r="G95" s="357"/>
      <c r="H95" s="357"/>
      <c r="I95" s="357"/>
      <c r="J95" s="357"/>
      <c r="K95" s="357"/>
      <c r="L95" s="357"/>
      <c r="M95" s="357"/>
      <c r="N95" s="357"/>
      <c r="O95" s="357"/>
    </row>
    <row r="96" spans="1:15" x14ac:dyDescent="0.2">
      <c r="A96" s="360" t="str">
        <f>"4.1 Температура окружающего воздуха: "&amp;info!B12&amp;" °C"</f>
        <v>4.1 Температура окружающего воздуха: 22 °C</v>
      </c>
      <c r="B96" s="360"/>
      <c r="C96" s="360"/>
      <c r="D96" s="360"/>
      <c r="E96" s="360"/>
      <c r="F96" s="360"/>
      <c r="G96" s="360"/>
      <c r="H96" s="360"/>
      <c r="I96" s="360"/>
      <c r="J96" s="360"/>
      <c r="K96" s="360"/>
      <c r="L96" s="360"/>
      <c r="M96" s="360"/>
      <c r="N96" s="360"/>
      <c r="O96" s="360"/>
    </row>
    <row r="97" spans="1:15" x14ac:dyDescent="0.2">
      <c r="A97" s="409" t="str">
        <f>"4.2 Относительная влажность: "&amp;info!C12&amp;" %"</f>
        <v>4.2 Относительная влажность: 49 %</v>
      </c>
      <c r="B97" s="409"/>
      <c r="C97" s="409"/>
      <c r="D97" s="409"/>
      <c r="E97" s="409"/>
      <c r="F97" s="409"/>
      <c r="G97" s="409"/>
      <c r="H97" s="409"/>
      <c r="I97" s="409"/>
      <c r="J97" s="409"/>
      <c r="K97" s="409"/>
      <c r="L97" s="409"/>
      <c r="M97" s="409"/>
      <c r="N97" s="409"/>
      <c r="O97" s="409"/>
    </row>
    <row r="98" spans="1:15" x14ac:dyDescent="0.2">
      <c r="A98" s="360" t="str">
        <f>"4.3 Атмосферное давление: "&amp;info!D12&amp;" мм рт.ст"</f>
        <v>4.3 Атмосферное давление: 747 мм рт.ст</v>
      </c>
      <c r="B98" s="360"/>
      <c r="C98" s="360"/>
      <c r="D98" s="360"/>
      <c r="E98" s="360"/>
      <c r="F98" s="360"/>
      <c r="G98" s="360"/>
      <c r="H98" s="360"/>
      <c r="I98" s="360"/>
      <c r="J98" s="360"/>
      <c r="K98" s="360"/>
      <c r="L98" s="360"/>
      <c r="M98" s="360"/>
      <c r="N98" s="360"/>
      <c r="O98" s="360"/>
    </row>
    <row r="99" spans="1:15" ht="14.25" customHeight="1" x14ac:dyDescent="0.2">
      <c r="A99" s="360" t="str">
        <f>"4.4 Напряжение питающей сети: "&amp;info!E12&amp;" В"</f>
        <v>4.4 Напряжение питающей сети: 361 В</v>
      </c>
      <c r="B99" s="360"/>
      <c r="C99" s="360"/>
      <c r="D99" s="360"/>
      <c r="E99" s="360"/>
      <c r="F99" s="360"/>
      <c r="G99" s="360"/>
      <c r="H99" s="360"/>
      <c r="I99" s="360"/>
      <c r="J99" s="360"/>
      <c r="K99" s="360"/>
      <c r="L99" s="360"/>
      <c r="M99" s="360"/>
      <c r="N99" s="360"/>
      <c r="O99" s="360"/>
    </row>
    <row r="100" spans="1:15" ht="13.5" customHeight="1" x14ac:dyDescent="0.2">
      <c r="A100" s="360" t="str">
        <f>"4.5 Частота сети: "&amp;info!F12&amp;" Гц"</f>
        <v>4.5 Частота сети: 50 Гц</v>
      </c>
      <c r="B100" s="360"/>
      <c r="C100" s="360"/>
      <c r="D100" s="360"/>
      <c r="E100" s="360"/>
      <c r="F100" s="360"/>
      <c r="G100" s="360"/>
      <c r="H100" s="360"/>
      <c r="I100" s="360"/>
      <c r="J100" s="360"/>
      <c r="K100" s="360"/>
      <c r="L100" s="360"/>
      <c r="M100" s="360"/>
      <c r="N100" s="360"/>
      <c r="O100" s="360"/>
    </row>
    <row r="101" spans="1:15" x14ac:dyDescent="0.2">
      <c r="A101" s="360"/>
      <c r="B101" s="360"/>
      <c r="C101" s="360"/>
      <c r="D101" s="360"/>
      <c r="E101" s="360"/>
      <c r="F101" s="360"/>
      <c r="G101" s="360"/>
      <c r="H101" s="360"/>
      <c r="I101" s="360"/>
      <c r="J101" s="360"/>
      <c r="K101" s="360"/>
      <c r="L101" s="360"/>
      <c r="M101" s="360"/>
      <c r="N101" s="360"/>
      <c r="O101" s="360"/>
    </row>
    <row r="102" spans="1:15" ht="15" x14ac:dyDescent="0.2">
      <c r="A102" s="401" t="s">
        <v>228</v>
      </c>
      <c r="B102" s="401"/>
      <c r="C102" s="401"/>
      <c r="D102" s="401"/>
      <c r="E102" s="401"/>
      <c r="F102" s="401"/>
      <c r="G102" s="401"/>
      <c r="H102" s="401"/>
      <c r="I102" s="401"/>
      <c r="J102" s="401"/>
      <c r="K102" s="401"/>
      <c r="L102" s="401"/>
      <c r="M102" s="401"/>
      <c r="N102" s="401"/>
      <c r="O102" s="401"/>
    </row>
    <row r="103" spans="1:15" x14ac:dyDescent="0.2">
      <c r="A103" s="364" t="str">
        <f>"5.1 Формуляр, руководства пользователя "&amp;info!J3&amp;";"</f>
        <v>5.1 Формуляр, руководства пользователя Камера тепла холода и влаги;</v>
      </c>
      <c r="B103" s="364"/>
      <c r="C103" s="364"/>
      <c r="D103" s="364"/>
      <c r="E103" s="364"/>
      <c r="F103" s="364"/>
      <c r="G103" s="364"/>
      <c r="H103" s="364"/>
      <c r="I103" s="364"/>
      <c r="J103" s="364"/>
      <c r="K103" s="364"/>
      <c r="L103" s="364"/>
      <c r="M103" s="364"/>
      <c r="N103" s="364"/>
      <c r="O103" s="364"/>
    </row>
    <row r="104" spans="1:15" ht="32.25" customHeight="1" x14ac:dyDescent="0.2">
      <c r="A104" s="399" t="str">
        <f>"5.2 Программа и методика первичной (периодической, повторной) аттестации "&amp;info!K3&amp;" "&amp;info!D3&amp;" № "&amp;info!F3&amp;";"</f>
        <v>5.2 Программа и методика первичной (периодической, повторной) аттестации камеры тепла холода и влаги PU-3KT № 1994;</v>
      </c>
      <c r="B104" s="399"/>
      <c r="C104" s="399"/>
      <c r="D104" s="399"/>
      <c r="E104" s="399"/>
      <c r="F104" s="399"/>
      <c r="G104" s="399"/>
      <c r="H104" s="399"/>
      <c r="I104" s="399"/>
      <c r="J104" s="399"/>
      <c r="K104" s="399"/>
      <c r="L104" s="399"/>
      <c r="M104" s="399"/>
      <c r="N104" s="399"/>
      <c r="O104" s="399"/>
    </row>
    <row r="105" spans="1:15" ht="45" customHeight="1" x14ac:dyDescent="0.2">
      <c r="A105" s="399" t="str">
        <f>"5.3 Заключение по результатам метрологической экспертизы программы и методики первичной (пероидической, повторной) аттестации "&amp;info!K3&amp;" "&amp;info!D3&amp;";"</f>
        <v>5.3 Заключение по результатам метрологической экспертизы программы и методики первичной (пероидической, повторной) аттестации камеры тепла холода и влаги PU-3KT;</v>
      </c>
      <c r="B105" s="399"/>
      <c r="C105" s="399"/>
      <c r="D105" s="399"/>
      <c r="E105" s="399"/>
      <c r="F105" s="399"/>
      <c r="G105" s="399"/>
      <c r="H105" s="399"/>
      <c r="I105" s="399"/>
      <c r="J105" s="399"/>
      <c r="K105" s="399"/>
      <c r="L105" s="399"/>
      <c r="M105" s="399"/>
      <c r="N105" s="399"/>
      <c r="O105" s="399"/>
    </row>
    <row r="106" spans="1:15" ht="14.25" customHeight="1" x14ac:dyDescent="0.2">
      <c r="A106" s="399" t="str">
        <f>"5.4 Протокол "&amp;info!M3&amp;" измерения сопротивления изоляции;"</f>
        <v>5.4 Протокол от 28.01.2020г. № 4094  измерения сопротивления изоляции;</v>
      </c>
      <c r="B106" s="399"/>
      <c r="C106" s="399"/>
      <c r="D106" s="399"/>
      <c r="E106" s="399"/>
      <c r="F106" s="399"/>
      <c r="G106" s="399"/>
      <c r="H106" s="399"/>
      <c r="I106" s="399"/>
      <c r="J106" s="399"/>
      <c r="K106" s="399"/>
      <c r="L106" s="399"/>
      <c r="M106" s="399"/>
      <c r="N106" s="399"/>
      <c r="O106" s="399"/>
    </row>
    <row r="107" spans="1:15" ht="31.5" customHeight="1" x14ac:dyDescent="0.2">
      <c r="A107" s="399" t="str">
        <f>"5.5 Протокол "&amp;info!N3&amp;" проверки наличия цепи между заземленными установками и элементами заземленной установки;"</f>
        <v>5.5 Протокол от 28.01.2020г. № 4095  проверки наличия цепи между заземленными установками и элементами заземленной установки;</v>
      </c>
      <c r="B107" s="399"/>
      <c r="C107" s="399"/>
      <c r="D107" s="399"/>
      <c r="E107" s="399"/>
      <c r="F107" s="399"/>
      <c r="G107" s="399"/>
      <c r="H107" s="399"/>
      <c r="I107" s="399"/>
      <c r="J107" s="399"/>
      <c r="K107" s="399"/>
      <c r="L107" s="399"/>
      <c r="M107" s="399"/>
      <c r="N107" s="399"/>
      <c r="O107" s="399"/>
    </row>
    <row r="108" spans="1:15" ht="14.25" customHeight="1" x14ac:dyDescent="0.2">
      <c r="A108" s="371" t="s">
        <v>273</v>
      </c>
      <c r="B108" s="371"/>
      <c r="C108" s="371"/>
      <c r="D108" s="371"/>
      <c r="E108" s="371"/>
      <c r="F108" s="371"/>
      <c r="G108" s="371"/>
      <c r="H108" s="371"/>
      <c r="I108" s="371"/>
      <c r="J108" s="371"/>
      <c r="K108" s="371"/>
      <c r="L108" s="371"/>
      <c r="M108" s="371"/>
      <c r="N108" s="371"/>
      <c r="O108" s="371"/>
    </row>
    <row r="109" spans="1:15" ht="14.25" customHeight="1" x14ac:dyDescent="0.2">
      <c r="A109" s="371" t="s">
        <v>242</v>
      </c>
      <c r="B109" s="371"/>
      <c r="C109" s="371"/>
      <c r="D109" s="371"/>
      <c r="E109" s="371"/>
      <c r="F109" s="371"/>
      <c r="G109" s="371"/>
      <c r="H109" s="371"/>
      <c r="I109" s="371"/>
      <c r="J109" s="371"/>
      <c r="K109" s="371"/>
      <c r="L109" s="371"/>
      <c r="M109" s="371"/>
      <c r="N109" s="371"/>
      <c r="O109" s="371"/>
    </row>
    <row r="110" spans="1:15" ht="14.25" customHeight="1" x14ac:dyDescent="0.2">
      <c r="A110" s="371" t="s">
        <v>243</v>
      </c>
      <c r="B110" s="371"/>
      <c r="C110" s="371"/>
      <c r="D110" s="371"/>
      <c r="E110" s="371"/>
      <c r="F110" s="371"/>
      <c r="G110" s="371"/>
      <c r="H110" s="371"/>
      <c r="I110" s="371"/>
      <c r="J110" s="371"/>
      <c r="K110" s="371"/>
      <c r="L110" s="371"/>
      <c r="M110" s="371"/>
      <c r="N110" s="371"/>
      <c r="O110" s="371"/>
    </row>
    <row r="111" spans="1:15" s="173" customFormat="1" hidden="1" x14ac:dyDescent="0.2">
      <c r="A111" s="371" t="str">
        <f>"5.9 "&amp;info!P3</f>
        <v>5.9 Протокол первичной аттестации от 25.12.2018г. № 1952.1</v>
      </c>
      <c r="B111" s="371"/>
      <c r="C111" s="371"/>
      <c r="D111" s="371"/>
      <c r="E111" s="371"/>
      <c r="F111" s="371"/>
      <c r="G111" s="371"/>
      <c r="H111" s="371"/>
      <c r="I111" s="371"/>
      <c r="J111" s="371"/>
      <c r="K111" s="371"/>
      <c r="L111" s="371"/>
      <c r="M111" s="371"/>
      <c r="N111" s="371"/>
      <c r="O111" s="371"/>
    </row>
    <row r="112" spans="1:15" s="173" customFormat="1" ht="14.25" customHeight="1" x14ac:dyDescent="0.2">
      <c r="A112" s="371"/>
      <c r="B112" s="371"/>
      <c r="C112" s="371"/>
      <c r="D112" s="371"/>
      <c r="E112" s="371"/>
      <c r="F112" s="371"/>
      <c r="G112" s="371"/>
      <c r="H112" s="371"/>
      <c r="I112" s="371"/>
      <c r="J112" s="371"/>
      <c r="K112" s="371"/>
      <c r="L112" s="371"/>
      <c r="M112" s="371"/>
      <c r="N112" s="371"/>
      <c r="O112" s="371"/>
    </row>
    <row r="113" spans="1:15" s="173" customFormat="1" ht="14.25" customHeight="1" x14ac:dyDescent="0.2">
      <c r="A113" s="371"/>
      <c r="B113" s="371"/>
      <c r="C113" s="371"/>
      <c r="D113" s="371"/>
      <c r="E113" s="371"/>
      <c r="F113" s="371"/>
      <c r="G113" s="371"/>
      <c r="H113" s="371"/>
      <c r="I113" s="371"/>
      <c r="J113" s="371"/>
      <c r="K113" s="371"/>
      <c r="L113" s="371"/>
      <c r="M113" s="371"/>
      <c r="N113" s="371"/>
      <c r="O113" s="371"/>
    </row>
    <row r="114" spans="1:15" x14ac:dyDescent="0.2">
      <c r="A114" s="408"/>
      <c r="B114" s="408"/>
      <c r="C114" s="408"/>
      <c r="D114" s="408"/>
      <c r="E114" s="408"/>
      <c r="F114" s="408"/>
      <c r="G114" s="408"/>
      <c r="H114" s="408"/>
      <c r="I114" s="408"/>
      <c r="J114" s="408"/>
      <c r="K114" s="408"/>
      <c r="L114" s="408"/>
      <c r="M114" s="408"/>
      <c r="N114" s="408"/>
      <c r="O114" s="408"/>
    </row>
    <row r="115" spans="1:15" ht="19.5" customHeight="1" x14ac:dyDescent="0.2">
      <c r="A115" s="398" t="s">
        <v>229</v>
      </c>
      <c r="B115" s="398"/>
      <c r="C115" s="398"/>
      <c r="D115" s="398"/>
      <c r="E115" s="398"/>
      <c r="F115" s="398"/>
      <c r="G115" s="398"/>
      <c r="H115" s="398"/>
      <c r="I115" s="398"/>
      <c r="J115" s="398"/>
      <c r="K115" s="398"/>
      <c r="L115" s="398"/>
      <c r="M115" s="398"/>
      <c r="N115" s="398"/>
      <c r="O115" s="398"/>
    </row>
    <row r="116" spans="1:15" ht="39.75" customHeight="1" x14ac:dyDescent="0.2">
      <c r="A116" s="365" t="s">
        <v>154</v>
      </c>
      <c r="B116" s="366"/>
      <c r="C116" s="366"/>
      <c r="D116" s="366"/>
      <c r="E116" s="367"/>
      <c r="F116" s="382" t="s">
        <v>155</v>
      </c>
      <c r="G116" s="384"/>
      <c r="H116" s="382" t="s">
        <v>156</v>
      </c>
      <c r="I116" s="383"/>
      <c r="J116" s="383"/>
      <c r="K116" s="383"/>
      <c r="L116" s="383"/>
      <c r="M116" s="384"/>
      <c r="N116" s="365" t="s">
        <v>183</v>
      </c>
      <c r="O116" s="367"/>
    </row>
    <row r="117" spans="1:15" ht="40.5" customHeight="1" x14ac:dyDescent="0.2">
      <c r="A117" s="369" t="str">
        <f>tool!A6</f>
        <v>Измеритель температуры многоканальный прецизионный МИТ 8.10М1</v>
      </c>
      <c r="B117" s="369"/>
      <c r="C117" s="369"/>
      <c r="D117" s="369"/>
      <c r="E117" s="369"/>
      <c r="F117" s="370">
        <f>tool!D6</f>
        <v>759</v>
      </c>
      <c r="G117" s="370"/>
      <c r="H117" s="370" t="str">
        <f>tool!E6</f>
        <v>№ СП 2650068 до 12.05.2020г.</v>
      </c>
      <c r="I117" s="370"/>
      <c r="J117" s="370"/>
      <c r="K117" s="370"/>
      <c r="L117" s="370"/>
      <c r="M117" s="370"/>
      <c r="N117" s="361" t="str">
        <f>tool!H6</f>
        <v xml:space="preserve">± (0,0035+10-5∙t) °C
</v>
      </c>
      <c r="O117" s="361"/>
    </row>
    <row r="118" spans="1:15" ht="14.25" customHeight="1" x14ac:dyDescent="0.2">
      <c r="A118" s="369" t="str">
        <f>tool!A7</f>
        <v>Термометр сопротивления платиновый вибропрочный, ПТСВ-2К-3</v>
      </c>
      <c r="B118" s="369"/>
      <c r="C118" s="369"/>
      <c r="D118" s="369"/>
      <c r="E118" s="369"/>
      <c r="F118" s="368">
        <f>tool!D7</f>
        <v>132</v>
      </c>
      <c r="G118" s="368"/>
      <c r="H118" s="368" t="str">
        <f>tool!E7</f>
        <v>№ В-025-05-19 до 19.05.2021г.</v>
      </c>
      <c r="I118" s="368"/>
      <c r="J118" s="368"/>
      <c r="K118" s="368"/>
      <c r="L118" s="368"/>
      <c r="M118" s="368"/>
      <c r="N118" s="370" t="str">
        <f>tool!H7</f>
        <v xml:space="preserve">±(0,15+0,002∙|t|) °С
</v>
      </c>
      <c r="O118" s="370"/>
    </row>
    <row r="119" spans="1:15" x14ac:dyDescent="0.2">
      <c r="A119" s="369"/>
      <c r="B119" s="369"/>
      <c r="C119" s="369"/>
      <c r="D119" s="369"/>
      <c r="E119" s="369"/>
      <c r="F119" s="368">
        <f>tool!D8</f>
        <v>141</v>
      </c>
      <c r="G119" s="368"/>
      <c r="H119" s="368" t="str">
        <f>tool!E8</f>
        <v>№ С-022-09-18 до 09.09.2021г.</v>
      </c>
      <c r="I119" s="368"/>
      <c r="J119" s="368"/>
      <c r="K119" s="368"/>
      <c r="L119" s="368"/>
      <c r="M119" s="368"/>
      <c r="N119" s="370"/>
      <c r="O119" s="370"/>
    </row>
    <row r="120" spans="1:15" x14ac:dyDescent="0.2">
      <c r="A120" s="369"/>
      <c r="B120" s="369"/>
      <c r="C120" s="369"/>
      <c r="D120" s="369"/>
      <c r="E120" s="369"/>
      <c r="F120" s="368">
        <f>tool!D9</f>
        <v>113</v>
      </c>
      <c r="G120" s="368"/>
      <c r="H120" s="368" t="str">
        <f>tool!E9</f>
        <v>№ Л-086-08-19 до 26.08.2021г.</v>
      </c>
      <c r="I120" s="368"/>
      <c r="J120" s="368"/>
      <c r="K120" s="368"/>
      <c r="L120" s="368"/>
      <c r="M120" s="368"/>
      <c r="N120" s="370"/>
      <c r="O120" s="370"/>
    </row>
    <row r="121" spans="1:15" ht="14.25" customHeight="1" x14ac:dyDescent="0.2">
      <c r="A121" s="369"/>
      <c r="B121" s="369"/>
      <c r="C121" s="369"/>
      <c r="D121" s="369"/>
      <c r="E121" s="369"/>
      <c r="F121" s="368">
        <f>tool!D10</f>
        <v>143</v>
      </c>
      <c r="G121" s="368"/>
      <c r="H121" s="368" t="str">
        <f>tool!E10</f>
        <v>№ В-026-05-19 до 19.05.2021г.</v>
      </c>
      <c r="I121" s="368"/>
      <c r="J121" s="368"/>
      <c r="K121" s="368"/>
      <c r="L121" s="368"/>
      <c r="M121" s="368"/>
      <c r="N121" s="370"/>
      <c r="O121" s="370"/>
    </row>
    <row r="122" spans="1:15" ht="14.25" customHeight="1" x14ac:dyDescent="0.2">
      <c r="A122" s="369"/>
      <c r="B122" s="369"/>
      <c r="C122" s="369"/>
      <c r="D122" s="369"/>
      <c r="E122" s="369"/>
      <c r="F122" s="368">
        <f>tool!D11</f>
        <v>142</v>
      </c>
      <c r="G122" s="368"/>
      <c r="H122" s="368" t="str">
        <f>tool!E11</f>
        <v>№ Л-102-08-19 до 26.08.2021г.</v>
      </c>
      <c r="I122" s="368"/>
      <c r="J122" s="368"/>
      <c r="K122" s="368"/>
      <c r="L122" s="368"/>
      <c r="M122" s="368"/>
      <c r="N122" s="370"/>
      <c r="O122" s="370"/>
    </row>
    <row r="123" spans="1:15" x14ac:dyDescent="0.2">
      <c r="A123" s="369"/>
      <c r="B123" s="369"/>
      <c r="C123" s="369"/>
      <c r="D123" s="369"/>
      <c r="E123" s="369"/>
      <c r="F123" s="368">
        <f>tool!D12</f>
        <v>116</v>
      </c>
      <c r="G123" s="368"/>
      <c r="H123" s="368" t="str">
        <f>tool!E12</f>
        <v>№ Л-100-08-19 до 26.08.2021г.</v>
      </c>
      <c r="I123" s="368"/>
      <c r="J123" s="368"/>
      <c r="K123" s="368"/>
      <c r="L123" s="368"/>
      <c r="M123" s="368"/>
      <c r="N123" s="370"/>
      <c r="O123" s="370"/>
    </row>
    <row r="124" spans="1:15" x14ac:dyDescent="0.2">
      <c r="A124" s="369"/>
      <c r="B124" s="369"/>
      <c r="C124" s="369"/>
      <c r="D124" s="369"/>
      <c r="E124" s="369"/>
      <c r="F124" s="368">
        <f>tool!D13</f>
        <v>104</v>
      </c>
      <c r="G124" s="368"/>
      <c r="H124" s="368" t="str">
        <f>tool!E13</f>
        <v>№ В-020-05-19 до 19.05.2021г.</v>
      </c>
      <c r="I124" s="368"/>
      <c r="J124" s="368"/>
      <c r="K124" s="368"/>
      <c r="L124" s="368"/>
      <c r="M124" s="368"/>
      <c r="N124" s="370"/>
      <c r="O124" s="370"/>
    </row>
    <row r="125" spans="1:15" x14ac:dyDescent="0.2">
      <c r="A125" s="369"/>
      <c r="B125" s="369"/>
      <c r="C125" s="369"/>
      <c r="D125" s="369"/>
      <c r="E125" s="369"/>
      <c r="F125" s="368">
        <f>tool!D14</f>
        <v>114</v>
      </c>
      <c r="G125" s="368"/>
      <c r="H125" s="368" t="str">
        <f>tool!E14</f>
        <v>№ С-026-09-18 до 09.09.2020г.</v>
      </c>
      <c r="I125" s="368"/>
      <c r="J125" s="368"/>
      <c r="K125" s="368"/>
      <c r="L125" s="368"/>
      <c r="M125" s="368"/>
      <c r="N125" s="370"/>
      <c r="O125" s="370"/>
    </row>
    <row r="126" spans="1:15" x14ac:dyDescent="0.2">
      <c r="A126" s="369"/>
      <c r="B126" s="369"/>
      <c r="C126" s="369"/>
      <c r="D126" s="369"/>
      <c r="E126" s="369"/>
      <c r="F126" s="368">
        <f>tool!D15</f>
        <v>115</v>
      </c>
      <c r="G126" s="368"/>
      <c r="H126" s="368" t="str">
        <f>tool!E15</f>
        <v>№ В-024-05-19 до 19.05.2021г.</v>
      </c>
      <c r="I126" s="368"/>
      <c r="J126" s="368"/>
      <c r="K126" s="368"/>
      <c r="L126" s="368"/>
      <c r="M126" s="368"/>
      <c r="N126" s="370"/>
      <c r="O126" s="370"/>
    </row>
    <row r="127" spans="1:15" ht="69" customHeight="1" x14ac:dyDescent="0.2">
      <c r="A127" s="377" t="str">
        <f>tool!A16</f>
        <v xml:space="preserve">Гигрометр Rotronic модификации HygroLog NT исполнение HL-NT3 
с зондами HC2-IC102 № 20346131, 
№ 20346132, № 20346133, № 20346134, № 20346135
</v>
      </c>
      <c r="B127" s="378"/>
      <c r="C127" s="378"/>
      <c r="D127" s="378"/>
      <c r="E127" s="379"/>
      <c r="F127" s="380">
        <f>tool!D16</f>
        <v>61887827</v>
      </c>
      <c r="G127" s="381"/>
      <c r="H127" s="382" t="str">
        <f>tool!E16</f>
        <v xml:space="preserve">№ АПМ 0293613 до 16.07.2020 г.
</v>
      </c>
      <c r="I127" s="383"/>
      <c r="J127" s="383"/>
      <c r="K127" s="383"/>
      <c r="L127" s="383"/>
      <c r="M127" s="384"/>
      <c r="N127" s="385" t="str">
        <f>tool!H16</f>
        <v xml:space="preserve">± (0,1+
0,002|t|) °C,
± 1 %
</v>
      </c>
      <c r="O127" s="386"/>
    </row>
    <row r="128" spans="1:15" ht="69.75" customHeight="1" x14ac:dyDescent="0.2">
      <c r="A128" s="377" t="str">
        <f>tool!A23</f>
        <v xml:space="preserve">Гигрометр Rotronic модификации HygroLog NT исполнение HL-NT3 
с зондами HC2-IC102 № 20346138, 
№ 20346139, № 20346140, № 20346141, № 20346142
</v>
      </c>
      <c r="B128" s="378"/>
      <c r="C128" s="378"/>
      <c r="D128" s="378"/>
      <c r="E128" s="379"/>
      <c r="F128" s="380">
        <f>tool!D23</f>
        <v>61887828</v>
      </c>
      <c r="G128" s="381"/>
      <c r="H128" s="382" t="str">
        <f>tool!E23</f>
        <v xml:space="preserve">№ АПМ 0293614 до 16.07.2020 г.
</v>
      </c>
      <c r="I128" s="383"/>
      <c r="J128" s="383"/>
      <c r="K128" s="383"/>
      <c r="L128" s="383"/>
      <c r="M128" s="384"/>
      <c r="N128" s="385" t="str">
        <f>tool!H23</f>
        <v xml:space="preserve">±(0,1+0,002|t|) °C, ±1 %
</v>
      </c>
      <c r="O128" s="386"/>
    </row>
    <row r="129" spans="1:15" ht="33" customHeight="1" x14ac:dyDescent="0.2">
      <c r="A129" s="377" t="str">
        <f>tool!A30</f>
        <v xml:space="preserve">Секундомер электронный 
Интеграл С-01
</v>
      </c>
      <c r="B129" s="378"/>
      <c r="C129" s="378"/>
      <c r="D129" s="378"/>
      <c r="E129" s="379"/>
      <c r="F129" s="374">
        <f>tool!D30</f>
        <v>771125</v>
      </c>
      <c r="G129" s="375"/>
      <c r="H129" s="374" t="str">
        <f>tool!E30</f>
        <v>№ СП 2819904  02.12.2020 г.</v>
      </c>
      <c r="I129" s="376"/>
      <c r="J129" s="376"/>
      <c r="K129" s="376"/>
      <c r="L129" s="376"/>
      <c r="M129" s="375"/>
      <c r="N129" s="393" t="str">
        <f>tool!H30</f>
        <v xml:space="preserve">± (9,6·10-6·Тх+0,01), с
</v>
      </c>
      <c r="O129" s="394"/>
    </row>
    <row r="130" spans="1:15" ht="31.5" customHeight="1" x14ac:dyDescent="0.2">
      <c r="A130" s="377" t="str">
        <f>tool!A32</f>
        <v>Линейка измерительная металлическая 300 мм</v>
      </c>
      <c r="B130" s="378"/>
      <c r="C130" s="378"/>
      <c r="D130" s="378"/>
      <c r="E130" s="379"/>
      <c r="F130" s="374">
        <f>tool!D32</f>
        <v>24</v>
      </c>
      <c r="G130" s="375"/>
      <c r="H130" s="365" t="str">
        <f>tool!E32</f>
        <v xml:space="preserve">№ СП 2856208 до 03.12.2020 г.
</v>
      </c>
      <c r="I130" s="366"/>
      <c r="J130" s="366"/>
      <c r="K130" s="366"/>
      <c r="L130" s="366"/>
      <c r="M130" s="367"/>
      <c r="N130" s="385" t="str">
        <f>tool!H32</f>
        <v>± 0,1 мм</v>
      </c>
      <c r="O130" s="386"/>
    </row>
    <row r="131" spans="1:15" ht="39" customHeight="1" x14ac:dyDescent="0.2">
      <c r="A131" s="377" t="str">
        <f>tool!A34</f>
        <v>Мультиметр цифровой FLUKE 289</v>
      </c>
      <c r="B131" s="378"/>
      <c r="C131" s="378"/>
      <c r="D131" s="378"/>
      <c r="E131" s="379"/>
      <c r="F131" s="374">
        <f>tool!D34</f>
        <v>18700091</v>
      </c>
      <c r="G131" s="375"/>
      <c r="H131" s="374" t="str">
        <f>tool!E34</f>
        <v>№ 2354/2019  до 02.12.2020 г.</v>
      </c>
      <c r="I131" s="376"/>
      <c r="J131" s="376"/>
      <c r="K131" s="376"/>
      <c r="L131" s="376"/>
      <c r="M131" s="375"/>
      <c r="N131" s="385" t="str">
        <f>tool!H34</f>
        <v xml:space="preserve">±1,4 В, ±0,015 Гц
</v>
      </c>
      <c r="O131" s="386"/>
    </row>
    <row r="132" spans="1:15" ht="37.5" customHeight="1" x14ac:dyDescent="0.2">
      <c r="A132" s="369" t="str">
        <f>tool!A36</f>
        <v>Термогигрометр ИВА-6Н-Д</v>
      </c>
      <c r="B132" s="369"/>
      <c r="C132" s="369"/>
      <c r="D132" s="369"/>
      <c r="E132" s="369"/>
      <c r="F132" s="380" t="str">
        <f>tool!D36</f>
        <v>7А49</v>
      </c>
      <c r="G132" s="381"/>
      <c r="H132" s="382" t="str">
        <f>tool!E36</f>
        <v xml:space="preserve">№ СП 2825647 22.12.2020 г.
</v>
      </c>
      <c r="I132" s="383"/>
      <c r="J132" s="383"/>
      <c r="K132" s="383"/>
      <c r="L132" s="383"/>
      <c r="M132" s="384"/>
      <c r="N132" s="395" t="str">
        <f>tool!H36</f>
        <v xml:space="preserve">± 0,5 °C, ±2 %, ±2,5гПа
</v>
      </c>
      <c r="O132" s="395"/>
    </row>
    <row r="133" spans="1:15" ht="49.5" customHeight="1" x14ac:dyDescent="0.2">
      <c r="A133" s="369" t="str">
        <f>tool!A38</f>
        <v>Аненометр электронный ЭА-70(0)</v>
      </c>
      <c r="B133" s="369"/>
      <c r="C133" s="369"/>
      <c r="D133" s="369"/>
      <c r="E133" s="369"/>
      <c r="F133" s="415" t="str">
        <f>tool!D38</f>
        <v>063</v>
      </c>
      <c r="G133" s="415"/>
      <c r="H133" s="370" t="str">
        <f>tool!E38</f>
        <v xml:space="preserve">№ СП 2641865 до 06.08.2020 г.
</v>
      </c>
      <c r="I133" s="370"/>
      <c r="J133" s="370"/>
      <c r="K133" s="370"/>
      <c r="L133" s="370"/>
      <c r="M133" s="370"/>
      <c r="N133" s="361" t="str">
        <f>tool!H38</f>
        <v xml:space="preserve">± (0,015+0,015·v) м/с
</v>
      </c>
      <c r="O133" s="361"/>
    </row>
    <row r="134" spans="1:15" ht="29.25" customHeight="1" x14ac:dyDescent="0.2">
      <c r="A134" s="387" t="str">
        <f>"*Примечание - В связи с тем, что конструктивные особенности "&amp;info!K3&amp;" "&amp;info!D3&amp;" не позволяют демонтировать встроенные средства измерений"</f>
        <v>*Примечание - В связи с тем, что конструктивные особенности камеры тепла холода и влаги PU-3KT не позволяют демонтировать встроенные средства измерений</v>
      </c>
      <c r="B134" s="388"/>
      <c r="C134" s="388"/>
      <c r="D134" s="388"/>
      <c r="E134" s="388"/>
      <c r="F134" s="388"/>
      <c r="G134" s="388"/>
      <c r="H134" s="388"/>
      <c r="I134" s="388"/>
      <c r="J134" s="388"/>
      <c r="K134" s="388"/>
      <c r="L134" s="388"/>
      <c r="M134" s="388"/>
      <c r="N134" s="388"/>
      <c r="O134" s="389"/>
    </row>
    <row r="135" spans="1:15" ht="41.25" customHeight="1" x14ac:dyDescent="0.2">
      <c r="A135" s="390" t="s">
        <v>241</v>
      </c>
      <c r="B135" s="391"/>
      <c r="C135" s="391"/>
      <c r="D135" s="391"/>
      <c r="E135" s="391"/>
      <c r="F135" s="391"/>
      <c r="G135" s="391"/>
      <c r="H135" s="391"/>
      <c r="I135" s="391"/>
      <c r="J135" s="391"/>
      <c r="K135" s="391"/>
      <c r="L135" s="391"/>
      <c r="M135" s="391"/>
      <c r="N135" s="391"/>
      <c r="O135" s="392"/>
    </row>
    <row r="136" spans="1:15" ht="12" customHeight="1" x14ac:dyDescent="0.2">
      <c r="A136" s="168"/>
      <c r="B136" s="168"/>
      <c r="C136" s="168"/>
      <c r="D136" s="168"/>
      <c r="E136" s="168"/>
      <c r="F136" s="168"/>
      <c r="G136" s="168"/>
      <c r="H136" s="168"/>
      <c r="I136" s="168"/>
      <c r="J136" s="168"/>
      <c r="K136" s="168"/>
      <c r="L136" s="168"/>
      <c r="M136" s="168"/>
      <c r="N136" s="168"/>
      <c r="O136" s="168"/>
    </row>
    <row r="137" spans="1:15" ht="15" x14ac:dyDescent="0.2">
      <c r="A137" s="357" t="s">
        <v>244</v>
      </c>
      <c r="B137" s="357"/>
      <c r="C137" s="357"/>
      <c r="D137" s="357"/>
      <c r="E137" s="357"/>
      <c r="F137" s="357"/>
      <c r="G137" s="357"/>
      <c r="H137" s="357"/>
      <c r="I137" s="357"/>
      <c r="J137" s="357"/>
      <c r="K137" s="357"/>
      <c r="L137" s="357"/>
      <c r="M137" s="357"/>
      <c r="N137" s="357"/>
      <c r="O137" s="357"/>
    </row>
    <row r="138" spans="1:15" ht="103.5" customHeight="1" x14ac:dyDescent="0.2">
      <c r="A138" s="362" t="s">
        <v>348</v>
      </c>
      <c r="B138" s="362"/>
      <c r="C138" s="362"/>
      <c r="D138" s="362"/>
      <c r="E138" s="362"/>
      <c r="F138" s="362"/>
      <c r="G138" s="362"/>
      <c r="H138" s="362"/>
      <c r="I138" s="362"/>
      <c r="J138" s="362"/>
      <c r="K138" s="362"/>
      <c r="L138" s="362"/>
      <c r="M138" s="362"/>
      <c r="N138" s="362"/>
      <c r="O138" s="362"/>
    </row>
    <row r="139" spans="1:15" s="173" customFormat="1" ht="20.25" hidden="1" customHeight="1" x14ac:dyDescent="0.2">
      <c r="A139" s="362" t="str">
        <f>info!P3&amp;" - имеется."</f>
        <v>Протокол первичной аттестации от 25.12.2018г. № 1952.1 - имеется.</v>
      </c>
      <c r="B139" s="362"/>
      <c r="C139" s="362"/>
      <c r="D139" s="362"/>
      <c r="E139" s="362"/>
      <c r="F139" s="362"/>
      <c r="G139" s="362"/>
      <c r="H139" s="362"/>
      <c r="I139" s="362"/>
      <c r="J139" s="362"/>
      <c r="K139" s="362"/>
      <c r="L139" s="362"/>
      <c r="M139" s="362"/>
      <c r="N139" s="362"/>
      <c r="O139" s="362"/>
    </row>
    <row r="140" spans="1:15" ht="75" customHeight="1" x14ac:dyDescent="0.2">
      <c r="A140" s="411" t="s">
        <v>306</v>
      </c>
      <c r="B140" s="362"/>
      <c r="C140" s="362"/>
      <c r="D140" s="362"/>
      <c r="E140" s="362"/>
      <c r="F140" s="362"/>
      <c r="G140" s="362"/>
      <c r="H140" s="362"/>
      <c r="I140" s="362"/>
      <c r="J140" s="362"/>
      <c r="K140" s="362"/>
      <c r="L140" s="362"/>
      <c r="M140" s="362"/>
      <c r="N140" s="362"/>
      <c r="O140" s="362"/>
    </row>
    <row r="141" spans="1:15" s="173" customFormat="1" ht="147" customHeight="1" x14ac:dyDescent="0.2">
      <c r="A141" s="362" t="s">
        <v>371</v>
      </c>
      <c r="B141" s="362"/>
      <c r="C141" s="362"/>
      <c r="D141" s="362"/>
      <c r="E141" s="362"/>
      <c r="F141" s="362"/>
      <c r="G141" s="362"/>
      <c r="H141" s="362"/>
      <c r="I141" s="362"/>
      <c r="J141" s="362"/>
      <c r="K141" s="362"/>
      <c r="L141" s="362"/>
      <c r="M141" s="362"/>
      <c r="N141" s="362"/>
      <c r="O141" s="362"/>
    </row>
    <row r="142" spans="1:15" ht="112.5" customHeight="1" x14ac:dyDescent="0.2">
      <c r="A142" s="410" t="s">
        <v>350</v>
      </c>
      <c r="B142" s="410"/>
      <c r="C142" s="410"/>
      <c r="D142" s="410"/>
      <c r="E142" s="410"/>
      <c r="F142" s="410"/>
      <c r="G142" s="410"/>
      <c r="H142" s="410"/>
      <c r="I142" s="410"/>
      <c r="J142" s="410"/>
      <c r="K142" s="410"/>
      <c r="L142" s="410"/>
      <c r="M142" s="410"/>
      <c r="N142" s="410"/>
      <c r="O142" s="410"/>
    </row>
    <row r="143" spans="1:15" ht="73.5" customHeight="1" x14ac:dyDescent="0.2">
      <c r="A143" s="410" t="s">
        <v>349</v>
      </c>
      <c r="B143" s="410"/>
      <c r="C143" s="410"/>
      <c r="D143" s="410"/>
      <c r="E143" s="410"/>
      <c r="F143" s="410"/>
      <c r="G143" s="410"/>
      <c r="H143" s="410"/>
      <c r="I143" s="410"/>
      <c r="J143" s="410"/>
      <c r="K143" s="410"/>
      <c r="L143" s="410"/>
      <c r="M143" s="410"/>
      <c r="N143" s="410"/>
      <c r="O143" s="410"/>
    </row>
    <row r="144" spans="1:15" ht="12" customHeight="1" x14ac:dyDescent="0.2">
      <c r="A144" s="358"/>
      <c r="B144" s="358"/>
      <c r="C144" s="358"/>
      <c r="D144" s="358"/>
      <c r="E144" s="358"/>
      <c r="F144" s="358"/>
      <c r="G144" s="358"/>
      <c r="H144" s="358"/>
      <c r="I144" s="358"/>
      <c r="J144" s="358"/>
      <c r="K144" s="358"/>
      <c r="L144" s="358"/>
      <c r="M144" s="358"/>
      <c r="N144" s="358"/>
      <c r="O144" s="358"/>
    </row>
    <row r="145" spans="1:15" ht="15" x14ac:dyDescent="0.25">
      <c r="A145" s="47" t="s">
        <v>245</v>
      </c>
    </row>
    <row r="146" spans="1:15" ht="32.25" customHeight="1" x14ac:dyDescent="0.2">
      <c r="A146" s="410" t="s">
        <v>246</v>
      </c>
      <c r="B146" s="410"/>
      <c r="C146" s="410"/>
      <c r="D146" s="410"/>
      <c r="E146" s="410"/>
      <c r="F146" s="410"/>
      <c r="G146" s="410"/>
      <c r="H146" s="410"/>
      <c r="I146" s="410"/>
      <c r="J146" s="410"/>
      <c r="K146" s="410"/>
      <c r="L146" s="410"/>
      <c r="M146" s="410"/>
      <c r="N146" s="410"/>
      <c r="O146" s="410"/>
    </row>
    <row r="147" spans="1:15" x14ac:dyDescent="0.2">
      <c r="I147" s="66" t="str">
        <f>"Рабочий объём камеры: "&amp;info!S3&amp;" л."</f>
        <v>Рабочий объём камеры: 408 л.</v>
      </c>
      <c r="J147" s="66"/>
      <c r="K147" s="66"/>
      <c r="L147" s="66"/>
      <c r="M147" s="66"/>
      <c r="N147" s="66"/>
    </row>
    <row r="148" spans="1:15" x14ac:dyDescent="0.2">
      <c r="I148" s="66" t="str">
        <f>"Ширина: "&amp;info!U3&amp;" мм"</f>
        <v>Ширина: 600 мм</v>
      </c>
      <c r="J148" s="66"/>
      <c r="K148" s="66"/>
      <c r="L148" s="66"/>
      <c r="M148" s="66"/>
      <c r="N148" s="66"/>
    </row>
    <row r="149" spans="1:15" x14ac:dyDescent="0.2">
      <c r="I149" s="66" t="str">
        <f>"Высота: "&amp;info!V3&amp;" мм"</f>
        <v>Высота: 800 мм</v>
      </c>
      <c r="J149" s="66"/>
      <c r="K149" s="66"/>
      <c r="L149" s="66"/>
      <c r="M149" s="66"/>
      <c r="N149" s="66"/>
    </row>
    <row r="150" spans="1:15" x14ac:dyDescent="0.2">
      <c r="I150" s="66" t="str">
        <f>"Глубина "&amp;info!W3&amp;" мм"</f>
        <v>Глубина 850 мм</v>
      </c>
      <c r="J150" s="66"/>
      <c r="K150" s="66"/>
      <c r="L150" s="66"/>
      <c r="M150" s="66"/>
      <c r="N150" s="66"/>
    </row>
    <row r="153" spans="1:15" x14ac:dyDescent="0.2">
      <c r="I153" s="66" t="str">
        <f>"Полезный объём камеры: "&amp;info!T3&amp;" л."</f>
        <v>Полезный объём камеры: 297,432 л.</v>
      </c>
      <c r="J153" s="66"/>
      <c r="K153" s="66"/>
      <c r="L153" s="66"/>
      <c r="M153" s="66"/>
      <c r="N153" s="66"/>
    </row>
    <row r="154" spans="1:15" ht="18.75" x14ac:dyDescent="0.35">
      <c r="I154" s="171" t="s">
        <v>250</v>
      </c>
      <c r="J154" s="151" t="str">
        <f>info!U3/10&amp;" мм"</f>
        <v>60 мм</v>
      </c>
      <c r="K154" s="151"/>
      <c r="L154" s="151"/>
      <c r="M154" s="151"/>
      <c r="N154" s="151"/>
    </row>
    <row r="155" spans="1:15" ht="18.75" x14ac:dyDescent="0.35">
      <c r="I155" s="171" t="s">
        <v>249</v>
      </c>
      <c r="J155" s="170" t="str">
        <f>info!V3/10&amp;" мм"</f>
        <v>80 мм</v>
      </c>
      <c r="K155" s="170"/>
      <c r="L155" s="170"/>
      <c r="M155" s="170"/>
      <c r="N155" s="170"/>
    </row>
    <row r="156" spans="1:15" ht="18.75" x14ac:dyDescent="0.35">
      <c r="I156" s="171" t="s">
        <v>248</v>
      </c>
      <c r="J156" s="170" t="str">
        <f>info!W3/10&amp;" мм"</f>
        <v>85 мм</v>
      </c>
      <c r="K156" s="170"/>
      <c r="L156" s="170"/>
      <c r="M156" s="170"/>
      <c r="N156" s="170"/>
    </row>
    <row r="159" spans="1:15" x14ac:dyDescent="0.2">
      <c r="A159" t="s">
        <v>251</v>
      </c>
    </row>
    <row r="161" spans="1:15" ht="34.5" customHeight="1" x14ac:dyDescent="0.2">
      <c r="A161" s="410" t="s">
        <v>247</v>
      </c>
      <c r="B161" s="410"/>
      <c r="C161" s="410"/>
      <c r="D161" s="410"/>
      <c r="E161" s="410"/>
      <c r="F161" s="410"/>
      <c r="G161" s="410"/>
      <c r="H161" s="410"/>
      <c r="I161" s="410"/>
      <c r="J161" s="410"/>
      <c r="K161" s="410"/>
      <c r="L161" s="410"/>
      <c r="M161" s="410"/>
      <c r="N161" s="410"/>
      <c r="O161" s="410"/>
    </row>
    <row r="162" spans="1:15" ht="12.75" customHeight="1" x14ac:dyDescent="0.2"/>
    <row r="163" spans="1:15" ht="45" customHeight="1" x14ac:dyDescent="0.2">
      <c r="A163" s="411" t="str">
        <f>"  Выводы: размещение датчиков в рабочей зоне соотвествуют требованию ГОСТ РВ 53618-2009 и ПМА № "&amp;info!F3</f>
        <v xml:space="preserve">  Выводы: размещение датчиков в рабочей зоне соотвествуют требованию ГОСТ РВ 53618-2009 и ПМА № 1994</v>
      </c>
      <c r="B163" s="411"/>
      <c r="C163" s="411"/>
      <c r="D163" s="411"/>
      <c r="E163" s="411"/>
      <c r="F163" s="411"/>
      <c r="G163" s="411"/>
      <c r="H163" s="411"/>
      <c r="I163" s="411"/>
      <c r="J163" s="411"/>
      <c r="K163" s="411"/>
      <c r="L163" s="411"/>
      <c r="M163" s="411"/>
      <c r="N163" s="411"/>
      <c r="O163" s="411"/>
    </row>
    <row r="164" spans="1:15" x14ac:dyDescent="0.2">
      <c r="A164" s="172"/>
      <c r="B164" s="172"/>
      <c r="C164" s="172"/>
      <c r="D164" s="172"/>
      <c r="E164" s="172"/>
      <c r="F164" s="172"/>
      <c r="G164" s="172"/>
      <c r="H164" s="172"/>
      <c r="I164" s="172"/>
      <c r="J164" s="172"/>
      <c r="K164" s="172"/>
      <c r="L164" s="172"/>
      <c r="M164" s="172"/>
      <c r="N164" s="172"/>
      <c r="O164" s="172"/>
    </row>
    <row r="165" spans="1:15" ht="15" x14ac:dyDescent="0.2">
      <c r="A165" s="412" t="s">
        <v>256</v>
      </c>
      <c r="B165" s="412"/>
      <c r="C165" s="412"/>
      <c r="D165" s="412"/>
      <c r="E165" s="412"/>
      <c r="F165" s="412"/>
      <c r="G165" s="412"/>
      <c r="H165" s="412"/>
      <c r="I165" s="412"/>
      <c r="J165" s="412"/>
      <c r="K165" s="412"/>
      <c r="L165" s="412"/>
      <c r="M165" s="412"/>
      <c r="N165" s="412"/>
      <c r="O165" s="412"/>
    </row>
    <row r="166" spans="1:15" ht="43.5" customHeight="1" x14ac:dyDescent="0.2">
      <c r="A166" s="410" t="str">
        <f>"    По результатм "&amp;info!D17&amp;" аттестации установлено, что "&amp;info!J3&amp;" "&amp;info!D3&amp;" серийный номер № "&amp;info!I3&amp;" является пригодной к эсплуатации и допускается к применении при оценке соотвествия оборонной продукции:"</f>
        <v xml:space="preserve">    По результатм первичной аттестации установлено, что Камера тепла холода и влаги PU-3KT серийный номер № 225225 является пригодной к эсплуатации и допускается к применении при оценке соотвествия оборонной продукции:</v>
      </c>
      <c r="B166" s="410"/>
      <c r="C166" s="410"/>
      <c r="D166" s="410"/>
      <c r="E166" s="410"/>
      <c r="F166" s="410"/>
      <c r="G166" s="410"/>
      <c r="H166" s="410"/>
      <c r="I166" s="410"/>
      <c r="J166" s="410"/>
      <c r="K166" s="410"/>
      <c r="L166" s="410"/>
      <c r="M166" s="410"/>
      <c r="N166" s="410"/>
      <c r="O166" s="410"/>
    </row>
    <row r="167" spans="1:15" ht="14.25" customHeight="1" x14ac:dyDescent="0.2">
      <c r="A167" s="358" t="s">
        <v>257</v>
      </c>
      <c r="B167" s="358"/>
      <c r="C167" s="358"/>
      <c r="D167" s="358"/>
      <c r="E167" s="358"/>
      <c r="F167" s="358"/>
      <c r="G167" s="358"/>
      <c r="H167" s="358"/>
      <c r="I167" s="358"/>
      <c r="J167" s="358"/>
      <c r="K167" s="358"/>
      <c r="L167" s="358"/>
      <c r="M167" s="358"/>
      <c r="N167" s="358"/>
      <c r="O167" s="358"/>
    </row>
    <row r="168" spans="1:15" hidden="1" x14ac:dyDescent="0.2">
      <c r="A168" s="414" t="s">
        <v>338</v>
      </c>
      <c r="B168" s="355"/>
      <c r="C168" s="355"/>
      <c r="D168" s="355"/>
      <c r="E168" s="355"/>
      <c r="F168" s="355"/>
      <c r="G168" s="355"/>
      <c r="H168" s="355"/>
      <c r="I168" s="355"/>
      <c r="J168" s="355"/>
      <c r="K168" s="355"/>
      <c r="L168" s="355"/>
      <c r="M168" s="355"/>
      <c r="N168" s="355"/>
      <c r="O168" s="355"/>
    </row>
    <row r="169" spans="1:15" ht="14.25" customHeight="1" x14ac:dyDescent="0.2">
      <c r="A169" s="355" t="s">
        <v>258</v>
      </c>
      <c r="B169" s="355"/>
      <c r="C169" s="355"/>
      <c r="D169" s="355"/>
      <c r="E169" s="355"/>
      <c r="F169" s="355"/>
      <c r="G169" s="355"/>
      <c r="H169" s="355"/>
      <c r="I169" s="355"/>
      <c r="J169" s="355"/>
      <c r="K169" s="355"/>
      <c r="L169" s="355"/>
      <c r="M169" s="355"/>
      <c r="N169" s="355"/>
      <c r="O169" s="355"/>
    </row>
    <row r="170" spans="1:15" x14ac:dyDescent="0.2">
      <c r="A170" s="302" t="s">
        <v>329</v>
      </c>
      <c r="B170" s="172"/>
      <c r="C170" s="172"/>
      <c r="D170" s="172"/>
      <c r="E170" s="172"/>
      <c r="F170" s="172"/>
      <c r="G170" s="172"/>
      <c r="H170" s="172"/>
      <c r="I170" s="172"/>
      <c r="J170" s="172"/>
      <c r="K170" s="172"/>
      <c r="L170" s="172"/>
      <c r="M170" s="172"/>
      <c r="N170" s="172"/>
      <c r="O170" s="172"/>
    </row>
    <row r="171" spans="1:15" ht="87.75" customHeight="1" x14ac:dyDescent="0.2">
      <c r="A171" s="413" t="str">
        <f>"    Значение измеренных температурных характеристик  приведены в: 
Таблицах А.1 - А."&amp;info!B27&amp;";
Расчёт неопределенностей по результатм измерений температуры приведены в: 
Таблицах Б.1 - Б."&amp;info!B27&amp;";
Температурные характеристики камеры, вычисленные по результатм измерений приведены в: 
Таблице В.1"</f>
        <v xml:space="preserve">    Значение измеренных температурных характеристик  приведены в: 
Таблицах А.1 - А.1;
Расчёт неопределенностей по результатм измерений температуры приведены в: 
Таблицах Б.1 - Б.1;
Температурные характеристики камеры, вычисленные по результатм измерений приведены в: 
Таблице В.1</v>
      </c>
      <c r="B171" s="413"/>
      <c r="C171" s="413"/>
      <c r="D171" s="413"/>
      <c r="E171" s="413"/>
      <c r="F171" s="413"/>
      <c r="G171" s="413"/>
      <c r="H171" s="413"/>
      <c r="I171" s="413"/>
      <c r="J171" s="413"/>
      <c r="K171" s="413"/>
      <c r="L171" s="413"/>
      <c r="M171" s="413"/>
      <c r="N171" s="413"/>
      <c r="O171" s="413"/>
    </row>
    <row r="172" spans="1:15" ht="89.25" hidden="1" customHeight="1" x14ac:dyDescent="0.2">
      <c r="A172" s="410" t="str">
        <f>"    Значение измеренных характеристик в сочетании температура-относительная влажность приведены в: Таблицах Г.1 - Г."&amp;info!B28&amp;"; 
Расчёт неопределенности при измерении относительной влажности и температуры приведены в: Таблицах Д.1 - Д."&amp;info!B28*2&amp;";
Влажностные и температурные характеристики камеры, вычисленные по результатм измерений приведены в: Таблице Е.1"</f>
        <v xml:space="preserve">    Значение измеренных характеристик в сочетании температура-относительная влажность приведены в: Таблицах Г.1 - Г.5; 
Расчёт неопределенности при измерении относительной влажности и температуры приведены в: Таблицах Д.1 - Д.10;
Влажностные и температурные характеристики камеры, вычисленные по результатм измерений приведены в: Таблице Е.1</v>
      </c>
      <c r="B172" s="410"/>
      <c r="C172" s="410"/>
      <c r="D172" s="410"/>
      <c r="E172" s="410"/>
      <c r="F172" s="410"/>
      <c r="G172" s="410"/>
      <c r="H172" s="410"/>
      <c r="I172" s="410"/>
      <c r="J172" s="410"/>
      <c r="K172" s="410"/>
      <c r="L172" s="410"/>
      <c r="M172" s="410"/>
      <c r="N172" s="410"/>
      <c r="O172" s="410"/>
    </row>
    <row r="173" spans="1:15" ht="30" customHeight="1" x14ac:dyDescent="0.2">
      <c r="A173" s="410" t="s">
        <v>384</v>
      </c>
      <c r="B173" s="410"/>
      <c r="C173" s="410"/>
      <c r="D173" s="410"/>
      <c r="E173" s="410"/>
      <c r="F173" s="410"/>
      <c r="G173" s="410"/>
      <c r="H173" s="410"/>
      <c r="I173" s="410"/>
      <c r="J173" s="410"/>
      <c r="K173" s="410"/>
      <c r="L173" s="410"/>
      <c r="M173" s="410"/>
      <c r="N173" s="410"/>
      <c r="O173" s="410"/>
    </row>
    <row r="174" spans="1:15" x14ac:dyDescent="0.2">
      <c r="A174" s="358"/>
      <c r="B174" s="358"/>
      <c r="C174" s="358"/>
      <c r="D174" s="358"/>
      <c r="E174" s="358"/>
      <c r="F174" s="358"/>
      <c r="G174" s="358"/>
      <c r="H174" s="358"/>
      <c r="I174" s="358"/>
      <c r="J174" s="358"/>
      <c r="K174" s="358"/>
      <c r="L174" s="358"/>
      <c r="M174" s="358"/>
      <c r="N174" s="358"/>
      <c r="O174" s="358"/>
    </row>
    <row r="175" spans="1:15" ht="15" customHeight="1" x14ac:dyDescent="0.2">
      <c r="A175" s="357" t="s">
        <v>254</v>
      </c>
      <c r="B175" s="357"/>
      <c r="C175" s="357"/>
      <c r="D175" s="357"/>
      <c r="E175" s="357"/>
      <c r="F175" s="357"/>
      <c r="G175" s="357"/>
      <c r="H175" s="357"/>
      <c r="I175" s="357"/>
      <c r="J175" s="357"/>
      <c r="K175" s="357"/>
      <c r="L175" s="357"/>
      <c r="M175" s="357"/>
      <c r="N175" s="357"/>
      <c r="O175" s="357"/>
    </row>
    <row r="176" spans="1:15" ht="42.75" customHeight="1" x14ac:dyDescent="0.2">
      <c r="A176" s="356" t="str">
        <f>"9.1 Периодическую аттестацию проводить в соотвествии с проводить в соотвествии с программой и методикой первичной (периодической, повторной) аттестации "&amp;info!K3&amp;" № "&amp;info!F3</f>
        <v>9.1 Периодическую аттестацию проводить в соотвествии с проводить в соотвествии с программой и методикой первичной (периодической, повторной) аттестации камеры тепла холода и влаги № 1994</v>
      </c>
      <c r="B176" s="356"/>
      <c r="C176" s="356"/>
      <c r="D176" s="356"/>
      <c r="E176" s="356"/>
      <c r="F176" s="356"/>
      <c r="G176" s="356"/>
      <c r="H176" s="356"/>
      <c r="I176" s="356"/>
      <c r="J176" s="356"/>
      <c r="K176" s="356"/>
      <c r="L176" s="356"/>
      <c r="M176" s="356"/>
      <c r="N176" s="356"/>
      <c r="O176" s="356"/>
    </row>
    <row r="177" spans="1:15" x14ac:dyDescent="0.2">
      <c r="A177" s="355" t="s">
        <v>255</v>
      </c>
      <c r="B177" s="355"/>
      <c r="C177" s="355"/>
      <c r="D177" s="355"/>
      <c r="E177" s="355"/>
      <c r="F177" s="355"/>
      <c r="G177" s="355"/>
      <c r="H177" s="355"/>
      <c r="I177" s="355"/>
      <c r="J177" s="355"/>
      <c r="K177" s="355"/>
      <c r="L177" s="355"/>
      <c r="M177" s="355"/>
      <c r="N177" s="355"/>
      <c r="O177" s="355"/>
    </row>
    <row r="178" spans="1:15" ht="13.5" hidden="1" customHeight="1" x14ac:dyDescent="0.2"/>
    <row r="179" spans="1:15" x14ac:dyDescent="0.2">
      <c r="A179" t="str">
        <f>"9.3 Подписи лиц проводивших "&amp;info!E17&amp;" аттестацию:"</f>
        <v>9.3 Подписи лиц проводивших первичную аттестацию:</v>
      </c>
    </row>
    <row r="180" spans="1:15" x14ac:dyDescent="0.2">
      <c r="A180" t="s">
        <v>192</v>
      </c>
    </row>
    <row r="181" spans="1:15" ht="11.25" customHeight="1" x14ac:dyDescent="0.2">
      <c r="A181" s="344" t="str">
        <f>info!B7&amp;", "&amp;info!B8</f>
        <v>11, ООО «»</v>
      </c>
      <c r="B181" s="345"/>
      <c r="C181" s="345"/>
      <c r="D181" s="345"/>
      <c r="E181" s="345"/>
      <c r="F181" s="345"/>
      <c r="G181" s="346"/>
      <c r="H181" s="344">
        <f>info!B9</f>
        <v>11</v>
      </c>
      <c r="I181" s="345"/>
      <c r="J181" s="345"/>
      <c r="K181" s="345"/>
      <c r="L181" s="346"/>
      <c r="M181" s="160"/>
      <c r="N181" s="161"/>
      <c r="O181" s="162"/>
    </row>
    <row r="182" spans="1:15" ht="11.25" customHeight="1" x14ac:dyDescent="0.2">
      <c r="A182" s="347"/>
      <c r="B182" s="348"/>
      <c r="C182" s="348"/>
      <c r="D182" s="348"/>
      <c r="E182" s="348"/>
      <c r="F182" s="348"/>
      <c r="G182" s="349"/>
      <c r="H182" s="347"/>
      <c r="I182" s="348"/>
      <c r="J182" s="348"/>
      <c r="K182" s="348"/>
      <c r="L182" s="349"/>
      <c r="M182" s="163"/>
      <c r="N182" s="158"/>
      <c r="O182" s="164"/>
    </row>
    <row r="183" spans="1:15" ht="11.25" customHeight="1" x14ac:dyDescent="0.2">
      <c r="B183" s="66"/>
      <c r="C183" s="323" t="s">
        <v>269</v>
      </c>
      <c r="D183" s="159"/>
      <c r="E183" s="66"/>
      <c r="F183" s="66"/>
      <c r="G183" s="66"/>
      <c r="H183" s="161"/>
      <c r="I183" s="159"/>
      <c r="J183" s="324" t="s">
        <v>268</v>
      </c>
      <c r="K183" s="161"/>
      <c r="L183" s="66"/>
      <c r="N183" s="339" t="s">
        <v>253</v>
      </c>
      <c r="O183" s="66"/>
    </row>
    <row r="184" spans="1:15" x14ac:dyDescent="0.2">
      <c r="A184" t="s">
        <v>195</v>
      </c>
      <c r="B184" s="66"/>
      <c r="C184" s="66"/>
      <c r="D184" s="66"/>
      <c r="E184" s="66"/>
      <c r="F184" s="66"/>
      <c r="G184" s="66"/>
      <c r="H184" s="158"/>
      <c r="I184" s="158"/>
      <c r="J184" s="66"/>
      <c r="K184" s="66"/>
      <c r="L184" s="66"/>
      <c r="M184" s="66"/>
      <c r="N184" s="66"/>
      <c r="O184" s="66"/>
    </row>
    <row r="185" spans="1:15" ht="11.25" customHeight="1" x14ac:dyDescent="0.2">
      <c r="A185" s="344" t="str">
        <f>info!C7&amp;", "&amp;info!C8</f>
        <v>1, 1</v>
      </c>
      <c r="B185" s="345"/>
      <c r="C185" s="345"/>
      <c r="D185" s="345"/>
      <c r="E185" s="345"/>
      <c r="F185" s="345"/>
      <c r="G185" s="346"/>
      <c r="H185" s="344">
        <f>info!C9</f>
        <v>1</v>
      </c>
      <c r="I185" s="345"/>
      <c r="J185" s="345"/>
      <c r="K185" s="345"/>
      <c r="L185" s="346"/>
      <c r="M185" s="160"/>
      <c r="N185" s="161"/>
      <c r="O185" s="162"/>
    </row>
    <row r="186" spans="1:15" ht="11.25" customHeight="1" x14ac:dyDescent="0.2">
      <c r="A186" s="347"/>
      <c r="B186" s="348"/>
      <c r="C186" s="348"/>
      <c r="D186" s="348"/>
      <c r="E186" s="348"/>
      <c r="F186" s="348"/>
      <c r="G186" s="349"/>
      <c r="H186" s="347"/>
      <c r="I186" s="348"/>
      <c r="J186" s="348"/>
      <c r="K186" s="348"/>
      <c r="L186" s="349"/>
      <c r="M186" s="163"/>
      <c r="N186" s="158"/>
      <c r="O186" s="164"/>
    </row>
    <row r="187" spans="1:15" ht="10.5" customHeight="1" x14ac:dyDescent="0.2">
      <c r="A187" s="167"/>
      <c r="B187" s="66"/>
      <c r="C187" s="323" t="s">
        <v>269</v>
      </c>
      <c r="D187" s="159"/>
      <c r="E187" s="66"/>
      <c r="F187" s="66"/>
      <c r="G187" s="66"/>
      <c r="H187" s="161"/>
      <c r="I187" s="159"/>
      <c r="J187" s="324" t="s">
        <v>268</v>
      </c>
      <c r="K187" s="161"/>
      <c r="L187" s="66"/>
      <c r="M187" s="167"/>
      <c r="N187" s="339" t="s">
        <v>253</v>
      </c>
      <c r="O187" s="66"/>
    </row>
    <row r="188" spans="1:15" ht="11.25" customHeight="1" x14ac:dyDescent="0.2">
      <c r="A188" s="344" t="str">
        <f>info!D7&amp;", "&amp;info!D8</f>
        <v>2, 2</v>
      </c>
      <c r="B188" s="345"/>
      <c r="C188" s="345"/>
      <c r="D188" s="345"/>
      <c r="E188" s="345"/>
      <c r="F188" s="345"/>
      <c r="G188" s="346"/>
      <c r="H188" s="344">
        <f>info!D9</f>
        <v>2</v>
      </c>
      <c r="I188" s="345"/>
      <c r="J188" s="345"/>
      <c r="K188" s="345"/>
      <c r="L188" s="346"/>
      <c r="M188" s="160"/>
      <c r="N188" s="161"/>
      <c r="O188" s="162"/>
    </row>
    <row r="189" spans="1:15" ht="11.25" customHeight="1" x14ac:dyDescent="0.2">
      <c r="A189" s="347"/>
      <c r="B189" s="348"/>
      <c r="C189" s="348"/>
      <c r="D189" s="348"/>
      <c r="E189" s="348"/>
      <c r="F189" s="348"/>
      <c r="G189" s="349"/>
      <c r="H189" s="347"/>
      <c r="I189" s="348"/>
      <c r="J189" s="348"/>
      <c r="K189" s="348"/>
      <c r="L189" s="349"/>
      <c r="M189" s="163"/>
      <c r="N189" s="158"/>
      <c r="O189" s="164"/>
    </row>
    <row r="190" spans="1:15" ht="11.25" customHeight="1" x14ac:dyDescent="0.2">
      <c r="A190" s="167"/>
      <c r="B190" s="66"/>
      <c r="C190" s="323" t="s">
        <v>269</v>
      </c>
      <c r="D190" s="159"/>
      <c r="E190" s="66"/>
      <c r="F190" s="66"/>
      <c r="G190" s="66"/>
      <c r="H190" s="161"/>
      <c r="I190" s="159"/>
      <c r="J190" s="324" t="s">
        <v>268</v>
      </c>
      <c r="K190" s="161"/>
      <c r="L190" s="66"/>
      <c r="M190" s="167"/>
      <c r="N190" s="339" t="s">
        <v>253</v>
      </c>
      <c r="O190" s="66"/>
    </row>
    <row r="191" spans="1:15" ht="11.25" customHeight="1" x14ac:dyDescent="0.2">
      <c r="A191" s="344" t="str">
        <f>info!E7&amp;", "&amp;info!E8</f>
        <v>3, 3</v>
      </c>
      <c r="B191" s="345"/>
      <c r="C191" s="345"/>
      <c r="D191" s="345"/>
      <c r="E191" s="345"/>
      <c r="F191" s="345"/>
      <c r="G191" s="346"/>
      <c r="H191" s="344">
        <f>info!E9</f>
        <v>3</v>
      </c>
      <c r="I191" s="345"/>
      <c r="J191" s="345"/>
      <c r="K191" s="345"/>
      <c r="L191" s="346"/>
      <c r="M191" s="160"/>
      <c r="N191" s="161"/>
      <c r="O191" s="162"/>
    </row>
    <row r="192" spans="1:15" ht="11.25" customHeight="1" x14ac:dyDescent="0.2">
      <c r="A192" s="347"/>
      <c r="B192" s="348"/>
      <c r="C192" s="348"/>
      <c r="D192" s="348"/>
      <c r="E192" s="348"/>
      <c r="F192" s="348"/>
      <c r="G192" s="349"/>
      <c r="H192" s="347"/>
      <c r="I192" s="348"/>
      <c r="J192" s="348"/>
      <c r="K192" s="348"/>
      <c r="L192" s="349"/>
      <c r="M192" s="163"/>
      <c r="N192" s="158"/>
      <c r="O192" s="164"/>
    </row>
    <row r="193" spans="1:15" ht="10.5" customHeight="1" x14ac:dyDescent="0.2">
      <c r="A193" s="167"/>
      <c r="B193" s="66"/>
      <c r="C193" s="323" t="s">
        <v>269</v>
      </c>
      <c r="D193" s="159"/>
      <c r="E193" s="66"/>
      <c r="F193" s="66"/>
      <c r="G193" s="66"/>
      <c r="H193" s="161"/>
      <c r="I193" s="159"/>
      <c r="J193" s="324" t="s">
        <v>268</v>
      </c>
      <c r="K193" s="161"/>
      <c r="L193" s="66"/>
      <c r="M193" s="167"/>
      <c r="N193" s="339" t="s">
        <v>253</v>
      </c>
      <c r="O193" s="66"/>
    </row>
    <row r="194" spans="1:15" ht="11.25" customHeight="1" x14ac:dyDescent="0.2">
      <c r="A194" s="344" t="str">
        <f>info!F7&amp;", "&amp;info!F8</f>
        <v>4, 4</v>
      </c>
      <c r="B194" s="345"/>
      <c r="C194" s="345"/>
      <c r="D194" s="345"/>
      <c r="E194" s="345"/>
      <c r="F194" s="345"/>
      <c r="G194" s="346"/>
      <c r="H194" s="344">
        <f>info!F9</f>
        <v>4</v>
      </c>
      <c r="I194" s="345"/>
      <c r="J194" s="345"/>
      <c r="K194" s="345"/>
      <c r="L194" s="346"/>
      <c r="M194" s="160"/>
      <c r="N194" s="161"/>
      <c r="O194" s="162"/>
    </row>
    <row r="195" spans="1:15" ht="11.25" customHeight="1" x14ac:dyDescent="0.2">
      <c r="A195" s="347"/>
      <c r="B195" s="348"/>
      <c r="C195" s="348"/>
      <c r="D195" s="348"/>
      <c r="E195" s="348"/>
      <c r="F195" s="348"/>
      <c r="G195" s="349"/>
      <c r="H195" s="347"/>
      <c r="I195" s="348"/>
      <c r="J195" s="348"/>
      <c r="K195" s="348"/>
      <c r="L195" s="349"/>
      <c r="M195" s="163"/>
      <c r="N195" s="158"/>
      <c r="O195" s="164"/>
    </row>
    <row r="196" spans="1:15" ht="12" customHeight="1" x14ac:dyDescent="0.2">
      <c r="A196" s="167"/>
      <c r="B196" s="66"/>
      <c r="C196" s="323" t="s">
        <v>269</v>
      </c>
      <c r="D196" s="159"/>
      <c r="E196" s="66"/>
      <c r="F196" s="66"/>
      <c r="G196" s="66"/>
      <c r="H196" s="161"/>
      <c r="I196" s="159"/>
      <c r="J196" s="324" t="s">
        <v>268</v>
      </c>
      <c r="K196" s="161"/>
      <c r="L196" s="66"/>
      <c r="M196" s="167"/>
      <c r="N196" s="339" t="s">
        <v>253</v>
      </c>
      <c r="O196" s="66"/>
    </row>
    <row r="197" spans="1:15" ht="11.25" customHeight="1" x14ac:dyDescent="0.2">
      <c r="A197" s="344" t="str">
        <f>info!G7&amp;", "&amp;info!G8</f>
        <v>5, 5</v>
      </c>
      <c r="B197" s="345"/>
      <c r="C197" s="345"/>
      <c r="D197" s="345"/>
      <c r="E197" s="345"/>
      <c r="F197" s="345"/>
      <c r="G197" s="346"/>
      <c r="H197" s="344">
        <f>info!G9</f>
        <v>5</v>
      </c>
      <c r="I197" s="345"/>
      <c r="J197" s="345"/>
      <c r="K197" s="345"/>
      <c r="L197" s="346"/>
      <c r="M197" s="160"/>
      <c r="N197" s="161"/>
      <c r="O197" s="162"/>
    </row>
    <row r="198" spans="1:15" ht="11.25" customHeight="1" x14ac:dyDescent="0.2">
      <c r="A198" s="347"/>
      <c r="B198" s="348"/>
      <c r="C198" s="348"/>
      <c r="D198" s="348"/>
      <c r="E198" s="348"/>
      <c r="F198" s="348"/>
      <c r="G198" s="349"/>
      <c r="H198" s="347"/>
      <c r="I198" s="348"/>
      <c r="J198" s="348"/>
      <c r="K198" s="348"/>
      <c r="L198" s="349"/>
      <c r="M198" s="163"/>
      <c r="N198" s="158"/>
      <c r="O198" s="164"/>
    </row>
    <row r="199" spans="1:15" ht="10.5" customHeight="1" x14ac:dyDescent="0.2">
      <c r="A199" s="167"/>
      <c r="B199" s="66"/>
      <c r="C199" s="323" t="s">
        <v>269</v>
      </c>
      <c r="D199" s="159"/>
      <c r="E199" s="66"/>
      <c r="F199" s="66"/>
      <c r="G199" s="66"/>
      <c r="H199" s="161"/>
      <c r="I199" s="159"/>
      <c r="J199" s="324" t="s">
        <v>268</v>
      </c>
      <c r="K199" s="161"/>
      <c r="L199" s="66"/>
      <c r="M199" s="167"/>
      <c r="N199" s="339" t="s">
        <v>253</v>
      </c>
      <c r="O199" s="66"/>
    </row>
    <row r="200" spans="1:15" ht="11.25" customHeight="1" x14ac:dyDescent="0.2">
      <c r="A200" s="344" t="str">
        <f>info!H7&amp;", "&amp;info!H8</f>
        <v>6, 6</v>
      </c>
      <c r="B200" s="345"/>
      <c r="C200" s="345"/>
      <c r="D200" s="345"/>
      <c r="E200" s="345"/>
      <c r="F200" s="345"/>
      <c r="G200" s="346"/>
      <c r="H200" s="344">
        <f>info!H7</f>
        <v>6</v>
      </c>
      <c r="I200" s="345"/>
      <c r="J200" s="345"/>
      <c r="K200" s="345"/>
      <c r="L200" s="346"/>
      <c r="M200" s="160"/>
      <c r="N200" s="161"/>
      <c r="O200" s="162"/>
    </row>
    <row r="201" spans="1:15" ht="11.25" customHeight="1" x14ac:dyDescent="0.2">
      <c r="A201" s="347"/>
      <c r="B201" s="348"/>
      <c r="C201" s="348"/>
      <c r="D201" s="348"/>
      <c r="E201" s="348"/>
      <c r="F201" s="348"/>
      <c r="G201" s="349"/>
      <c r="H201" s="347"/>
      <c r="I201" s="348"/>
      <c r="J201" s="348"/>
      <c r="K201" s="348"/>
      <c r="L201" s="349"/>
      <c r="M201" s="163"/>
      <c r="N201" s="158"/>
      <c r="O201" s="164"/>
    </row>
    <row r="202" spans="1:15" ht="9.75" customHeight="1" x14ac:dyDescent="0.2">
      <c r="A202" s="167"/>
      <c r="B202" s="66"/>
      <c r="C202" s="323" t="s">
        <v>269</v>
      </c>
      <c r="D202" s="159"/>
      <c r="E202" s="66"/>
      <c r="F202" s="66"/>
      <c r="G202" s="66"/>
      <c r="H202" s="161"/>
      <c r="I202" s="159"/>
      <c r="J202" s="324" t="s">
        <v>268</v>
      </c>
      <c r="K202" s="161"/>
      <c r="L202" s="66"/>
      <c r="M202" s="167"/>
      <c r="N202" s="339" t="s">
        <v>253</v>
      </c>
      <c r="O202" s="66"/>
    </row>
    <row r="203" spans="1:15" ht="11.25" customHeight="1" x14ac:dyDescent="0.2">
      <c r="A203" s="344" t="str">
        <f>info!I7&amp;", "&amp;info!I8</f>
        <v>7, 7</v>
      </c>
      <c r="B203" s="345"/>
      <c r="C203" s="345"/>
      <c r="D203" s="345"/>
      <c r="E203" s="345"/>
      <c r="F203" s="345"/>
      <c r="G203" s="346"/>
      <c r="H203" s="344">
        <f>info!I9</f>
        <v>7</v>
      </c>
      <c r="I203" s="345"/>
      <c r="J203" s="345"/>
      <c r="K203" s="345"/>
      <c r="L203" s="346"/>
      <c r="M203" s="160"/>
      <c r="N203" s="161"/>
      <c r="O203" s="162"/>
    </row>
    <row r="204" spans="1:15" ht="11.25" customHeight="1" x14ac:dyDescent="0.2">
      <c r="A204" s="347"/>
      <c r="B204" s="348"/>
      <c r="C204" s="348"/>
      <c r="D204" s="348"/>
      <c r="E204" s="348"/>
      <c r="F204" s="348"/>
      <c r="G204" s="349"/>
      <c r="H204" s="347"/>
      <c r="I204" s="348"/>
      <c r="J204" s="348"/>
      <c r="K204" s="348"/>
      <c r="L204" s="349"/>
      <c r="M204" s="163"/>
      <c r="N204" s="158"/>
      <c r="O204" s="164"/>
    </row>
    <row r="205" spans="1:15" ht="12" customHeight="1" x14ac:dyDescent="0.2">
      <c r="A205" s="167"/>
      <c r="B205" s="66"/>
      <c r="C205" s="323" t="s">
        <v>269</v>
      </c>
      <c r="D205" s="159"/>
      <c r="E205" s="66"/>
      <c r="F205" s="66"/>
      <c r="G205" s="66"/>
      <c r="H205" s="161"/>
      <c r="I205" s="159"/>
      <c r="J205" s="324" t="s">
        <v>268</v>
      </c>
      <c r="K205" s="161"/>
      <c r="L205" s="66"/>
      <c r="M205" s="167"/>
      <c r="N205" s="339" t="s">
        <v>253</v>
      </c>
      <c r="O205" s="66"/>
    </row>
    <row r="206" spans="1:15" ht="11.25" customHeight="1" x14ac:dyDescent="0.2">
      <c r="A206" s="344" t="str">
        <f>info!J7&amp;", "&amp;info!J8</f>
        <v>8, 8</v>
      </c>
      <c r="B206" s="345"/>
      <c r="C206" s="345"/>
      <c r="D206" s="345"/>
      <c r="E206" s="345"/>
      <c r="F206" s="345"/>
      <c r="G206" s="346"/>
      <c r="H206" s="344">
        <f>info!J9</f>
        <v>8</v>
      </c>
      <c r="I206" s="345"/>
      <c r="J206" s="345"/>
      <c r="K206" s="345"/>
      <c r="L206" s="346"/>
      <c r="M206" s="160"/>
      <c r="N206" s="161"/>
      <c r="O206" s="162"/>
    </row>
    <row r="207" spans="1:15" ht="11.25" customHeight="1" x14ac:dyDescent="0.2">
      <c r="A207" s="347"/>
      <c r="B207" s="348"/>
      <c r="C207" s="348"/>
      <c r="D207" s="348"/>
      <c r="E207" s="348"/>
      <c r="F207" s="348"/>
      <c r="G207" s="349"/>
      <c r="H207" s="347"/>
      <c r="I207" s="348"/>
      <c r="J207" s="348"/>
      <c r="K207" s="348"/>
      <c r="L207" s="349"/>
      <c r="M207" s="163"/>
      <c r="N207" s="158"/>
      <c r="O207" s="164"/>
    </row>
    <row r="208" spans="1:15" ht="12" customHeight="1" x14ac:dyDescent="0.2">
      <c r="A208" s="167"/>
      <c r="B208" s="66"/>
      <c r="C208" s="323" t="s">
        <v>269</v>
      </c>
      <c r="D208" s="159"/>
      <c r="E208" s="66"/>
      <c r="F208" s="66"/>
      <c r="G208" s="66"/>
      <c r="H208" s="161"/>
      <c r="I208" s="159"/>
      <c r="J208" s="324" t="s">
        <v>268</v>
      </c>
      <c r="K208" s="161"/>
      <c r="L208" s="66"/>
      <c r="M208" s="167"/>
      <c r="N208" s="339" t="s">
        <v>253</v>
      </c>
      <c r="O208" s="66"/>
    </row>
    <row r="209" spans="1:15" x14ac:dyDescent="0.2">
      <c r="A209" s="344" t="str">
        <f>info!K7&amp;", "&amp;info!K8</f>
        <v>9, 9</v>
      </c>
      <c r="B209" s="345"/>
      <c r="C209" s="345"/>
      <c r="D209" s="345"/>
      <c r="E209" s="345"/>
      <c r="F209" s="345"/>
      <c r="G209" s="346"/>
      <c r="H209" s="344">
        <f>info!K9</f>
        <v>9</v>
      </c>
      <c r="I209" s="345"/>
      <c r="J209" s="345"/>
      <c r="K209" s="345"/>
      <c r="L209" s="346"/>
      <c r="M209" s="160"/>
      <c r="N209" s="161"/>
      <c r="O209" s="162"/>
    </row>
    <row r="210" spans="1:15" x14ac:dyDescent="0.2">
      <c r="A210" s="347"/>
      <c r="B210" s="348"/>
      <c r="C210" s="348"/>
      <c r="D210" s="348"/>
      <c r="E210" s="348"/>
      <c r="F210" s="348"/>
      <c r="G210" s="349"/>
      <c r="H210" s="347"/>
      <c r="I210" s="348"/>
      <c r="J210" s="348"/>
      <c r="K210" s="348"/>
      <c r="L210" s="349"/>
      <c r="M210" s="163"/>
      <c r="N210" s="158"/>
      <c r="O210" s="164"/>
    </row>
    <row r="211" spans="1:15" ht="16.5" x14ac:dyDescent="0.2">
      <c r="A211" s="340"/>
      <c r="B211" s="66"/>
      <c r="C211" s="323" t="s">
        <v>269</v>
      </c>
      <c r="D211" s="159"/>
      <c r="E211" s="66"/>
      <c r="F211" s="66"/>
      <c r="G211" s="66"/>
      <c r="H211" s="161"/>
      <c r="I211" s="159"/>
      <c r="J211" s="324" t="s">
        <v>268</v>
      </c>
      <c r="K211" s="161"/>
      <c r="L211" s="66"/>
      <c r="M211" s="340"/>
      <c r="N211" s="339" t="s">
        <v>253</v>
      </c>
      <c r="O211" s="66"/>
    </row>
  </sheetData>
  <dataConsolidate/>
  <mergeCells count="204">
    <mergeCell ref="A174:O174"/>
    <mergeCell ref="A137:O137"/>
    <mergeCell ref="A146:O146"/>
    <mergeCell ref="A161:O161"/>
    <mergeCell ref="A140:O140"/>
    <mergeCell ref="A127:E127"/>
    <mergeCell ref="F127:G127"/>
    <mergeCell ref="A163:O163"/>
    <mergeCell ref="A165:O165"/>
    <mergeCell ref="A166:O166"/>
    <mergeCell ref="A171:O171"/>
    <mergeCell ref="A168:O168"/>
    <mergeCell ref="A167:O167"/>
    <mergeCell ref="A169:O169"/>
    <mergeCell ref="A172:O172"/>
    <mergeCell ref="A173:O173"/>
    <mergeCell ref="A141:O141"/>
    <mergeCell ref="A142:O142"/>
    <mergeCell ref="A143:O143"/>
    <mergeCell ref="N133:O133"/>
    <mergeCell ref="H133:M133"/>
    <mergeCell ref="F133:G133"/>
    <mergeCell ref="A133:E133"/>
    <mergeCell ref="F130:G130"/>
    <mergeCell ref="A84:O84"/>
    <mergeCell ref="A37:J37"/>
    <mergeCell ref="L37:O37"/>
    <mergeCell ref="B39:N39"/>
    <mergeCell ref="A41:J41"/>
    <mergeCell ref="L49:O49"/>
    <mergeCell ref="L41:O41"/>
    <mergeCell ref="A49:J49"/>
    <mergeCell ref="A139:O139"/>
    <mergeCell ref="A114:O114"/>
    <mergeCell ref="A111:O111"/>
    <mergeCell ref="A112:O112"/>
    <mergeCell ref="A113:O113"/>
    <mergeCell ref="H125:M125"/>
    <mergeCell ref="H126:M126"/>
    <mergeCell ref="A96:O96"/>
    <mergeCell ref="A97:O97"/>
    <mergeCell ref="A98:O98"/>
    <mergeCell ref="A109:O109"/>
    <mergeCell ref="A110:O110"/>
    <mergeCell ref="A107:O107"/>
    <mergeCell ref="A106:O106"/>
    <mergeCell ref="A104:O104"/>
    <mergeCell ref="A88:O88"/>
    <mergeCell ref="A4:O4"/>
    <mergeCell ref="A5:O5"/>
    <mergeCell ref="A6:O6"/>
    <mergeCell ref="A7:O7"/>
    <mergeCell ref="A8:O8"/>
    <mergeCell ref="A9:O9"/>
    <mergeCell ref="A10:O10"/>
    <mergeCell ref="A11:O11"/>
    <mergeCell ref="A13:O13"/>
    <mergeCell ref="A94:O94"/>
    <mergeCell ref="A95:O95"/>
    <mergeCell ref="A102:O102"/>
    <mergeCell ref="H118:M118"/>
    <mergeCell ref="H119:M119"/>
    <mergeCell ref="H120:M120"/>
    <mergeCell ref="H121:M121"/>
    <mergeCell ref="H122:M122"/>
    <mergeCell ref="F118:G118"/>
    <mergeCell ref="F119:G119"/>
    <mergeCell ref="F120:G120"/>
    <mergeCell ref="F121:G121"/>
    <mergeCell ref="F122:G122"/>
    <mergeCell ref="A3:O3"/>
    <mergeCell ref="A12:O12"/>
    <mergeCell ref="A116:E116"/>
    <mergeCell ref="F116:G116"/>
    <mergeCell ref="H116:M116"/>
    <mergeCell ref="N116:O116"/>
    <mergeCell ref="A55:O55"/>
    <mergeCell ref="A56:O56"/>
    <mergeCell ref="A57:O57"/>
    <mergeCell ref="A58:O58"/>
    <mergeCell ref="A59:O59"/>
    <mergeCell ref="A60:O60"/>
    <mergeCell ref="A61:O61"/>
    <mergeCell ref="A62:O62"/>
    <mergeCell ref="A63:O63"/>
    <mergeCell ref="A64:O64"/>
    <mergeCell ref="A115:O115"/>
    <mergeCell ref="A105:O105"/>
    <mergeCell ref="A81:O81"/>
    <mergeCell ref="A82:O82"/>
    <mergeCell ref="A83:O83"/>
    <mergeCell ref="A85:O85"/>
    <mergeCell ref="A86:O86"/>
    <mergeCell ref="A87:O87"/>
    <mergeCell ref="F132:G132"/>
    <mergeCell ref="H132:M132"/>
    <mergeCell ref="A134:O134"/>
    <mergeCell ref="A135:O135"/>
    <mergeCell ref="A129:E129"/>
    <mergeCell ref="F129:G129"/>
    <mergeCell ref="H129:M129"/>
    <mergeCell ref="N129:O129"/>
    <mergeCell ref="A130:E130"/>
    <mergeCell ref="A131:E131"/>
    <mergeCell ref="A132:E132"/>
    <mergeCell ref="N130:O130"/>
    <mergeCell ref="N131:O131"/>
    <mergeCell ref="N132:O132"/>
    <mergeCell ref="A79:O79"/>
    <mergeCell ref="A80:O80"/>
    <mergeCell ref="A71:O71"/>
    <mergeCell ref="A72:O72"/>
    <mergeCell ref="A73:O73"/>
    <mergeCell ref="A74:O74"/>
    <mergeCell ref="F126:G126"/>
    <mergeCell ref="F131:G131"/>
    <mergeCell ref="H131:M131"/>
    <mergeCell ref="A128:E128"/>
    <mergeCell ref="F128:G128"/>
    <mergeCell ref="H128:M128"/>
    <mergeCell ref="N128:O128"/>
    <mergeCell ref="H127:M127"/>
    <mergeCell ref="N127:O127"/>
    <mergeCell ref="N118:O126"/>
    <mergeCell ref="A89:O89"/>
    <mergeCell ref="A90:O90"/>
    <mergeCell ref="A91:O91"/>
    <mergeCell ref="A92:O92"/>
    <mergeCell ref="A93:O93"/>
    <mergeCell ref="H117:M117"/>
    <mergeCell ref="H123:M123"/>
    <mergeCell ref="H124:M124"/>
    <mergeCell ref="A25:J25"/>
    <mergeCell ref="L25:O25"/>
    <mergeCell ref="B27:N27"/>
    <mergeCell ref="A29:J29"/>
    <mergeCell ref="L29:O29"/>
    <mergeCell ref="B31:N31"/>
    <mergeCell ref="A33:J33"/>
    <mergeCell ref="H130:M130"/>
    <mergeCell ref="F123:G123"/>
    <mergeCell ref="F124:G124"/>
    <mergeCell ref="F125:G125"/>
    <mergeCell ref="L45:O45"/>
    <mergeCell ref="B47:N47"/>
    <mergeCell ref="A117:E117"/>
    <mergeCell ref="A118:E126"/>
    <mergeCell ref="F117:G117"/>
    <mergeCell ref="A108:O108"/>
    <mergeCell ref="A65:O65"/>
    <mergeCell ref="A66:O66"/>
    <mergeCell ref="A67:O67"/>
    <mergeCell ref="A68:O68"/>
    <mergeCell ref="A70:O70"/>
    <mergeCell ref="A76:O76"/>
    <mergeCell ref="A77:O77"/>
    <mergeCell ref="L33:O33"/>
    <mergeCell ref="B35:N35"/>
    <mergeCell ref="B43:N43"/>
    <mergeCell ref="A45:J45"/>
    <mergeCell ref="A177:O177"/>
    <mergeCell ref="A176:O176"/>
    <mergeCell ref="A175:O175"/>
    <mergeCell ref="A144:O144"/>
    <mergeCell ref="A1:O1"/>
    <mergeCell ref="A75:O75"/>
    <mergeCell ref="A99:O99"/>
    <mergeCell ref="A100:O100"/>
    <mergeCell ref="A101:O101"/>
    <mergeCell ref="N117:O117"/>
    <mergeCell ref="A138:O138"/>
    <mergeCell ref="A2:O2"/>
    <mergeCell ref="A103:O103"/>
    <mergeCell ref="A16:J16"/>
    <mergeCell ref="B14:N14"/>
    <mergeCell ref="L16:O16"/>
    <mergeCell ref="B19:N19"/>
    <mergeCell ref="A21:J21"/>
    <mergeCell ref="L21:O21"/>
    <mergeCell ref="B23:N23"/>
    <mergeCell ref="A209:G210"/>
    <mergeCell ref="H209:L210"/>
    <mergeCell ref="A203:G204"/>
    <mergeCell ref="H203:L204"/>
    <mergeCell ref="A206:G207"/>
    <mergeCell ref="H206:L207"/>
    <mergeCell ref="B51:N51"/>
    <mergeCell ref="A53:J53"/>
    <mergeCell ref="L53:O53"/>
    <mergeCell ref="A188:G189"/>
    <mergeCell ref="H188:L189"/>
    <mergeCell ref="A191:G192"/>
    <mergeCell ref="H191:L192"/>
    <mergeCell ref="A194:G195"/>
    <mergeCell ref="H194:L195"/>
    <mergeCell ref="A197:G198"/>
    <mergeCell ref="H197:L198"/>
    <mergeCell ref="A200:G201"/>
    <mergeCell ref="H200:L201"/>
    <mergeCell ref="A181:G182"/>
    <mergeCell ref="H181:L182"/>
    <mergeCell ref="A185:G186"/>
    <mergeCell ref="H185:L186"/>
    <mergeCell ref="A78:O78"/>
  </mergeCells>
  <pageMargins left="0.70866141732283461" right="0.70866141732283461" top="0.74803149606299213" bottom="0.74803149606299213" header="0.31496062992125984" footer="0.31496062992125984"/>
  <pageSetup paperSize="9" orientation="portrait" r:id="rId1"/>
  <headerFooter differentFirst="1" scaleWithDoc="0">
    <oddHeader>&amp;C&amp;P</oddHeader>
    <oddFooter>&amp;C&amp;"Arial,&amp;ïîëóæèðíûé"&amp;14Протокол первичной аттестации от 18.05.2020г. № 1994.1</oddFooter>
    <evenHeader>&amp;C&amp;P</evenHeader>
    <firstHeader>&amp;C&amp;"Arial,&amp;ïîëóæèðíûé"&amp;14ООО «Остек-Тест»</firstHeader>
    <firstFooter>&amp;C&amp;"Arial,&amp;ïîëóæèðíûé"&amp;14Протокол первичной аттестации от 18.05.2020г. № 1994.1</firstFooter>
  </headerFooter>
  <rowBreaks count="2" manualBreakCount="2">
    <brk id="164" max="16383" man="1"/>
    <brk id="207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O377"/>
  <sheetViews>
    <sheetView view="pageLayout" zoomScale="55" zoomScaleNormal="100" zoomScalePageLayoutView="55" workbookViewId="0">
      <selection activeCell="K8" sqref="K8"/>
    </sheetView>
  </sheetViews>
  <sheetFormatPr defaultColWidth="9" defaultRowHeight="14.25" x14ac:dyDescent="0.2"/>
  <cols>
    <col min="1" max="1" width="6.625" style="157" customWidth="1"/>
    <col min="2" max="12" width="6.625" customWidth="1"/>
    <col min="13" max="13" width="3.875" customWidth="1"/>
    <col min="15" max="15" width="6.625" customWidth="1"/>
    <col min="47" max="48" width="9" customWidth="1"/>
    <col min="49" max="377" width="0" hidden="1" customWidth="1"/>
  </cols>
  <sheetData>
    <row r="1" spans="1:13" ht="30.75" customHeight="1" x14ac:dyDescent="0.2">
      <c r="A1" s="417" t="s">
        <v>379</v>
      </c>
      <c r="B1" s="417"/>
      <c r="C1" s="417"/>
      <c r="D1" s="417"/>
      <c r="E1" s="417"/>
      <c r="F1" s="417"/>
      <c r="G1" s="417"/>
      <c r="H1" s="417"/>
      <c r="I1" s="417"/>
      <c r="J1" s="417"/>
      <c r="K1" s="417"/>
      <c r="L1" s="417"/>
      <c r="M1" s="284"/>
    </row>
    <row r="2" spans="1:13" ht="25.5" customHeight="1" thickBot="1" x14ac:dyDescent="0.25">
      <c r="A2" s="418" t="str">
        <f>"Тзад =  "&amp;'t1'!C39&amp;" °С"</f>
        <v>Тзад =  -75 °С</v>
      </c>
      <c r="B2" s="418"/>
      <c r="C2" s="418"/>
      <c r="D2" s="418"/>
      <c r="E2" s="418"/>
      <c r="F2" s="418"/>
      <c r="G2" s="418"/>
      <c r="H2" s="418"/>
      <c r="I2" s="418"/>
      <c r="J2" s="418"/>
      <c r="K2" s="418"/>
      <c r="L2" s="418"/>
      <c r="M2" s="284"/>
    </row>
    <row r="3" spans="1:13" ht="30" thickTop="1" thickBot="1" x14ac:dyDescent="0.25">
      <c r="A3" s="239" t="s">
        <v>89</v>
      </c>
      <c r="B3" s="419" t="s">
        <v>94</v>
      </c>
      <c r="C3" s="419"/>
      <c r="D3" s="419"/>
      <c r="E3" s="419"/>
      <c r="F3" s="419"/>
      <c r="G3" s="419"/>
      <c r="H3" s="419"/>
      <c r="I3" s="419"/>
      <c r="J3" s="419"/>
      <c r="K3" s="420" t="s">
        <v>91</v>
      </c>
      <c r="L3" s="420"/>
    </row>
    <row r="4" spans="1:13" ht="15.2" customHeight="1" thickTop="1" x14ac:dyDescent="0.2">
      <c r="A4" s="236"/>
      <c r="B4" s="235">
        <v>1</v>
      </c>
      <c r="C4" s="235">
        <v>2</v>
      </c>
      <c r="D4" s="235">
        <v>3</v>
      </c>
      <c r="E4" s="235">
        <v>4</v>
      </c>
      <c r="F4" s="235">
        <v>5</v>
      </c>
      <c r="G4" s="235">
        <v>6</v>
      </c>
      <c r="H4" s="235">
        <v>7</v>
      </c>
      <c r="I4" s="235">
        <v>8</v>
      </c>
      <c r="J4" s="235">
        <v>9</v>
      </c>
      <c r="K4" s="237" t="s">
        <v>92</v>
      </c>
      <c r="L4" s="238" t="s">
        <v>93</v>
      </c>
    </row>
    <row r="5" spans="1:13" ht="15.2" customHeight="1" x14ac:dyDescent="0.2">
      <c r="A5" s="226">
        <v>1</v>
      </c>
      <c r="B5" s="227">
        <f>'t1'!C3</f>
        <v>-74.86842</v>
      </c>
      <c r="C5" s="227">
        <f>'t1'!D3</f>
        <v>-75.746399999999994</v>
      </c>
      <c r="D5" s="227">
        <f>'t1'!E3</f>
        <v>-75.10521</v>
      </c>
      <c r="E5" s="227">
        <f>'t1'!F3</f>
        <v>-75.743030000000005</v>
      </c>
      <c r="F5" s="227">
        <f>'t1'!G3</f>
        <v>-75.322199999999995</v>
      </c>
      <c r="G5" s="227">
        <f>'t1'!H3</f>
        <v>-75.8005</v>
      </c>
      <c r="H5" s="227">
        <f>'t1'!I3</f>
        <v>-75.500879999999995</v>
      </c>
      <c r="I5" s="227">
        <f>'t1'!J3</f>
        <v>-75.364459999999994</v>
      </c>
      <c r="J5" s="227">
        <f>'t1'!K3</f>
        <v>-75.597840000000005</v>
      </c>
      <c r="K5" s="227">
        <f>'t1'!L3</f>
        <v>-75.449882222222229</v>
      </c>
      <c r="L5" s="227">
        <f>'t1'!M3</f>
        <v>0.29847398512276063</v>
      </c>
    </row>
    <row r="6" spans="1:13" ht="15.2" customHeight="1" x14ac:dyDescent="0.2">
      <c r="A6" s="226">
        <v>2</v>
      </c>
      <c r="B6" s="227">
        <f>'t1'!C4</f>
        <v>-74.860690000000005</v>
      </c>
      <c r="C6" s="227">
        <f>'t1'!D4</f>
        <v>-75.72927</v>
      </c>
      <c r="D6" s="227">
        <f>'t1'!E4</f>
        <v>-75.09572</v>
      </c>
      <c r="E6" s="227">
        <f>'t1'!F4</f>
        <v>-75.727279999999993</v>
      </c>
      <c r="F6" s="227">
        <f>'t1'!G4</f>
        <v>-75.300110000000004</v>
      </c>
      <c r="G6" s="227">
        <f>'t1'!H4</f>
        <v>-75.782669999999996</v>
      </c>
      <c r="H6" s="227">
        <f>'t1'!I4</f>
        <v>-75.486540000000005</v>
      </c>
      <c r="I6" s="227">
        <f>'t1'!J4</f>
        <v>-75.348920000000007</v>
      </c>
      <c r="J6" s="227">
        <f>'t1'!K4</f>
        <v>-75.589550000000003</v>
      </c>
      <c r="K6" s="227">
        <f>'t1'!L4</f>
        <v>-75.435638888888903</v>
      </c>
      <c r="L6" s="227">
        <f>'t1'!M4</f>
        <v>0.29627000329820674</v>
      </c>
    </row>
    <row r="7" spans="1:13" ht="15.2" customHeight="1" x14ac:dyDescent="0.2">
      <c r="A7" s="226">
        <v>3</v>
      </c>
      <c r="B7" s="227">
        <f>'t1'!C5</f>
        <v>-74.867170000000002</v>
      </c>
      <c r="C7" s="227">
        <f>'t1'!D5</f>
        <v>-75.735560000000007</v>
      </c>
      <c r="D7" s="227">
        <f>'t1'!E5</f>
        <v>-75.081969999999998</v>
      </c>
      <c r="E7" s="227">
        <f>'t1'!F5</f>
        <v>-75.713849999999994</v>
      </c>
      <c r="F7" s="227">
        <f>'t1'!G5</f>
        <v>-75.290279999999996</v>
      </c>
      <c r="G7" s="227">
        <f>'t1'!H5</f>
        <v>-75.780379999999994</v>
      </c>
      <c r="H7" s="227">
        <f>'t1'!I5</f>
        <v>-75.481250000000003</v>
      </c>
      <c r="I7" s="227">
        <f>'t1'!J5</f>
        <v>-75.340599999999995</v>
      </c>
      <c r="J7" s="227">
        <f>'t1'!K5</f>
        <v>-75.592209999999994</v>
      </c>
      <c r="K7" s="227">
        <f>'t1'!L5</f>
        <v>-75.431474444444447</v>
      </c>
      <c r="L7" s="227">
        <f>'t1'!M5</f>
        <v>0.29646800266212325</v>
      </c>
    </row>
    <row r="8" spans="1:13" ht="15.2" customHeight="1" x14ac:dyDescent="0.2">
      <c r="A8" s="226">
        <v>4</v>
      </c>
      <c r="B8" s="227">
        <f>'t1'!C6</f>
        <v>-74.875309999999999</v>
      </c>
      <c r="C8" s="227">
        <f>'t1'!D6</f>
        <v>-75.747420000000005</v>
      </c>
      <c r="D8" s="227">
        <f>'t1'!E6</f>
        <v>-75.083539999999999</v>
      </c>
      <c r="E8" s="227">
        <f>'t1'!F6</f>
        <v>-75.71875</v>
      </c>
      <c r="F8" s="227">
        <f>'t1'!G6</f>
        <v>-75.308260000000004</v>
      </c>
      <c r="G8" s="227">
        <f>'t1'!H6</f>
        <v>-75.793350000000004</v>
      </c>
      <c r="H8" s="227">
        <f>'t1'!I6</f>
        <v>-75.499009999999998</v>
      </c>
      <c r="I8" s="227">
        <f>'t1'!J6</f>
        <v>-75.346850000000003</v>
      </c>
      <c r="J8" s="227">
        <f>'t1'!K6</f>
        <v>-75.596599999999995</v>
      </c>
      <c r="K8" s="227">
        <f>'t1'!L6</f>
        <v>-75.441010000000006</v>
      </c>
      <c r="L8" s="227">
        <f>'t1'!M6</f>
        <v>0.29758888091534086</v>
      </c>
    </row>
    <row r="9" spans="1:13" ht="15.2" customHeight="1" x14ac:dyDescent="0.2">
      <c r="A9" s="226">
        <v>5</v>
      </c>
      <c r="B9" s="227">
        <f>'t1'!C7</f>
        <v>-74.875500000000002</v>
      </c>
      <c r="C9" s="227">
        <f>'t1'!D7</f>
        <v>-75.753339999999994</v>
      </c>
      <c r="D9" s="227">
        <f>'t1'!E7</f>
        <v>-75.090209999999999</v>
      </c>
      <c r="E9" s="227">
        <f>'t1'!F7</f>
        <v>-75.725390000000004</v>
      </c>
      <c r="F9" s="227">
        <f>'t1'!G7</f>
        <v>-75.324629999999999</v>
      </c>
      <c r="G9" s="227">
        <f>'t1'!H7</f>
        <v>-75.799930000000003</v>
      </c>
      <c r="H9" s="227">
        <f>'t1'!I7</f>
        <v>-75.513109999999998</v>
      </c>
      <c r="I9" s="227">
        <f>'t1'!J7</f>
        <v>-75.359650000000002</v>
      </c>
      <c r="J9" s="227">
        <f>'t1'!K7</f>
        <v>-75.602630000000005</v>
      </c>
      <c r="K9" s="227">
        <f>'t1'!L7</f>
        <v>-75.449376666666666</v>
      </c>
      <c r="L9" s="227">
        <f>'t1'!M7</f>
        <v>0.29832140724765671</v>
      </c>
    </row>
    <row r="10" spans="1:13" ht="15.2" customHeight="1" x14ac:dyDescent="0.2">
      <c r="A10" s="226">
        <v>6</v>
      </c>
      <c r="B10" s="227">
        <f>'t1'!C8</f>
        <v>-74.872969999999995</v>
      </c>
      <c r="C10" s="227">
        <f>'t1'!D8</f>
        <v>-75.748230000000007</v>
      </c>
      <c r="D10" s="227">
        <f>'t1'!E8</f>
        <v>-75.094290000000001</v>
      </c>
      <c r="E10" s="227">
        <f>'t1'!F8</f>
        <v>-75.72833</v>
      </c>
      <c r="F10" s="227">
        <f>'t1'!G8</f>
        <v>-75.317899999999995</v>
      </c>
      <c r="G10" s="227">
        <f>'t1'!H8</f>
        <v>-75.796099999999996</v>
      </c>
      <c r="H10" s="227">
        <f>'t1'!I8</f>
        <v>-75.508219999999994</v>
      </c>
      <c r="I10" s="227">
        <f>'t1'!J8</f>
        <v>-75.358670000000004</v>
      </c>
      <c r="J10" s="227">
        <f>'t1'!K8</f>
        <v>-75.599930000000001</v>
      </c>
      <c r="K10" s="227">
        <f>'t1'!L8</f>
        <v>-75.44718222222221</v>
      </c>
      <c r="L10" s="227">
        <f>'t1'!M8</f>
        <v>0.29763434877856443</v>
      </c>
    </row>
    <row r="11" spans="1:13" ht="15.2" customHeight="1" x14ac:dyDescent="0.2">
      <c r="A11" s="226">
        <v>7</v>
      </c>
      <c r="B11" s="227">
        <f>'t1'!C9</f>
        <v>-74.880629999999996</v>
      </c>
      <c r="C11" s="227">
        <f>'t1'!D9</f>
        <v>-75.75027</v>
      </c>
      <c r="D11" s="227">
        <f>'t1'!E9</f>
        <v>-75.090040000000002</v>
      </c>
      <c r="E11" s="227">
        <f>'t1'!F9</f>
        <v>-75.725890000000007</v>
      </c>
      <c r="F11" s="227">
        <f>'t1'!G9</f>
        <v>-75.309539999999998</v>
      </c>
      <c r="G11" s="227">
        <f>'t1'!H9</f>
        <v>-75.793670000000006</v>
      </c>
      <c r="H11" s="227">
        <f>'t1'!I9</f>
        <v>-75.499709999999993</v>
      </c>
      <c r="I11" s="227">
        <f>'t1'!J9</f>
        <v>-75.357529999999997</v>
      </c>
      <c r="J11" s="227">
        <f>'t1'!K9</f>
        <v>-75.59778</v>
      </c>
      <c r="K11" s="227">
        <f>'t1'!L9</f>
        <v>-75.445006666666657</v>
      </c>
      <c r="L11" s="227">
        <f>'t1'!M9</f>
        <v>0.29636785644420782</v>
      </c>
    </row>
    <row r="12" spans="1:13" ht="15.2" customHeight="1" x14ac:dyDescent="0.2">
      <c r="A12" s="226">
        <v>8</v>
      </c>
      <c r="B12" s="227">
        <f>'t1'!C10</f>
        <v>-74.881209999999996</v>
      </c>
      <c r="C12" s="227">
        <f>'t1'!D10</f>
        <v>-75.742109999999997</v>
      </c>
      <c r="D12" s="227">
        <f>'t1'!E10</f>
        <v>-75.091120000000004</v>
      </c>
      <c r="E12" s="227">
        <f>'t1'!F10</f>
        <v>-75.724689999999995</v>
      </c>
      <c r="F12" s="227">
        <f>'t1'!G10</f>
        <v>-75.303880000000007</v>
      </c>
      <c r="G12" s="227">
        <f>'t1'!H10</f>
        <v>-75.792879999999997</v>
      </c>
      <c r="H12" s="227">
        <f>'t1'!I10</f>
        <v>-75.493120000000005</v>
      </c>
      <c r="I12" s="227">
        <f>'t1'!J10</f>
        <v>-75.352710000000002</v>
      </c>
      <c r="J12" s="227">
        <f>'t1'!K10</f>
        <v>-75.598600000000005</v>
      </c>
      <c r="K12" s="227">
        <f>'t1'!L10</f>
        <v>-75.442257777777783</v>
      </c>
      <c r="L12" s="227">
        <f>'t1'!M10</f>
        <v>0.29531239127321696</v>
      </c>
    </row>
    <row r="13" spans="1:13" ht="15.2" customHeight="1" x14ac:dyDescent="0.2">
      <c r="A13" s="226">
        <v>9</v>
      </c>
      <c r="B13" s="227">
        <f>'t1'!C11</f>
        <v>-74.883170000000007</v>
      </c>
      <c r="C13" s="227">
        <f>'t1'!D11</f>
        <v>-75.735399999999998</v>
      </c>
      <c r="D13" s="227">
        <f>'t1'!E11</f>
        <v>-75.089370000000002</v>
      </c>
      <c r="E13" s="227">
        <f>'t1'!F11</f>
        <v>-75.721270000000004</v>
      </c>
      <c r="F13" s="227">
        <f>'t1'!G11</f>
        <v>-75.306079999999994</v>
      </c>
      <c r="G13" s="227">
        <f>'t1'!H11</f>
        <v>-75.794970000000006</v>
      </c>
      <c r="H13" s="227">
        <f>'t1'!I11</f>
        <v>-75.499409999999997</v>
      </c>
      <c r="I13" s="227">
        <f>'t1'!J11</f>
        <v>-75.350239999999999</v>
      </c>
      <c r="J13" s="227">
        <f>'t1'!K11</f>
        <v>-75.595500000000001</v>
      </c>
      <c r="K13" s="227">
        <f>'t1'!L11</f>
        <v>-75.441712222222222</v>
      </c>
      <c r="L13" s="227">
        <f>'t1'!M11</f>
        <v>0.29421336859790753</v>
      </c>
    </row>
    <row r="14" spans="1:13" ht="15.2" customHeight="1" x14ac:dyDescent="0.2">
      <c r="A14" s="226">
        <v>10</v>
      </c>
      <c r="B14" s="227">
        <f>'t1'!C12</f>
        <v>-74.869870000000006</v>
      </c>
      <c r="C14" s="227">
        <f>'t1'!D12</f>
        <v>-75.725390000000004</v>
      </c>
      <c r="D14" s="227">
        <f>'t1'!E12</f>
        <v>-75.088610000000003</v>
      </c>
      <c r="E14" s="227">
        <f>'t1'!F12</f>
        <v>-75.708789999999993</v>
      </c>
      <c r="F14" s="227">
        <f>'t1'!G12</f>
        <v>-75.289779999999993</v>
      </c>
      <c r="G14" s="227">
        <f>'t1'!H12</f>
        <v>-75.771259999999998</v>
      </c>
      <c r="H14" s="227">
        <f>'t1'!I12</f>
        <v>-75.480099999999993</v>
      </c>
      <c r="I14" s="227">
        <f>'t1'!J12</f>
        <v>-75.341139999999996</v>
      </c>
      <c r="J14" s="227">
        <f>'t1'!K12</f>
        <v>-75.5822</v>
      </c>
      <c r="K14" s="227">
        <f>'t1'!L12</f>
        <v>-75.428571111111125</v>
      </c>
      <c r="L14" s="227">
        <f>'t1'!M12</f>
        <v>0.29153701409538607</v>
      </c>
    </row>
    <row r="15" spans="1:13" ht="15.2" customHeight="1" x14ac:dyDescent="0.2">
      <c r="A15" s="226">
        <v>11</v>
      </c>
      <c r="B15" s="227">
        <f>'t1'!C13</f>
        <v>-74.853650000000002</v>
      </c>
      <c r="C15" s="227">
        <f>'t1'!D13</f>
        <v>-75.721969999999999</v>
      </c>
      <c r="D15" s="227">
        <f>'t1'!E13</f>
        <v>-75.076719999999995</v>
      </c>
      <c r="E15" s="227">
        <f>'t1'!F13</f>
        <v>-75.69708</v>
      </c>
      <c r="F15" s="227">
        <f>'t1'!G13</f>
        <v>-75.282030000000006</v>
      </c>
      <c r="G15" s="227">
        <f>'t1'!H13</f>
        <v>-75.764470000000003</v>
      </c>
      <c r="H15" s="227">
        <f>'t1'!I13</f>
        <v>-75.481859999999998</v>
      </c>
      <c r="I15" s="227">
        <f>'t1'!J13</f>
        <v>-75.332819999999998</v>
      </c>
      <c r="J15" s="227">
        <f>'t1'!K13</f>
        <v>-75.579679999999996</v>
      </c>
      <c r="K15" s="227">
        <f>'t1'!L13</f>
        <v>-75.421142222222215</v>
      </c>
      <c r="L15" s="227">
        <f>'t1'!M13</f>
        <v>0.29461103591676707</v>
      </c>
    </row>
    <row r="16" spans="1:13" ht="15.2" customHeight="1" x14ac:dyDescent="0.2">
      <c r="A16" s="226">
        <v>12</v>
      </c>
      <c r="B16" s="227">
        <f>'t1'!C14</f>
        <v>-74.856020000000001</v>
      </c>
      <c r="C16" s="227">
        <f>'t1'!D14</f>
        <v>-75.725719999999995</v>
      </c>
      <c r="D16" s="227">
        <f>'t1'!E14</f>
        <v>-75.071719999999999</v>
      </c>
      <c r="E16" s="227">
        <f>'t1'!F14</f>
        <v>-75.697450000000003</v>
      </c>
      <c r="F16" s="227">
        <f>'t1'!G14</f>
        <v>-75.288219999999995</v>
      </c>
      <c r="G16" s="227">
        <f>'t1'!H14</f>
        <v>-75.76764</v>
      </c>
      <c r="H16" s="227">
        <f>'t1'!I14</f>
        <v>-75.47739</v>
      </c>
      <c r="I16" s="227">
        <f>'t1'!J14</f>
        <v>-75.335300000000004</v>
      </c>
      <c r="J16" s="227">
        <f>'t1'!K14</f>
        <v>-75.58417</v>
      </c>
      <c r="K16" s="227">
        <f>'t1'!L14</f>
        <v>-75.422625555555555</v>
      </c>
      <c r="L16" s="227">
        <f>'t1'!M14</f>
        <v>0.29540793016178335</v>
      </c>
    </row>
    <row r="17" spans="1:12" ht="15.2" customHeight="1" x14ac:dyDescent="0.2">
      <c r="A17" s="226">
        <v>13</v>
      </c>
      <c r="B17" s="227">
        <f>'t1'!C15</f>
        <v>-74.861509999999996</v>
      </c>
      <c r="C17" s="227">
        <f>'t1'!D15</f>
        <v>-75.717950000000002</v>
      </c>
      <c r="D17" s="227">
        <f>'t1'!E15</f>
        <v>-75.077650000000006</v>
      </c>
      <c r="E17" s="227">
        <f>'t1'!F15</f>
        <v>-75.704980000000006</v>
      </c>
      <c r="F17" s="227">
        <f>'t1'!G15</f>
        <v>-75.297210000000007</v>
      </c>
      <c r="G17" s="227">
        <f>'t1'!H15</f>
        <v>-75.773520000000005</v>
      </c>
      <c r="H17" s="227">
        <f>'t1'!I15</f>
        <v>-75.493570000000005</v>
      </c>
      <c r="I17" s="227">
        <f>'t1'!J15</f>
        <v>-75.337980000000002</v>
      </c>
      <c r="J17" s="227">
        <f>'t1'!K15</f>
        <v>-75.581909999999993</v>
      </c>
      <c r="K17" s="227">
        <f>'t1'!L15</f>
        <v>-75.427364444444436</v>
      </c>
      <c r="L17" s="227">
        <f>'t1'!M15</f>
        <v>0.29382964414818247</v>
      </c>
    </row>
    <row r="18" spans="1:12" ht="15.2" customHeight="1" x14ac:dyDescent="0.2">
      <c r="A18" s="226">
        <v>14</v>
      </c>
      <c r="B18" s="227">
        <f>'t1'!C16</f>
        <v>-74.844769999999997</v>
      </c>
      <c r="C18" s="227">
        <f>'t1'!D16</f>
        <v>-75.706680000000006</v>
      </c>
      <c r="D18" s="227">
        <f>'t1'!E16</f>
        <v>-75.072299999999998</v>
      </c>
      <c r="E18" s="227">
        <f>'t1'!F16</f>
        <v>-75.698930000000004</v>
      </c>
      <c r="F18" s="227">
        <f>'t1'!G16</f>
        <v>-75.276060000000001</v>
      </c>
      <c r="G18" s="227">
        <f>'t1'!H16</f>
        <v>-75.760120000000001</v>
      </c>
      <c r="H18" s="227">
        <f>'t1'!I16</f>
        <v>-75.482100000000003</v>
      </c>
      <c r="I18" s="227">
        <f>'t1'!J16</f>
        <v>-75.32544</v>
      </c>
      <c r="J18" s="227">
        <f>'t1'!K16</f>
        <v>-75.570300000000003</v>
      </c>
      <c r="K18" s="227">
        <f>'t1'!L16</f>
        <v>-75.415188888888878</v>
      </c>
      <c r="L18" s="227">
        <f>'t1'!M16</f>
        <v>0.29502397655650153</v>
      </c>
    </row>
    <row r="19" spans="1:12" ht="15.2" customHeight="1" x14ac:dyDescent="0.2">
      <c r="A19" s="226">
        <v>15</v>
      </c>
      <c r="B19" s="227">
        <f>'t1'!C17</f>
        <v>-74.853210000000004</v>
      </c>
      <c r="C19" s="227">
        <f>'t1'!D17</f>
        <v>-75.717770000000002</v>
      </c>
      <c r="D19" s="227">
        <f>'t1'!E17</f>
        <v>-75.06523</v>
      </c>
      <c r="E19" s="227">
        <f>'t1'!F17</f>
        <v>-75.686580000000006</v>
      </c>
      <c r="F19" s="227">
        <f>'t1'!G17</f>
        <v>-75.273759999999996</v>
      </c>
      <c r="G19" s="227">
        <f>'t1'!H17</f>
        <v>-75.759249999999994</v>
      </c>
      <c r="H19" s="227">
        <f>'t1'!I17</f>
        <v>-75.478300000000004</v>
      </c>
      <c r="I19" s="227">
        <f>'t1'!J17</f>
        <v>-75.328379999999996</v>
      </c>
      <c r="J19" s="227">
        <f>'t1'!K17</f>
        <v>-75.573589999999996</v>
      </c>
      <c r="K19" s="227">
        <f>'t1'!L17</f>
        <v>-75.415118888888898</v>
      </c>
      <c r="L19" s="227">
        <f>'t1'!M17</f>
        <v>0.29410689698529796</v>
      </c>
    </row>
    <row r="20" spans="1:12" ht="15.2" customHeight="1" x14ac:dyDescent="0.2">
      <c r="A20" s="226">
        <v>16</v>
      </c>
      <c r="B20" s="227">
        <f>'t1'!C18</f>
        <v>-74.860110000000006</v>
      </c>
      <c r="C20" s="227">
        <f>'t1'!D18</f>
        <v>-75.714479999999995</v>
      </c>
      <c r="D20" s="227">
        <f>'t1'!E18</f>
        <v>-75.075270000000003</v>
      </c>
      <c r="E20" s="227">
        <f>'t1'!F18</f>
        <v>-75.695139999999995</v>
      </c>
      <c r="F20" s="227">
        <f>'t1'!G18</f>
        <v>-75.292919999999995</v>
      </c>
      <c r="G20" s="227">
        <f>'t1'!H18</f>
        <v>-75.768829999999994</v>
      </c>
      <c r="H20" s="227">
        <f>'t1'!I18</f>
        <v>-75.479709999999997</v>
      </c>
      <c r="I20" s="227">
        <f>'t1'!J18</f>
        <v>-75.333789999999993</v>
      </c>
      <c r="J20" s="227">
        <f>'t1'!K18</f>
        <v>-75.577560000000005</v>
      </c>
      <c r="K20" s="227">
        <f>'t1'!L18</f>
        <v>-75.421978888888887</v>
      </c>
      <c r="L20" s="227">
        <f>'t1'!M18</f>
        <v>0.29218622830290075</v>
      </c>
    </row>
    <row r="21" spans="1:12" ht="15.2" customHeight="1" x14ac:dyDescent="0.2">
      <c r="A21" s="226">
        <v>17</v>
      </c>
      <c r="B21" s="227">
        <f>'t1'!C19</f>
        <v>-74.862030000000004</v>
      </c>
      <c r="C21" s="227">
        <f>'t1'!D19</f>
        <v>-75.709209999999999</v>
      </c>
      <c r="D21" s="227">
        <f>'t1'!E19</f>
        <v>-75.071309999999997</v>
      </c>
      <c r="E21" s="227">
        <f>'t1'!F19</f>
        <v>-75.693619999999996</v>
      </c>
      <c r="F21" s="227">
        <f>'t1'!G19</f>
        <v>-75.284930000000003</v>
      </c>
      <c r="G21" s="227">
        <f>'t1'!H19</f>
        <v>-75.762590000000003</v>
      </c>
      <c r="H21" s="227">
        <f>'t1'!I19</f>
        <v>-75.470209999999994</v>
      </c>
      <c r="I21" s="227">
        <f>'t1'!J19</f>
        <v>-75.330290000000005</v>
      </c>
      <c r="J21" s="227">
        <f>'t1'!K19</f>
        <v>-75.572220000000002</v>
      </c>
      <c r="K21" s="227">
        <f>'t1'!L19</f>
        <v>-75.417378888888891</v>
      </c>
      <c r="L21" s="227">
        <f>'t1'!M19</f>
        <v>0.29073000133550475</v>
      </c>
    </row>
    <row r="22" spans="1:12" ht="15.2" customHeight="1" x14ac:dyDescent="0.2">
      <c r="A22" s="226">
        <v>18</v>
      </c>
      <c r="B22" s="227">
        <f>'t1'!C20</f>
        <v>-74.867199999999997</v>
      </c>
      <c r="C22" s="227">
        <f>'t1'!D20</f>
        <v>-75.715710000000001</v>
      </c>
      <c r="D22" s="227">
        <f>'t1'!E20</f>
        <v>-75.072109999999995</v>
      </c>
      <c r="E22" s="227">
        <f>'t1'!F20</f>
        <v>-75.696179999999998</v>
      </c>
      <c r="F22" s="227">
        <f>'t1'!G20</f>
        <v>-75.286869999999993</v>
      </c>
      <c r="G22" s="227">
        <f>'t1'!H20</f>
        <v>-75.766970000000001</v>
      </c>
      <c r="H22" s="227">
        <f>'t1'!I20</f>
        <v>-75.487049999999996</v>
      </c>
      <c r="I22" s="227">
        <f>'t1'!J20</f>
        <v>-75.338610000000003</v>
      </c>
      <c r="J22" s="227">
        <f>'t1'!K20</f>
        <v>-75.578810000000004</v>
      </c>
      <c r="K22" s="227">
        <f>'t1'!L20</f>
        <v>-75.423278888888888</v>
      </c>
      <c r="L22" s="227">
        <f>'t1'!M20</f>
        <v>0.2914886613172874</v>
      </c>
    </row>
    <row r="23" spans="1:12" ht="15.2" customHeight="1" x14ac:dyDescent="0.2">
      <c r="A23" s="226">
        <v>19</v>
      </c>
      <c r="B23" s="227">
        <f>'t1'!C21</f>
        <v>-74.885850000000005</v>
      </c>
      <c r="C23" s="227">
        <f>'t1'!D21</f>
        <v>-75.731260000000006</v>
      </c>
      <c r="D23" s="227">
        <f>'t1'!E21</f>
        <v>-75.077309999999997</v>
      </c>
      <c r="E23" s="227">
        <f>'t1'!F21</f>
        <v>-75.702100000000002</v>
      </c>
      <c r="F23" s="227">
        <f>'t1'!G21</f>
        <v>-75.288650000000004</v>
      </c>
      <c r="G23" s="227">
        <f>'t1'!H21</f>
        <v>-75.769779999999997</v>
      </c>
      <c r="H23" s="227">
        <f>'t1'!I21</f>
        <v>-75.496600000000001</v>
      </c>
      <c r="I23" s="227">
        <f>'t1'!J21</f>
        <v>-75.343770000000006</v>
      </c>
      <c r="J23" s="227">
        <f>'t1'!K21</f>
        <v>-75.586929999999995</v>
      </c>
      <c r="K23" s="227">
        <f>'t1'!L21</f>
        <v>-75.431361111111102</v>
      </c>
      <c r="L23" s="227">
        <f>'t1'!M21</f>
        <v>0.2900569391015963</v>
      </c>
    </row>
    <row r="24" spans="1:12" ht="15.2" customHeight="1" x14ac:dyDescent="0.2">
      <c r="A24" s="226">
        <v>20</v>
      </c>
      <c r="B24" s="227">
        <f>'t1'!C22</f>
        <v>-74.900530000000003</v>
      </c>
      <c r="C24" s="227">
        <f>'t1'!D22</f>
        <v>-75.739360000000005</v>
      </c>
      <c r="D24" s="227">
        <f>'t1'!E22</f>
        <v>-75.090500000000006</v>
      </c>
      <c r="E24" s="227">
        <f>'t1'!F22</f>
        <v>-75.716679999999997</v>
      </c>
      <c r="F24" s="227">
        <f>'t1'!G22</f>
        <v>-75.308890000000005</v>
      </c>
      <c r="G24" s="227">
        <f>'t1'!H22</f>
        <v>-75.787199999999999</v>
      </c>
      <c r="H24" s="227">
        <f>'t1'!I22</f>
        <v>-75.514009999999999</v>
      </c>
      <c r="I24" s="227">
        <f>'t1'!J22</f>
        <v>-75.351500000000001</v>
      </c>
      <c r="J24" s="227">
        <f>'t1'!K22</f>
        <v>-75.597520000000003</v>
      </c>
      <c r="K24" s="227">
        <f>'t1'!L22</f>
        <v>-75.445132222222227</v>
      </c>
      <c r="L24" s="227">
        <f>'t1'!M22</f>
        <v>0.28962988990847283</v>
      </c>
    </row>
    <row r="25" spans="1:12" ht="15.2" customHeight="1" x14ac:dyDescent="0.2">
      <c r="A25" s="226">
        <v>21</v>
      </c>
      <c r="B25" s="227">
        <f>'t1'!C23</f>
        <v>-74.90558</v>
      </c>
      <c r="C25" s="227">
        <f>'t1'!D23</f>
        <v>-75.737260000000006</v>
      </c>
      <c r="D25" s="227">
        <f>'t1'!E23</f>
        <v>-75.098370000000003</v>
      </c>
      <c r="E25" s="227">
        <f>'t1'!F23</f>
        <v>-75.719130000000007</v>
      </c>
      <c r="F25" s="227">
        <f>'t1'!G23</f>
        <v>-75.310760000000002</v>
      </c>
      <c r="G25" s="227">
        <f>'t1'!H23</f>
        <v>-75.788979999999995</v>
      </c>
      <c r="H25" s="227">
        <f>'t1'!I23</f>
        <v>-75.519670000000005</v>
      </c>
      <c r="I25" s="227">
        <f>'t1'!J23</f>
        <v>-75.353989999999996</v>
      </c>
      <c r="J25" s="227">
        <f>'t1'!K23</f>
        <v>-75.59939</v>
      </c>
      <c r="K25" s="227">
        <f>'t1'!L23</f>
        <v>-75.448125555555549</v>
      </c>
      <c r="L25" s="227">
        <f>'t1'!M23</f>
        <v>0.28783460818521472</v>
      </c>
    </row>
    <row r="26" spans="1:12" ht="15.2" customHeight="1" x14ac:dyDescent="0.2">
      <c r="A26" s="226">
        <v>22</v>
      </c>
      <c r="B26" s="227">
        <f>'t1'!C24</f>
        <v>-74.885409999999993</v>
      </c>
      <c r="C26" s="227">
        <f>'t1'!D24</f>
        <v>-75.717709999999997</v>
      </c>
      <c r="D26" s="227">
        <f>'t1'!E24</f>
        <v>-75.096329999999995</v>
      </c>
      <c r="E26" s="227">
        <f>'t1'!F24</f>
        <v>-75.714519999999993</v>
      </c>
      <c r="F26" s="227">
        <f>'t1'!G24</f>
        <v>-75.296539999999993</v>
      </c>
      <c r="G26" s="227">
        <f>'t1'!H24</f>
        <v>-75.777479999999997</v>
      </c>
      <c r="H26" s="227">
        <f>'t1'!I24</f>
        <v>-75.491579999999999</v>
      </c>
      <c r="I26" s="227">
        <f>'t1'!J24</f>
        <v>-75.341719999999995</v>
      </c>
      <c r="J26" s="227">
        <f>'t1'!K24</f>
        <v>-75.587569999999999</v>
      </c>
      <c r="K26" s="227">
        <f>'t1'!L24</f>
        <v>-75.434317777777778</v>
      </c>
      <c r="L26" s="227">
        <f>'t1'!M24</f>
        <v>0.28798968043925949</v>
      </c>
    </row>
    <row r="27" spans="1:12" ht="15.2" customHeight="1" x14ac:dyDescent="0.2">
      <c r="A27" s="226">
        <v>23</v>
      </c>
      <c r="B27" s="227">
        <f>'t1'!C25</f>
        <v>-74.868480000000005</v>
      </c>
      <c r="C27" s="227">
        <f>'t1'!D25</f>
        <v>-75.699539999999999</v>
      </c>
      <c r="D27" s="227">
        <f>'t1'!E25</f>
        <v>-75.082260000000005</v>
      </c>
      <c r="E27" s="227">
        <f>'t1'!F25</f>
        <v>-75.700530000000001</v>
      </c>
      <c r="F27" s="227">
        <f>'t1'!G25</f>
        <v>-75.271699999999996</v>
      </c>
      <c r="G27" s="227">
        <f>'t1'!H25</f>
        <v>-75.754909999999995</v>
      </c>
      <c r="H27" s="227">
        <f>'t1'!I25</f>
        <v>-75.476849999999999</v>
      </c>
      <c r="I27" s="227">
        <f>'t1'!J25</f>
        <v>-75.328969999999998</v>
      </c>
      <c r="J27" s="227">
        <f>'t1'!K25</f>
        <v>-75.573359999999994</v>
      </c>
      <c r="K27" s="227">
        <f>'t1'!L25</f>
        <v>-75.417400000000001</v>
      </c>
      <c r="L27" s="227">
        <f>'t1'!M25</f>
        <v>0.28755999211758443</v>
      </c>
    </row>
    <row r="28" spans="1:12" ht="15.2" customHeight="1" x14ac:dyDescent="0.2">
      <c r="A28" s="226">
        <v>24</v>
      </c>
      <c r="B28" s="227">
        <f>'t1'!C26</f>
        <v>-74.858699999999999</v>
      </c>
      <c r="C28" s="227">
        <f>'t1'!D26</f>
        <v>-75.692490000000006</v>
      </c>
      <c r="D28" s="227">
        <f>'t1'!E26</f>
        <v>-75.065430000000006</v>
      </c>
      <c r="E28" s="227">
        <f>'t1'!F26</f>
        <v>-75.682400000000001</v>
      </c>
      <c r="F28" s="227">
        <f>'t1'!G26</f>
        <v>-75.251649999999998</v>
      </c>
      <c r="G28" s="227">
        <f>'t1'!H26</f>
        <v>-75.738039999999998</v>
      </c>
      <c r="H28" s="227">
        <f>'t1'!I26</f>
        <v>-75.465360000000004</v>
      </c>
      <c r="I28" s="227">
        <f>'t1'!J26</f>
        <v>-75.312939999999998</v>
      </c>
      <c r="J28" s="227">
        <f>'t1'!K26</f>
        <v>-75.562929999999994</v>
      </c>
      <c r="K28" s="227">
        <f>'t1'!L26</f>
        <v>-75.403326666666672</v>
      </c>
      <c r="L28" s="227">
        <f>'t1'!M26</f>
        <v>0.28767644958258998</v>
      </c>
    </row>
    <row r="29" spans="1:12" ht="15.2" customHeight="1" x14ac:dyDescent="0.2">
      <c r="A29" s="226">
        <v>25</v>
      </c>
      <c r="B29" s="227">
        <f>'t1'!C27</f>
        <v>-74.866789999999995</v>
      </c>
      <c r="C29" s="227">
        <f>'t1'!D27</f>
        <v>-75.710710000000006</v>
      </c>
      <c r="D29" s="227">
        <f>'t1'!E27</f>
        <v>-75.058700000000002</v>
      </c>
      <c r="E29" s="227">
        <f>'t1'!F27</f>
        <v>-75.682159999999996</v>
      </c>
      <c r="F29" s="227">
        <f>'t1'!G27</f>
        <v>-75.266570000000002</v>
      </c>
      <c r="G29" s="227">
        <f>'t1'!H27</f>
        <v>-75.748900000000006</v>
      </c>
      <c r="H29" s="227">
        <f>'t1'!I27</f>
        <v>-75.47148</v>
      </c>
      <c r="I29" s="227">
        <f>'t1'!J27</f>
        <v>-75.323130000000006</v>
      </c>
      <c r="J29" s="227">
        <f>'t1'!K27</f>
        <v>-75.571899999999999</v>
      </c>
      <c r="K29" s="227">
        <f>'t1'!L27</f>
        <v>-75.411148888888889</v>
      </c>
      <c r="L29" s="227">
        <f>'t1'!M27</f>
        <v>0.28981558436911364</v>
      </c>
    </row>
    <row r="30" spans="1:12" ht="15.2" customHeight="1" x14ac:dyDescent="0.2">
      <c r="A30" s="226">
        <v>26</v>
      </c>
      <c r="B30" s="227">
        <f>'t1'!C28</f>
        <v>-74.873500000000007</v>
      </c>
      <c r="C30" s="227">
        <f>'t1'!D28</f>
        <v>-75.73151</v>
      </c>
      <c r="D30" s="227">
        <f>'t1'!E28</f>
        <v>-75.072599999999994</v>
      </c>
      <c r="E30" s="227">
        <f>'t1'!F28</f>
        <v>-75.69932</v>
      </c>
      <c r="F30" s="227">
        <f>'t1'!G28</f>
        <v>-75.290080000000003</v>
      </c>
      <c r="G30" s="227">
        <f>'t1'!H28</f>
        <v>-75.769779999999997</v>
      </c>
      <c r="H30" s="227">
        <f>'t1'!I28</f>
        <v>-75.487899999999996</v>
      </c>
      <c r="I30" s="227">
        <f>'t1'!J28</f>
        <v>-75.339219999999997</v>
      </c>
      <c r="J30" s="227">
        <f>'t1'!K28</f>
        <v>-75.581940000000003</v>
      </c>
      <c r="K30" s="227">
        <f>'t1'!L28</f>
        <v>-75.427316666666655</v>
      </c>
      <c r="L30" s="227">
        <f>'t1'!M28</f>
        <v>0.29259585073385108</v>
      </c>
    </row>
    <row r="31" spans="1:12" ht="15.2" customHeight="1" x14ac:dyDescent="0.2">
      <c r="A31" s="226">
        <v>27</v>
      </c>
      <c r="B31" s="227">
        <f>'t1'!C29</f>
        <v>-74.891180000000006</v>
      </c>
      <c r="C31" s="227">
        <f>'t1'!D29</f>
        <v>-75.739660000000001</v>
      </c>
      <c r="D31" s="227">
        <f>'t1'!E29</f>
        <v>-75.083280000000002</v>
      </c>
      <c r="E31" s="227">
        <f>'t1'!F29</f>
        <v>-75.713440000000006</v>
      </c>
      <c r="F31" s="227">
        <f>'t1'!G29</f>
        <v>-75.306550000000001</v>
      </c>
      <c r="G31" s="227">
        <f>'t1'!H29</f>
        <v>-75.78313</v>
      </c>
      <c r="H31" s="227">
        <f>'t1'!I29</f>
        <v>-75.502880000000005</v>
      </c>
      <c r="I31" s="227">
        <f>'t1'!J29</f>
        <v>-75.349000000000004</v>
      </c>
      <c r="J31" s="227">
        <f>'t1'!K29</f>
        <v>-75.589489999999998</v>
      </c>
      <c r="K31" s="227">
        <f>'t1'!L29</f>
        <v>-75.439845555555564</v>
      </c>
      <c r="L31" s="227">
        <f>'t1'!M29</f>
        <v>0.29119431069347201</v>
      </c>
    </row>
    <row r="32" spans="1:12" ht="15.2" customHeight="1" x14ac:dyDescent="0.2">
      <c r="A32" s="226">
        <v>28</v>
      </c>
      <c r="B32" s="227">
        <f>'t1'!C30</f>
        <v>-74.895510000000002</v>
      </c>
      <c r="C32" s="227">
        <f>'t1'!D30</f>
        <v>-75.731030000000004</v>
      </c>
      <c r="D32" s="227">
        <f>'t1'!E30</f>
        <v>-75.088610000000003</v>
      </c>
      <c r="E32" s="227">
        <f>'t1'!F30</f>
        <v>-75.716769999999997</v>
      </c>
      <c r="F32" s="227">
        <f>'t1'!G30</f>
        <v>-75.304839999999999</v>
      </c>
      <c r="G32" s="227">
        <f>'t1'!H30</f>
        <v>-75.782560000000004</v>
      </c>
      <c r="H32" s="227">
        <f>'t1'!I30</f>
        <v>-75.495180000000005</v>
      </c>
      <c r="I32" s="227">
        <f>'t1'!J30</f>
        <v>-75.346350000000001</v>
      </c>
      <c r="J32" s="227">
        <f>'t1'!K30</f>
        <v>-75.586100000000002</v>
      </c>
      <c r="K32" s="227">
        <f>'t1'!L30</f>
        <v>-75.438550000000006</v>
      </c>
      <c r="L32" s="227">
        <f>'t1'!M30</f>
        <v>0.28867540548743226</v>
      </c>
    </row>
    <row r="33" spans="1:12" ht="15.2" customHeight="1" x14ac:dyDescent="0.2">
      <c r="A33" s="226">
        <v>29</v>
      </c>
      <c r="B33" s="227">
        <f>'t1'!C31</f>
        <v>-74.905010000000004</v>
      </c>
      <c r="C33" s="227">
        <f>'t1'!D31</f>
        <v>-75.73433</v>
      </c>
      <c r="D33" s="227">
        <f>'t1'!E31</f>
        <v>-75.090410000000006</v>
      </c>
      <c r="E33" s="227">
        <f>'t1'!F31</f>
        <v>-75.712050000000005</v>
      </c>
      <c r="F33" s="227">
        <f>'t1'!G31</f>
        <v>-75.296310000000005</v>
      </c>
      <c r="G33" s="227">
        <f>'t1'!H31</f>
        <v>-75.776409999999998</v>
      </c>
      <c r="H33" s="227">
        <f>'t1'!I31</f>
        <v>-75.496380000000002</v>
      </c>
      <c r="I33" s="227">
        <f>'t1'!J31</f>
        <v>-75.343980000000002</v>
      </c>
      <c r="J33" s="227">
        <f>'t1'!K31</f>
        <v>-75.583039999999997</v>
      </c>
      <c r="K33" s="227">
        <f>'t1'!L31</f>
        <v>-75.437546666666677</v>
      </c>
      <c r="L33" s="227">
        <f>'t1'!M31</f>
        <v>0.28590832652753706</v>
      </c>
    </row>
    <row r="34" spans="1:12" ht="15.2" customHeight="1" x14ac:dyDescent="0.2">
      <c r="A34" s="226">
        <v>30</v>
      </c>
      <c r="B34" s="227">
        <f>'t1'!C32</f>
        <v>-74.896820000000005</v>
      </c>
      <c r="C34" s="227">
        <f>'t1'!D32</f>
        <v>-75.721850000000003</v>
      </c>
      <c r="D34" s="227">
        <f>'t1'!E32</f>
        <v>-75.095510000000004</v>
      </c>
      <c r="E34" s="227">
        <f>'t1'!F32</f>
        <v>-75.712159999999997</v>
      </c>
      <c r="F34" s="227">
        <f>'t1'!G32</f>
        <v>-75.295400000000001</v>
      </c>
      <c r="G34" s="227">
        <f>'t1'!H32</f>
        <v>-75.774019999999993</v>
      </c>
      <c r="H34" s="227">
        <f>'t1'!I32</f>
        <v>-75.491500000000002</v>
      </c>
      <c r="I34" s="227">
        <f>'t1'!J32</f>
        <v>-75.347369999999998</v>
      </c>
      <c r="J34" s="227">
        <f>'t1'!K32</f>
        <v>-75.579560000000001</v>
      </c>
      <c r="K34" s="227">
        <f>'t1'!L32</f>
        <v>-75.434910000000002</v>
      </c>
      <c r="L34" s="227">
        <f>'t1'!M32</f>
        <v>0.28483587254573028</v>
      </c>
    </row>
    <row r="35" spans="1:12" ht="15.2" customHeight="1" x14ac:dyDescent="0.35">
      <c r="A35" s="228" t="s">
        <v>40</v>
      </c>
      <c r="B35" s="227">
        <f>'t1'!C33</f>
        <v>-74.874226666666658</v>
      </c>
      <c r="C35" s="227">
        <f>'t1'!D33</f>
        <v>-75.727653000000004</v>
      </c>
      <c r="D35" s="227">
        <f>'t1'!E33</f>
        <v>-75.083056666666664</v>
      </c>
      <c r="E35" s="227">
        <f>'t1'!F33</f>
        <v>-75.709282999999999</v>
      </c>
      <c r="F35" s="227">
        <f>'t1'!G33</f>
        <v>-75.294753333333333</v>
      </c>
      <c r="G35" s="227">
        <f>'t1'!H33</f>
        <v>-75.776009666666667</v>
      </c>
      <c r="H35" s="227">
        <f>'t1'!I33</f>
        <v>-75.490697666666662</v>
      </c>
      <c r="I35" s="227">
        <f>'t1'!J33</f>
        <v>-75.342177333333339</v>
      </c>
      <c r="J35" s="227">
        <f>'t1'!K33</f>
        <v>-75.585693666666671</v>
      </c>
      <c r="K35" s="137"/>
      <c r="L35" s="137"/>
    </row>
    <row r="36" spans="1:12" ht="15.2" customHeight="1" x14ac:dyDescent="0.35">
      <c r="A36" s="228" t="s">
        <v>39</v>
      </c>
      <c r="B36" s="227">
        <f>'t1'!C34</f>
        <v>1.5860574040333721E-2</v>
      </c>
      <c r="C36" s="227">
        <f>'t1'!D34</f>
        <v>1.5170173180729326E-2</v>
      </c>
      <c r="D36" s="227">
        <f>'t1'!E34</f>
        <v>1.1131499250126643E-2</v>
      </c>
      <c r="E36" s="227">
        <f>'t1'!F34</f>
        <v>1.4553187543169911E-2</v>
      </c>
      <c r="F36" s="227">
        <f>'t1'!G34</f>
        <v>1.6305740366168459E-2</v>
      </c>
      <c r="G36" s="227">
        <f>'t1'!H34</f>
        <v>1.5348389379852499E-2</v>
      </c>
      <c r="H36" s="227">
        <f>'t1'!I34</f>
        <v>1.3215685045514E-2</v>
      </c>
      <c r="I36" s="227">
        <f>'t1'!J34</f>
        <v>1.1730107681612444E-2</v>
      </c>
      <c r="J36" s="227">
        <f>'t1'!K34</f>
        <v>1.0379625068160071E-2</v>
      </c>
      <c r="K36" s="138"/>
      <c r="L36" s="138"/>
    </row>
    <row r="37" spans="1:12" ht="15.2" customHeight="1" x14ac:dyDescent="0.35">
      <c r="A37" s="228" t="s">
        <v>52</v>
      </c>
      <c r="B37" s="227">
        <f>'t1'!C35</f>
        <v>2.9456666666661135E-2</v>
      </c>
      <c r="C37" s="227">
        <f>'t1'!D35</f>
        <v>3.5162999999997169E-2</v>
      </c>
      <c r="D37" s="227">
        <f>'t1'!E35</f>
        <v>2.4356666666662363E-2</v>
      </c>
      <c r="E37" s="227">
        <f>'t1'!F35</f>
        <v>2.7123000000003117E-2</v>
      </c>
      <c r="F37" s="227">
        <f>'t1'!G35</f>
        <v>4.3103333333334604E-2</v>
      </c>
      <c r="G37" s="227">
        <f>'t1'!H35</f>
        <v>3.79696666666689E-2</v>
      </c>
      <c r="H37" s="227">
        <f>'t1'!I35</f>
        <v>2.5337666666658265E-2</v>
      </c>
      <c r="I37" s="227">
        <f>'t1'!J35</f>
        <v>2.9237333333341553E-2</v>
      </c>
      <c r="J37" s="227">
        <f>'t1'!K35</f>
        <v>2.2763666666676841E-2</v>
      </c>
      <c r="K37" s="416"/>
      <c r="L37" s="416"/>
    </row>
    <row r="38" spans="1:12" ht="15.2" customHeight="1" x14ac:dyDescent="0.35">
      <c r="A38" s="228" t="s">
        <v>51</v>
      </c>
      <c r="B38" s="227">
        <f>'t1'!C36</f>
        <v>3.1353333333342448E-2</v>
      </c>
      <c r="C38" s="227">
        <f>'t1'!D36</f>
        <v>2.568699999999069E-2</v>
      </c>
      <c r="D38" s="227">
        <f>'t1'!E36</f>
        <v>2.2153333333335468E-2</v>
      </c>
      <c r="E38" s="227">
        <f>'t1'!F36</f>
        <v>3.3747000000005301E-2</v>
      </c>
      <c r="F38" s="227">
        <f>'t1'!G36</f>
        <v>2.9876666666666551E-2</v>
      </c>
      <c r="G38" s="227">
        <f>'t1'!H36</f>
        <v>2.4490333333332615E-2</v>
      </c>
      <c r="H38" s="227">
        <f>'t1'!I36</f>
        <v>2.8972333333342704E-2</v>
      </c>
      <c r="I38" s="227">
        <f>'t1'!J36</f>
        <v>2.2282666666654904E-2</v>
      </c>
      <c r="J38" s="227">
        <f>'t1'!K36</f>
        <v>1.6936333333333664E-2</v>
      </c>
      <c r="K38" s="416"/>
      <c r="L38" s="416"/>
    </row>
    <row r="39" spans="1:12" ht="15.2" customHeight="1" x14ac:dyDescent="0.35">
      <c r="A39" s="229" t="s">
        <v>44</v>
      </c>
      <c r="B39" s="227">
        <f>'t1'!C37</f>
        <v>3.0405000000001792E-2</v>
      </c>
      <c r="C39" s="227">
        <f>'t1'!D37</f>
        <v>3.0424999999993929E-2</v>
      </c>
      <c r="D39" s="227">
        <f>'t1'!E37</f>
        <v>2.3254999999998915E-2</v>
      </c>
      <c r="E39" s="227">
        <f>'t1'!F37</f>
        <v>3.0435000000004209E-2</v>
      </c>
      <c r="F39" s="227">
        <f>'t1'!G37</f>
        <v>3.6490000000000578E-2</v>
      </c>
      <c r="G39" s="227">
        <f>'t1'!H37</f>
        <v>3.1230000000000757E-2</v>
      </c>
      <c r="H39" s="227">
        <f>'t1'!I37</f>
        <v>2.7155000000000484E-2</v>
      </c>
      <c r="I39" s="227">
        <f>'t1'!J37</f>
        <v>2.5759999999998229E-2</v>
      </c>
      <c r="J39" s="227">
        <f>'t1'!K37</f>
        <v>1.9850000000005252E-2</v>
      </c>
      <c r="K39" s="416"/>
      <c r="L39" s="416"/>
    </row>
    <row r="40" spans="1:12" ht="15.2" customHeight="1" x14ac:dyDescent="0.35">
      <c r="A40" s="230" t="s">
        <v>43</v>
      </c>
      <c r="B40" s="227">
        <f>'t1'!C38</f>
        <v>0.42052666666667449</v>
      </c>
      <c r="C40" s="227">
        <f>'t1'!D38</f>
        <v>-0.43289966666667112</v>
      </c>
      <c r="D40" s="227">
        <f>'t1'!E38</f>
        <v>0.21169666666666842</v>
      </c>
      <c r="E40" s="227">
        <f>'t1'!F38</f>
        <v>-0.41452966666666669</v>
      </c>
      <c r="F40" s="227">
        <f>'t1'!G38</f>
        <v>0</v>
      </c>
      <c r="G40" s="227">
        <f>'t1'!H38</f>
        <v>-0.4812563333333344</v>
      </c>
      <c r="H40" s="227">
        <f>'t1'!I38</f>
        <v>-0.19594433333332972</v>
      </c>
      <c r="I40" s="227">
        <f>'t1'!J38</f>
        <v>-4.7424000000006572E-2</v>
      </c>
      <c r="J40" s="227">
        <f>'t1'!K38</f>
        <v>-0.29094033333333869</v>
      </c>
      <c r="K40" s="139"/>
      <c r="L40" s="139"/>
    </row>
    <row r="41" spans="1:12" ht="15.2" customHeight="1" x14ac:dyDescent="0.35">
      <c r="A41" s="231" t="s">
        <v>95</v>
      </c>
      <c r="B41" s="232">
        <f>'t1'!C40</f>
        <v>-75.431505666666666</v>
      </c>
      <c r="C41" s="139"/>
      <c r="D41" s="139"/>
      <c r="E41" s="139"/>
      <c r="F41" s="139"/>
      <c r="G41" s="139"/>
      <c r="H41" s="139"/>
      <c r="I41" s="139"/>
      <c r="J41" s="139"/>
      <c r="K41" s="139"/>
      <c r="L41" s="139"/>
    </row>
    <row r="42" spans="1:12" ht="15.2" customHeight="1" x14ac:dyDescent="0.35">
      <c r="A42" s="233" t="s">
        <v>47</v>
      </c>
      <c r="B42" s="232">
        <f>'t1'!C41</f>
        <v>-0.43150566666666634</v>
      </c>
      <c r="C42" s="139"/>
      <c r="D42" s="139"/>
      <c r="E42" s="139"/>
      <c r="F42" s="139"/>
      <c r="G42" s="139"/>
      <c r="H42" s="139"/>
      <c r="I42" s="139"/>
      <c r="J42" s="139"/>
      <c r="K42" s="139"/>
      <c r="L42" s="139"/>
    </row>
    <row r="43" spans="1:12" ht="15.2" customHeight="1" x14ac:dyDescent="0.35">
      <c r="A43" s="194" t="s">
        <v>259</v>
      </c>
      <c r="B43" s="234">
        <f>'t1'!C46</f>
        <v>0.29273049864533757</v>
      </c>
      <c r="C43" s="139"/>
      <c r="D43" s="139"/>
      <c r="E43" s="139"/>
      <c r="F43" s="139"/>
      <c r="G43" s="139"/>
      <c r="H43" s="139"/>
      <c r="I43" s="139"/>
      <c r="J43" s="139"/>
      <c r="K43" s="139"/>
      <c r="L43" s="139"/>
    </row>
    <row r="44" spans="1:12" ht="15.2" customHeight="1" x14ac:dyDescent="0.35">
      <c r="A44" s="233" t="s">
        <v>48</v>
      </c>
      <c r="B44" s="232">
        <f>'t1'!C42</f>
        <v>0.90178300000000888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</row>
    <row r="45" spans="1:12" ht="15.2" customHeight="1" x14ac:dyDescent="0.35">
      <c r="A45" s="241" t="s">
        <v>49</v>
      </c>
      <c r="B45" s="240">
        <f>'t1'!C43</f>
        <v>0.42052666666667449</v>
      </c>
      <c r="C45" s="140"/>
      <c r="D45" s="139"/>
      <c r="E45" s="139"/>
      <c r="F45" s="139"/>
      <c r="G45" s="139"/>
      <c r="H45" s="139"/>
      <c r="I45" s="139"/>
      <c r="J45" s="139"/>
      <c r="K45" s="139"/>
      <c r="L45" s="139"/>
    </row>
    <row r="46" spans="1:12" x14ac:dyDescent="0.2">
      <c r="A46" s="242"/>
      <c r="B46" s="240">
        <f>'t1'!C44</f>
        <v>-0.4812563333333344</v>
      </c>
      <c r="C46" s="139"/>
      <c r="D46" s="139"/>
      <c r="E46" s="139"/>
      <c r="F46" s="139"/>
      <c r="G46" s="139"/>
      <c r="H46" s="139"/>
      <c r="I46" s="139"/>
      <c r="J46" s="139"/>
      <c r="K46" s="139"/>
      <c r="L46" s="139"/>
    </row>
    <row r="47" spans="1:12" ht="18.75" x14ac:dyDescent="0.35">
      <c r="A47" s="242" t="s">
        <v>50</v>
      </c>
      <c r="B47" s="232">
        <f>'t1'!C45</f>
        <v>2.8333888888889349E-2</v>
      </c>
    </row>
    <row r="48" spans="1:12" s="292" customFormat="1" ht="28.5" hidden="1" customHeight="1" x14ac:dyDescent="0.2">
      <c r="A48" s="417" t="s">
        <v>378</v>
      </c>
      <c r="B48" s="417"/>
      <c r="C48" s="417"/>
      <c r="D48" s="417"/>
      <c r="E48" s="417"/>
      <c r="F48" s="417"/>
      <c r="G48" s="417"/>
      <c r="H48" s="417"/>
      <c r="I48" s="417"/>
      <c r="J48" s="417"/>
      <c r="K48" s="417"/>
      <c r="L48" s="417"/>
    </row>
    <row r="49" spans="1:12" s="292" customFormat="1" ht="25.5" hidden="1" customHeight="1" thickBot="1" x14ac:dyDescent="0.25">
      <c r="A49" s="418" t="str">
        <f>"Тзад =  "&amp;'t2'!C39&amp;" °С"</f>
        <v>Тзад =  -55 °С</v>
      </c>
      <c r="B49" s="418"/>
      <c r="C49" s="418"/>
      <c r="D49" s="418"/>
      <c r="E49" s="418"/>
      <c r="F49" s="418"/>
      <c r="G49" s="418"/>
      <c r="H49" s="418"/>
      <c r="I49" s="418"/>
      <c r="J49" s="418"/>
      <c r="K49" s="418"/>
      <c r="L49" s="418"/>
    </row>
    <row r="50" spans="1:12" s="292" customFormat="1" ht="29.25" hidden="1" thickBot="1" x14ac:dyDescent="0.25">
      <c r="A50" s="239" t="s">
        <v>89</v>
      </c>
      <c r="B50" s="419" t="s">
        <v>94</v>
      </c>
      <c r="C50" s="419"/>
      <c r="D50" s="419"/>
      <c r="E50" s="419"/>
      <c r="F50" s="419"/>
      <c r="G50" s="419"/>
      <c r="H50" s="419"/>
      <c r="I50" s="419"/>
      <c r="J50" s="419"/>
      <c r="K50" s="420" t="s">
        <v>91</v>
      </c>
      <c r="L50" s="420"/>
    </row>
    <row r="51" spans="1:12" s="292" customFormat="1" ht="15.2" hidden="1" customHeight="1" x14ac:dyDescent="0.2">
      <c r="A51" s="236"/>
      <c r="B51" s="235">
        <v>1</v>
      </c>
      <c r="C51" s="235">
        <v>2</v>
      </c>
      <c r="D51" s="235">
        <v>3</v>
      </c>
      <c r="E51" s="235">
        <v>4</v>
      </c>
      <c r="F51" s="235">
        <v>5</v>
      </c>
      <c r="G51" s="235">
        <v>6</v>
      </c>
      <c r="H51" s="235">
        <v>7</v>
      </c>
      <c r="I51" s="235">
        <v>8</v>
      </c>
      <c r="J51" s="235">
        <v>9</v>
      </c>
      <c r="K51" s="237" t="s">
        <v>92</v>
      </c>
      <c r="L51" s="238" t="s">
        <v>93</v>
      </c>
    </row>
    <row r="52" spans="1:12" s="292" customFormat="1" ht="15.2" hidden="1" customHeight="1" x14ac:dyDescent="0.2">
      <c r="A52" s="226">
        <v>1</v>
      </c>
      <c r="B52" s="227">
        <f>'t2'!C3</f>
        <v>-54.86842</v>
      </c>
      <c r="C52" s="227">
        <f>'t2'!D3</f>
        <v>-55.746399999999994</v>
      </c>
      <c r="D52" s="227">
        <f>'t2'!E3</f>
        <v>-55.10521</v>
      </c>
      <c r="E52" s="227">
        <f>'t2'!F3</f>
        <v>-55.743030000000005</v>
      </c>
      <c r="F52" s="227">
        <f>'t2'!G3</f>
        <v>-55.322199999999995</v>
      </c>
      <c r="G52" s="227">
        <f>'t2'!H3</f>
        <v>-55.8005</v>
      </c>
      <c r="H52" s="227">
        <f>'t2'!I3</f>
        <v>-55.500879999999995</v>
      </c>
      <c r="I52" s="227">
        <f>'t2'!J3</f>
        <v>-55.364459999999994</v>
      </c>
      <c r="J52" s="227">
        <f>'t2'!K3</f>
        <v>-55.597840000000005</v>
      </c>
      <c r="K52" s="227">
        <f>'t2'!L3</f>
        <v>-55.449882222222222</v>
      </c>
      <c r="L52" s="227">
        <f>'t2'!M3</f>
        <v>0.29847398512276063</v>
      </c>
    </row>
    <row r="53" spans="1:12" s="292" customFormat="1" ht="15.2" hidden="1" customHeight="1" x14ac:dyDescent="0.2">
      <c r="A53" s="226">
        <v>2</v>
      </c>
      <c r="B53" s="227">
        <f>'t2'!C4</f>
        <v>-54.860690000000005</v>
      </c>
      <c r="C53" s="227">
        <f>'t2'!D4</f>
        <v>-55.72927</v>
      </c>
      <c r="D53" s="227">
        <f>'t2'!E4</f>
        <v>-55.09572</v>
      </c>
      <c r="E53" s="227">
        <f>'t2'!F4</f>
        <v>-55.727279999999993</v>
      </c>
      <c r="F53" s="227">
        <f>'t2'!G4</f>
        <v>-55.300110000000004</v>
      </c>
      <c r="G53" s="227">
        <f>'t2'!H4</f>
        <v>-55.782669999999996</v>
      </c>
      <c r="H53" s="227">
        <f>'t2'!I4</f>
        <v>-55.486540000000005</v>
      </c>
      <c r="I53" s="227">
        <f>'t2'!J4</f>
        <v>-55.348920000000007</v>
      </c>
      <c r="J53" s="227">
        <f>'t2'!K4</f>
        <v>-55.589550000000003</v>
      </c>
      <c r="K53" s="227">
        <f>'t2'!L4</f>
        <v>-55.435638888888889</v>
      </c>
      <c r="L53" s="227">
        <f>'t2'!M4</f>
        <v>0.2962700032982068</v>
      </c>
    </row>
    <row r="54" spans="1:12" s="292" customFormat="1" ht="15.2" hidden="1" customHeight="1" x14ac:dyDescent="0.2">
      <c r="A54" s="226">
        <v>3</v>
      </c>
      <c r="B54" s="227">
        <f>'t2'!C5</f>
        <v>-54.867170000000002</v>
      </c>
      <c r="C54" s="227">
        <f>'t2'!D5</f>
        <v>-55.735560000000007</v>
      </c>
      <c r="D54" s="227">
        <f>'t2'!E5</f>
        <v>-55.081969999999998</v>
      </c>
      <c r="E54" s="227">
        <f>'t2'!F5</f>
        <v>-55.713849999999994</v>
      </c>
      <c r="F54" s="227">
        <f>'t2'!G5</f>
        <v>-55.290279999999996</v>
      </c>
      <c r="G54" s="227">
        <f>'t2'!H5</f>
        <v>-55.780379999999994</v>
      </c>
      <c r="H54" s="227">
        <f>'t2'!I5</f>
        <v>-55.481250000000003</v>
      </c>
      <c r="I54" s="227">
        <f>'t2'!J5</f>
        <v>-55.340599999999995</v>
      </c>
      <c r="J54" s="227">
        <f>'t2'!K5</f>
        <v>-55.592209999999994</v>
      </c>
      <c r="K54" s="227">
        <f>'t2'!L5</f>
        <v>-55.431474444444433</v>
      </c>
      <c r="L54" s="227">
        <f>'t2'!M5</f>
        <v>0.29646800266212325</v>
      </c>
    </row>
    <row r="55" spans="1:12" s="292" customFormat="1" ht="15.2" hidden="1" customHeight="1" x14ac:dyDescent="0.2">
      <c r="A55" s="226">
        <v>4</v>
      </c>
      <c r="B55" s="227">
        <f>'t2'!C6</f>
        <v>-54.875309999999999</v>
      </c>
      <c r="C55" s="227">
        <f>'t2'!D6</f>
        <v>-55.747420000000005</v>
      </c>
      <c r="D55" s="227">
        <f>'t2'!E6</f>
        <v>-55.083539999999999</v>
      </c>
      <c r="E55" s="227">
        <f>'t2'!F6</f>
        <v>-55.71875</v>
      </c>
      <c r="F55" s="227">
        <f>'t2'!G6</f>
        <v>-55.308260000000004</v>
      </c>
      <c r="G55" s="227">
        <f>'t2'!H6</f>
        <v>-55.793350000000004</v>
      </c>
      <c r="H55" s="227">
        <f>'t2'!I6</f>
        <v>-55.499009999999998</v>
      </c>
      <c r="I55" s="227">
        <f>'t2'!J6</f>
        <v>-55.346850000000003</v>
      </c>
      <c r="J55" s="227">
        <f>'t2'!K6</f>
        <v>-55.596599999999995</v>
      </c>
      <c r="K55" s="227">
        <f>'t2'!L6</f>
        <v>-55.441010000000006</v>
      </c>
      <c r="L55" s="227">
        <f>'t2'!M6</f>
        <v>0.29758888091534086</v>
      </c>
    </row>
    <row r="56" spans="1:12" s="292" customFormat="1" ht="15.2" hidden="1" customHeight="1" x14ac:dyDescent="0.2">
      <c r="A56" s="226">
        <v>5</v>
      </c>
      <c r="B56" s="227">
        <f>'t2'!C7</f>
        <v>-54.875500000000002</v>
      </c>
      <c r="C56" s="227">
        <f>'t2'!D7</f>
        <v>-55.753339999999994</v>
      </c>
      <c r="D56" s="227">
        <f>'t2'!E7</f>
        <v>-55.090209999999999</v>
      </c>
      <c r="E56" s="227">
        <f>'t2'!F7</f>
        <v>-55.725390000000004</v>
      </c>
      <c r="F56" s="227">
        <f>'t2'!G7</f>
        <v>-55.324629999999999</v>
      </c>
      <c r="G56" s="227">
        <f>'t2'!H7</f>
        <v>-55.799930000000003</v>
      </c>
      <c r="H56" s="227">
        <f>'t2'!I7</f>
        <v>-55.513109999999998</v>
      </c>
      <c r="I56" s="227">
        <f>'t2'!J7</f>
        <v>-55.359650000000002</v>
      </c>
      <c r="J56" s="227">
        <f>'t2'!K7</f>
        <v>-55.602630000000005</v>
      </c>
      <c r="K56" s="227">
        <f>'t2'!L7</f>
        <v>-55.449376666666666</v>
      </c>
      <c r="L56" s="227">
        <f>'t2'!M7</f>
        <v>0.29832140724765671</v>
      </c>
    </row>
    <row r="57" spans="1:12" s="292" customFormat="1" ht="15.2" hidden="1" customHeight="1" x14ac:dyDescent="0.2">
      <c r="A57" s="226">
        <v>6</v>
      </c>
      <c r="B57" s="227">
        <f>'t2'!C8</f>
        <v>-54.872969999999995</v>
      </c>
      <c r="C57" s="227">
        <f>'t2'!D8</f>
        <v>-55.748230000000007</v>
      </c>
      <c r="D57" s="227">
        <f>'t2'!E8</f>
        <v>-55.094290000000001</v>
      </c>
      <c r="E57" s="227">
        <f>'t2'!F8</f>
        <v>-55.72833</v>
      </c>
      <c r="F57" s="227">
        <f>'t2'!G8</f>
        <v>-55.317899999999995</v>
      </c>
      <c r="G57" s="227">
        <f>'t2'!H8</f>
        <v>-55.796099999999996</v>
      </c>
      <c r="H57" s="227">
        <f>'t2'!I8</f>
        <v>-55.508219999999994</v>
      </c>
      <c r="I57" s="227">
        <f>'t2'!J8</f>
        <v>-55.358670000000004</v>
      </c>
      <c r="J57" s="227">
        <f>'t2'!K8</f>
        <v>-55.599930000000001</v>
      </c>
      <c r="K57" s="227">
        <f>'t2'!L8</f>
        <v>-55.447182222222217</v>
      </c>
      <c r="L57" s="227">
        <f>'t2'!M8</f>
        <v>0.29763434877856448</v>
      </c>
    </row>
    <row r="58" spans="1:12" s="292" customFormat="1" ht="15.2" hidden="1" customHeight="1" x14ac:dyDescent="0.2">
      <c r="A58" s="226">
        <v>7</v>
      </c>
      <c r="B58" s="227">
        <f>'t2'!C9</f>
        <v>-54.880629999999996</v>
      </c>
      <c r="C58" s="227">
        <f>'t2'!D9</f>
        <v>-55.75027</v>
      </c>
      <c r="D58" s="227">
        <f>'t2'!E9</f>
        <v>-55.090040000000002</v>
      </c>
      <c r="E58" s="227">
        <f>'t2'!F9</f>
        <v>-55.725890000000007</v>
      </c>
      <c r="F58" s="227">
        <f>'t2'!G9</f>
        <v>-55.309539999999998</v>
      </c>
      <c r="G58" s="227">
        <f>'t2'!H9</f>
        <v>-55.793670000000006</v>
      </c>
      <c r="H58" s="227">
        <f>'t2'!I9</f>
        <v>-55.499709999999993</v>
      </c>
      <c r="I58" s="227">
        <f>'t2'!J9</f>
        <v>-55.357529999999997</v>
      </c>
      <c r="J58" s="227">
        <f>'t2'!K9</f>
        <v>-55.59778</v>
      </c>
      <c r="K58" s="227">
        <f>'t2'!L9</f>
        <v>-55.445006666666664</v>
      </c>
      <c r="L58" s="227">
        <f>'t2'!M9</f>
        <v>0.29636785644420782</v>
      </c>
    </row>
    <row r="59" spans="1:12" s="292" customFormat="1" ht="15.2" hidden="1" customHeight="1" x14ac:dyDescent="0.2">
      <c r="A59" s="226">
        <v>8</v>
      </c>
      <c r="B59" s="227">
        <f>'t2'!C10</f>
        <v>-54.881209999999996</v>
      </c>
      <c r="C59" s="227">
        <f>'t2'!D10</f>
        <v>-55.742109999999997</v>
      </c>
      <c r="D59" s="227">
        <f>'t2'!E10</f>
        <v>-55.091120000000004</v>
      </c>
      <c r="E59" s="227">
        <f>'t2'!F10</f>
        <v>-55.724689999999995</v>
      </c>
      <c r="F59" s="227">
        <f>'t2'!G10</f>
        <v>-55.303880000000007</v>
      </c>
      <c r="G59" s="227">
        <f>'t2'!H10</f>
        <v>-55.792879999999997</v>
      </c>
      <c r="H59" s="227">
        <f>'t2'!I10</f>
        <v>-55.493120000000005</v>
      </c>
      <c r="I59" s="227">
        <f>'t2'!J10</f>
        <v>-55.352710000000002</v>
      </c>
      <c r="J59" s="227">
        <f>'t2'!K10</f>
        <v>-55.598600000000005</v>
      </c>
      <c r="K59" s="227">
        <f>'t2'!L10</f>
        <v>-55.442257777777776</v>
      </c>
      <c r="L59" s="227">
        <f>'t2'!M10</f>
        <v>0.29531239127321701</v>
      </c>
    </row>
    <row r="60" spans="1:12" s="292" customFormat="1" ht="15.2" hidden="1" customHeight="1" x14ac:dyDescent="0.2">
      <c r="A60" s="226">
        <v>9</v>
      </c>
      <c r="B60" s="227">
        <f>'t2'!C11</f>
        <v>-54.883170000000007</v>
      </c>
      <c r="C60" s="227">
        <f>'t2'!D11</f>
        <v>-55.735399999999998</v>
      </c>
      <c r="D60" s="227">
        <f>'t2'!E11</f>
        <v>-55.089370000000002</v>
      </c>
      <c r="E60" s="227">
        <f>'t2'!F11</f>
        <v>-55.721270000000004</v>
      </c>
      <c r="F60" s="227">
        <f>'t2'!G11</f>
        <v>-55.306079999999994</v>
      </c>
      <c r="G60" s="227">
        <f>'t2'!H11</f>
        <v>-55.794970000000006</v>
      </c>
      <c r="H60" s="227">
        <f>'t2'!I11</f>
        <v>-55.499409999999997</v>
      </c>
      <c r="I60" s="227">
        <f>'t2'!J11</f>
        <v>-55.350239999999999</v>
      </c>
      <c r="J60" s="227">
        <f>'t2'!K11</f>
        <v>-55.595500000000001</v>
      </c>
      <c r="K60" s="227">
        <f>'t2'!L11</f>
        <v>-55.441712222222222</v>
      </c>
      <c r="L60" s="227">
        <f>'t2'!M11</f>
        <v>0.29421336859790753</v>
      </c>
    </row>
    <row r="61" spans="1:12" s="292" customFormat="1" ht="15.2" hidden="1" customHeight="1" x14ac:dyDescent="0.2">
      <c r="A61" s="226">
        <v>10</v>
      </c>
      <c r="B61" s="227">
        <f>'t2'!C12</f>
        <v>-54.869870000000006</v>
      </c>
      <c r="C61" s="227">
        <f>'t2'!D12</f>
        <v>-55.725390000000004</v>
      </c>
      <c r="D61" s="227">
        <f>'t2'!E12</f>
        <v>-55.088610000000003</v>
      </c>
      <c r="E61" s="227">
        <f>'t2'!F12</f>
        <v>-55.708789999999993</v>
      </c>
      <c r="F61" s="227">
        <f>'t2'!G12</f>
        <v>-55.289779999999993</v>
      </c>
      <c r="G61" s="227">
        <f>'t2'!H12</f>
        <v>-55.771259999999998</v>
      </c>
      <c r="H61" s="227">
        <f>'t2'!I12</f>
        <v>-55.480099999999993</v>
      </c>
      <c r="I61" s="227">
        <f>'t2'!J12</f>
        <v>-55.341139999999996</v>
      </c>
      <c r="J61" s="227">
        <f>'t2'!K12</f>
        <v>-55.5822</v>
      </c>
      <c r="K61" s="227">
        <f>'t2'!L12</f>
        <v>-55.428571111111104</v>
      </c>
      <c r="L61" s="227">
        <f>'t2'!M12</f>
        <v>0.29153701409538607</v>
      </c>
    </row>
    <row r="62" spans="1:12" s="292" customFormat="1" ht="15.2" hidden="1" customHeight="1" x14ac:dyDescent="0.2">
      <c r="A62" s="226">
        <v>11</v>
      </c>
      <c r="B62" s="227">
        <f>'t2'!C13</f>
        <v>-54.853650000000002</v>
      </c>
      <c r="C62" s="227">
        <f>'t2'!D13</f>
        <v>-55.721969999999999</v>
      </c>
      <c r="D62" s="227">
        <f>'t2'!E13</f>
        <v>-55.076719999999995</v>
      </c>
      <c r="E62" s="227">
        <f>'t2'!F13</f>
        <v>-55.69708</v>
      </c>
      <c r="F62" s="227">
        <f>'t2'!G13</f>
        <v>-55.282030000000006</v>
      </c>
      <c r="G62" s="227">
        <f>'t2'!H13</f>
        <v>-55.764470000000003</v>
      </c>
      <c r="H62" s="227">
        <f>'t2'!I13</f>
        <v>-55.481859999999998</v>
      </c>
      <c r="I62" s="227">
        <f>'t2'!J13</f>
        <v>-55.332819999999998</v>
      </c>
      <c r="J62" s="227">
        <f>'t2'!K13</f>
        <v>-55.579679999999996</v>
      </c>
      <c r="K62" s="227">
        <f>'t2'!L13</f>
        <v>-55.421142222222223</v>
      </c>
      <c r="L62" s="227">
        <f>'t2'!M13</f>
        <v>0.29461103591676707</v>
      </c>
    </row>
    <row r="63" spans="1:12" s="292" customFormat="1" ht="15.2" hidden="1" customHeight="1" x14ac:dyDescent="0.2">
      <c r="A63" s="226">
        <v>12</v>
      </c>
      <c r="B63" s="227">
        <f>'t2'!C14</f>
        <v>-54.856020000000001</v>
      </c>
      <c r="C63" s="227">
        <f>'t2'!D14</f>
        <v>-55.725719999999995</v>
      </c>
      <c r="D63" s="227">
        <f>'t2'!E14</f>
        <v>-55.071719999999999</v>
      </c>
      <c r="E63" s="227">
        <f>'t2'!F14</f>
        <v>-55.697450000000003</v>
      </c>
      <c r="F63" s="227">
        <f>'t2'!G14</f>
        <v>-55.288219999999995</v>
      </c>
      <c r="G63" s="227">
        <f>'t2'!H14</f>
        <v>-55.76764</v>
      </c>
      <c r="H63" s="227">
        <f>'t2'!I14</f>
        <v>-55.47739</v>
      </c>
      <c r="I63" s="227">
        <f>'t2'!J14</f>
        <v>-55.335300000000004</v>
      </c>
      <c r="J63" s="227">
        <f>'t2'!K14</f>
        <v>-55.58417</v>
      </c>
      <c r="K63" s="227">
        <f>'t2'!L14</f>
        <v>-55.42262555555557</v>
      </c>
      <c r="L63" s="227">
        <f>'t2'!M14</f>
        <v>0.29540793016178335</v>
      </c>
    </row>
    <row r="64" spans="1:12" s="292" customFormat="1" ht="15.2" hidden="1" customHeight="1" x14ac:dyDescent="0.2">
      <c r="A64" s="226">
        <v>13</v>
      </c>
      <c r="B64" s="227">
        <f>'t2'!C15</f>
        <v>-54.861509999999996</v>
      </c>
      <c r="C64" s="227">
        <f>'t2'!D15</f>
        <v>-55.717950000000002</v>
      </c>
      <c r="D64" s="227">
        <f>'t2'!E15</f>
        <v>-55.077650000000006</v>
      </c>
      <c r="E64" s="227">
        <f>'t2'!F15</f>
        <v>-55.704980000000006</v>
      </c>
      <c r="F64" s="227">
        <f>'t2'!G15</f>
        <v>-55.297210000000007</v>
      </c>
      <c r="G64" s="227">
        <f>'t2'!H15</f>
        <v>-55.773520000000005</v>
      </c>
      <c r="H64" s="227">
        <f>'t2'!I15</f>
        <v>-55.493570000000005</v>
      </c>
      <c r="I64" s="227">
        <f>'t2'!J15</f>
        <v>-55.337980000000002</v>
      </c>
      <c r="J64" s="227">
        <f>'t2'!K15</f>
        <v>-55.581909999999993</v>
      </c>
      <c r="K64" s="227">
        <f>'t2'!L15</f>
        <v>-55.427364444444457</v>
      </c>
      <c r="L64" s="227">
        <f>'t2'!M15</f>
        <v>0.29382964414818241</v>
      </c>
    </row>
    <row r="65" spans="1:12" s="292" customFormat="1" ht="15.2" hidden="1" customHeight="1" x14ac:dyDescent="0.2">
      <c r="A65" s="226">
        <v>14</v>
      </c>
      <c r="B65" s="227">
        <f>'t2'!C16</f>
        <v>-54.844769999999997</v>
      </c>
      <c r="C65" s="227">
        <f>'t2'!D16</f>
        <v>-55.706680000000006</v>
      </c>
      <c r="D65" s="227">
        <f>'t2'!E16</f>
        <v>-55.072299999999998</v>
      </c>
      <c r="E65" s="227">
        <f>'t2'!F16</f>
        <v>-55.698930000000004</v>
      </c>
      <c r="F65" s="227">
        <f>'t2'!G16</f>
        <v>-55.276060000000001</v>
      </c>
      <c r="G65" s="227">
        <f>'t2'!H16</f>
        <v>-55.760120000000001</v>
      </c>
      <c r="H65" s="227">
        <f>'t2'!I16</f>
        <v>-55.482100000000003</v>
      </c>
      <c r="I65" s="227">
        <f>'t2'!J16</f>
        <v>-55.32544</v>
      </c>
      <c r="J65" s="227">
        <f>'t2'!K16</f>
        <v>-55.570300000000003</v>
      </c>
      <c r="K65" s="227">
        <f>'t2'!L16</f>
        <v>-55.415188888888892</v>
      </c>
      <c r="L65" s="227">
        <f>'t2'!M16</f>
        <v>0.29502397655650153</v>
      </c>
    </row>
    <row r="66" spans="1:12" s="292" customFormat="1" ht="15.2" hidden="1" customHeight="1" x14ac:dyDescent="0.2">
      <c r="A66" s="226">
        <v>15</v>
      </c>
      <c r="B66" s="227">
        <f>'t2'!C17</f>
        <v>-54.853210000000004</v>
      </c>
      <c r="C66" s="227">
        <f>'t2'!D17</f>
        <v>-55.717770000000002</v>
      </c>
      <c r="D66" s="227">
        <f>'t2'!E17</f>
        <v>-55.06523</v>
      </c>
      <c r="E66" s="227">
        <f>'t2'!F17</f>
        <v>-55.686580000000006</v>
      </c>
      <c r="F66" s="227">
        <f>'t2'!G17</f>
        <v>-55.273759999999996</v>
      </c>
      <c r="G66" s="227">
        <f>'t2'!H17</f>
        <v>-55.759249999999994</v>
      </c>
      <c r="H66" s="227">
        <f>'t2'!I17</f>
        <v>-55.478300000000004</v>
      </c>
      <c r="I66" s="227">
        <f>'t2'!J17</f>
        <v>-55.328379999999996</v>
      </c>
      <c r="J66" s="227">
        <f>'t2'!K17</f>
        <v>-55.573589999999996</v>
      </c>
      <c r="K66" s="227">
        <f>'t2'!L17</f>
        <v>-55.415118888888884</v>
      </c>
      <c r="L66" s="227">
        <f>'t2'!M17</f>
        <v>0.29410689698529796</v>
      </c>
    </row>
    <row r="67" spans="1:12" s="292" customFormat="1" ht="15.2" hidden="1" customHeight="1" x14ac:dyDescent="0.2">
      <c r="A67" s="226">
        <v>16</v>
      </c>
      <c r="B67" s="227">
        <f>'t2'!C18</f>
        <v>-54.860110000000006</v>
      </c>
      <c r="C67" s="227">
        <f>'t2'!D18</f>
        <v>-55.714479999999995</v>
      </c>
      <c r="D67" s="227">
        <f>'t2'!E18</f>
        <v>-55.075270000000003</v>
      </c>
      <c r="E67" s="227">
        <f>'t2'!F18</f>
        <v>-55.695139999999995</v>
      </c>
      <c r="F67" s="227">
        <f>'t2'!G18</f>
        <v>-55.292919999999995</v>
      </c>
      <c r="G67" s="227">
        <f>'t2'!H18</f>
        <v>-55.768829999999994</v>
      </c>
      <c r="H67" s="227">
        <f>'t2'!I18</f>
        <v>-55.479709999999997</v>
      </c>
      <c r="I67" s="227">
        <f>'t2'!J18</f>
        <v>-55.333789999999993</v>
      </c>
      <c r="J67" s="227">
        <f>'t2'!K18</f>
        <v>-55.577560000000005</v>
      </c>
      <c r="K67" s="227">
        <f>'t2'!L18</f>
        <v>-55.421978888888887</v>
      </c>
      <c r="L67" s="227">
        <f>'t2'!M18</f>
        <v>0.29218622830290075</v>
      </c>
    </row>
    <row r="68" spans="1:12" s="292" customFormat="1" ht="15.2" hidden="1" customHeight="1" x14ac:dyDescent="0.2">
      <c r="A68" s="226">
        <v>17</v>
      </c>
      <c r="B68" s="227">
        <f>'t2'!C19</f>
        <v>-54.862030000000004</v>
      </c>
      <c r="C68" s="227">
        <f>'t2'!D19</f>
        <v>-55.709209999999999</v>
      </c>
      <c r="D68" s="227">
        <f>'t2'!E19</f>
        <v>-55.071309999999997</v>
      </c>
      <c r="E68" s="227">
        <f>'t2'!F19</f>
        <v>-55.693619999999996</v>
      </c>
      <c r="F68" s="227">
        <f>'t2'!G19</f>
        <v>-55.284930000000003</v>
      </c>
      <c r="G68" s="227">
        <f>'t2'!H19</f>
        <v>-55.762590000000003</v>
      </c>
      <c r="H68" s="227">
        <f>'t2'!I19</f>
        <v>-55.470209999999994</v>
      </c>
      <c r="I68" s="227">
        <f>'t2'!J19</f>
        <v>-55.330290000000005</v>
      </c>
      <c r="J68" s="227">
        <f>'t2'!K19</f>
        <v>-55.572220000000002</v>
      </c>
      <c r="K68" s="227">
        <f>'t2'!L19</f>
        <v>-55.417378888888884</v>
      </c>
      <c r="L68" s="227">
        <f>'t2'!M19</f>
        <v>0.29073000133550481</v>
      </c>
    </row>
    <row r="69" spans="1:12" s="292" customFormat="1" ht="15.2" hidden="1" customHeight="1" x14ac:dyDescent="0.2">
      <c r="A69" s="226">
        <v>18</v>
      </c>
      <c r="B69" s="227">
        <f>'t2'!C20</f>
        <v>-54.867199999999997</v>
      </c>
      <c r="C69" s="227">
        <f>'t2'!D20</f>
        <v>-55.715710000000001</v>
      </c>
      <c r="D69" s="227">
        <f>'t2'!E20</f>
        <v>-55.072109999999995</v>
      </c>
      <c r="E69" s="227">
        <f>'t2'!F20</f>
        <v>-55.696179999999998</v>
      </c>
      <c r="F69" s="227">
        <f>'t2'!G20</f>
        <v>-55.286869999999993</v>
      </c>
      <c r="G69" s="227">
        <f>'t2'!H20</f>
        <v>-55.766970000000001</v>
      </c>
      <c r="H69" s="227">
        <f>'t2'!I20</f>
        <v>-55.487049999999996</v>
      </c>
      <c r="I69" s="227">
        <f>'t2'!J20</f>
        <v>-55.338610000000003</v>
      </c>
      <c r="J69" s="227">
        <f>'t2'!K20</f>
        <v>-55.578810000000004</v>
      </c>
      <c r="K69" s="227">
        <f>'t2'!L20</f>
        <v>-55.423278888888895</v>
      </c>
      <c r="L69" s="227">
        <f>'t2'!M20</f>
        <v>0.2914886613172874</v>
      </c>
    </row>
    <row r="70" spans="1:12" s="292" customFormat="1" ht="15.2" hidden="1" customHeight="1" x14ac:dyDescent="0.2">
      <c r="A70" s="226">
        <v>19</v>
      </c>
      <c r="B70" s="227">
        <f>'t2'!C21</f>
        <v>-54.885850000000005</v>
      </c>
      <c r="C70" s="227">
        <f>'t2'!D21</f>
        <v>-55.731260000000006</v>
      </c>
      <c r="D70" s="227">
        <f>'t2'!E21</f>
        <v>-55.077309999999997</v>
      </c>
      <c r="E70" s="227">
        <f>'t2'!F21</f>
        <v>-55.702100000000002</v>
      </c>
      <c r="F70" s="227">
        <f>'t2'!G21</f>
        <v>-55.288650000000004</v>
      </c>
      <c r="G70" s="227">
        <f>'t2'!H21</f>
        <v>-55.769779999999997</v>
      </c>
      <c r="H70" s="227">
        <f>'t2'!I21</f>
        <v>-55.496600000000001</v>
      </c>
      <c r="I70" s="227">
        <f>'t2'!J21</f>
        <v>-55.343770000000006</v>
      </c>
      <c r="J70" s="227">
        <f>'t2'!K21</f>
        <v>-55.586929999999995</v>
      </c>
      <c r="K70" s="227">
        <f>'t2'!L21</f>
        <v>-55.431361111111116</v>
      </c>
      <c r="L70" s="227">
        <f>'t2'!M21</f>
        <v>0.2900569391015963</v>
      </c>
    </row>
    <row r="71" spans="1:12" s="292" customFormat="1" ht="15.2" hidden="1" customHeight="1" x14ac:dyDescent="0.2">
      <c r="A71" s="226">
        <v>20</v>
      </c>
      <c r="B71" s="227">
        <f>'t2'!C22</f>
        <v>-54.900530000000003</v>
      </c>
      <c r="C71" s="227">
        <f>'t2'!D22</f>
        <v>-55.739360000000005</v>
      </c>
      <c r="D71" s="227">
        <f>'t2'!E22</f>
        <v>-55.090500000000006</v>
      </c>
      <c r="E71" s="227">
        <f>'t2'!F22</f>
        <v>-55.716679999999997</v>
      </c>
      <c r="F71" s="227">
        <f>'t2'!G22</f>
        <v>-55.308890000000005</v>
      </c>
      <c r="G71" s="227">
        <f>'t2'!H22</f>
        <v>-55.787199999999999</v>
      </c>
      <c r="H71" s="227">
        <f>'t2'!I22</f>
        <v>-55.514009999999999</v>
      </c>
      <c r="I71" s="227">
        <f>'t2'!J22</f>
        <v>-55.351500000000001</v>
      </c>
      <c r="J71" s="227">
        <f>'t2'!K22</f>
        <v>-55.597520000000003</v>
      </c>
      <c r="K71" s="227">
        <f>'t2'!L22</f>
        <v>-55.445132222222213</v>
      </c>
      <c r="L71" s="227">
        <f>'t2'!M22</f>
        <v>0.28962988990847288</v>
      </c>
    </row>
    <row r="72" spans="1:12" s="292" customFormat="1" ht="15.2" hidden="1" customHeight="1" x14ac:dyDescent="0.2">
      <c r="A72" s="226">
        <v>21</v>
      </c>
      <c r="B72" s="227">
        <f>'t2'!C23</f>
        <v>-54.90558</v>
      </c>
      <c r="C72" s="227">
        <f>'t2'!D23</f>
        <v>-55.737260000000006</v>
      </c>
      <c r="D72" s="227">
        <f>'t2'!E23</f>
        <v>-55.098370000000003</v>
      </c>
      <c r="E72" s="227">
        <f>'t2'!F23</f>
        <v>-55.719130000000007</v>
      </c>
      <c r="F72" s="227">
        <f>'t2'!G23</f>
        <v>-55.310760000000002</v>
      </c>
      <c r="G72" s="227">
        <f>'t2'!H23</f>
        <v>-55.788979999999995</v>
      </c>
      <c r="H72" s="227">
        <f>'t2'!I23</f>
        <v>-55.519670000000005</v>
      </c>
      <c r="I72" s="227">
        <f>'t2'!J23</f>
        <v>-55.353989999999996</v>
      </c>
      <c r="J72" s="227">
        <f>'t2'!K23</f>
        <v>-55.59939</v>
      </c>
      <c r="K72" s="227">
        <f>'t2'!L23</f>
        <v>-55.448125555555556</v>
      </c>
      <c r="L72" s="227">
        <f>'t2'!M23</f>
        <v>0.28783460818521472</v>
      </c>
    </row>
    <row r="73" spans="1:12" s="292" customFormat="1" ht="15.2" hidden="1" customHeight="1" x14ac:dyDescent="0.2">
      <c r="A73" s="226">
        <v>22</v>
      </c>
      <c r="B73" s="227">
        <f>'t2'!C24</f>
        <v>-54.885409999999993</v>
      </c>
      <c r="C73" s="227">
        <f>'t2'!D24</f>
        <v>-55.717709999999997</v>
      </c>
      <c r="D73" s="227">
        <f>'t2'!E24</f>
        <v>-55.096329999999995</v>
      </c>
      <c r="E73" s="227">
        <f>'t2'!F24</f>
        <v>-55.714519999999993</v>
      </c>
      <c r="F73" s="227">
        <f>'t2'!G24</f>
        <v>-55.296539999999993</v>
      </c>
      <c r="G73" s="227">
        <f>'t2'!H24</f>
        <v>-55.777479999999997</v>
      </c>
      <c r="H73" s="227">
        <f>'t2'!I24</f>
        <v>-55.491579999999999</v>
      </c>
      <c r="I73" s="227">
        <f>'t2'!J24</f>
        <v>-55.341719999999995</v>
      </c>
      <c r="J73" s="227">
        <f>'t2'!K24</f>
        <v>-55.587569999999999</v>
      </c>
      <c r="K73" s="227">
        <f>'t2'!L24</f>
        <v>-55.434317777777778</v>
      </c>
      <c r="L73" s="227">
        <f>'t2'!M24</f>
        <v>0.28798968043925949</v>
      </c>
    </row>
    <row r="74" spans="1:12" s="292" customFormat="1" ht="15.2" hidden="1" customHeight="1" x14ac:dyDescent="0.2">
      <c r="A74" s="226">
        <v>23</v>
      </c>
      <c r="B74" s="227">
        <f>'t2'!C25</f>
        <v>-54.868480000000005</v>
      </c>
      <c r="C74" s="227">
        <f>'t2'!D25</f>
        <v>-55.699539999999999</v>
      </c>
      <c r="D74" s="227">
        <f>'t2'!E25</f>
        <v>-55.082260000000005</v>
      </c>
      <c r="E74" s="227">
        <f>'t2'!F25</f>
        <v>-55.700530000000001</v>
      </c>
      <c r="F74" s="227">
        <f>'t2'!G25</f>
        <v>-55.271699999999996</v>
      </c>
      <c r="G74" s="227">
        <f>'t2'!H25</f>
        <v>-55.754909999999995</v>
      </c>
      <c r="H74" s="227">
        <f>'t2'!I25</f>
        <v>-55.476849999999999</v>
      </c>
      <c r="I74" s="227">
        <f>'t2'!J25</f>
        <v>-55.328969999999998</v>
      </c>
      <c r="J74" s="227">
        <f>'t2'!K25</f>
        <v>-55.573359999999994</v>
      </c>
      <c r="K74" s="227">
        <f>'t2'!L25</f>
        <v>-55.417400000000008</v>
      </c>
      <c r="L74" s="227">
        <f>'t2'!M25</f>
        <v>0.28755999211758443</v>
      </c>
    </row>
    <row r="75" spans="1:12" s="292" customFormat="1" ht="15.2" hidden="1" customHeight="1" x14ac:dyDescent="0.2">
      <c r="A75" s="226">
        <v>24</v>
      </c>
      <c r="B75" s="227">
        <f>'t2'!C26</f>
        <v>-54.858699999999999</v>
      </c>
      <c r="C75" s="227">
        <f>'t2'!D26</f>
        <v>-55.692490000000006</v>
      </c>
      <c r="D75" s="227">
        <f>'t2'!E26</f>
        <v>-55.065430000000006</v>
      </c>
      <c r="E75" s="227">
        <f>'t2'!F26</f>
        <v>-55.682400000000001</v>
      </c>
      <c r="F75" s="227">
        <f>'t2'!G26</f>
        <v>-55.251649999999998</v>
      </c>
      <c r="G75" s="227">
        <f>'t2'!H26</f>
        <v>-55.738039999999998</v>
      </c>
      <c r="H75" s="227">
        <f>'t2'!I26</f>
        <v>-55.465360000000004</v>
      </c>
      <c r="I75" s="227">
        <f>'t2'!J26</f>
        <v>-55.312939999999998</v>
      </c>
      <c r="J75" s="227">
        <f>'t2'!K26</f>
        <v>-55.562929999999994</v>
      </c>
      <c r="K75" s="227">
        <f>'t2'!L26</f>
        <v>-55.403326666666679</v>
      </c>
      <c r="L75" s="227">
        <f>'t2'!M26</f>
        <v>0.28767644958258998</v>
      </c>
    </row>
    <row r="76" spans="1:12" s="292" customFormat="1" ht="15.2" hidden="1" customHeight="1" x14ac:dyDescent="0.2">
      <c r="A76" s="226">
        <v>25</v>
      </c>
      <c r="B76" s="227">
        <f>'t2'!C27</f>
        <v>-54.866789999999995</v>
      </c>
      <c r="C76" s="227">
        <f>'t2'!D27</f>
        <v>-55.710710000000006</v>
      </c>
      <c r="D76" s="227">
        <f>'t2'!E27</f>
        <v>-55.058700000000002</v>
      </c>
      <c r="E76" s="227">
        <f>'t2'!F27</f>
        <v>-55.682159999999996</v>
      </c>
      <c r="F76" s="227">
        <f>'t2'!G27</f>
        <v>-55.266570000000002</v>
      </c>
      <c r="G76" s="227">
        <f>'t2'!H27</f>
        <v>-55.748900000000006</v>
      </c>
      <c r="H76" s="227">
        <f>'t2'!I27</f>
        <v>-55.47148</v>
      </c>
      <c r="I76" s="227">
        <f>'t2'!J27</f>
        <v>-55.323130000000006</v>
      </c>
      <c r="J76" s="227">
        <f>'t2'!K27</f>
        <v>-55.571899999999999</v>
      </c>
      <c r="K76" s="227">
        <f>'t2'!L27</f>
        <v>-55.411148888888889</v>
      </c>
      <c r="L76" s="227">
        <f>'t2'!M27</f>
        <v>0.28981558436911364</v>
      </c>
    </row>
    <row r="77" spans="1:12" s="292" customFormat="1" ht="15.2" hidden="1" customHeight="1" x14ac:dyDescent="0.2">
      <c r="A77" s="226">
        <v>26</v>
      </c>
      <c r="B77" s="227">
        <f>'t2'!C28</f>
        <v>-54.873500000000007</v>
      </c>
      <c r="C77" s="227">
        <f>'t2'!D28</f>
        <v>-55.73151</v>
      </c>
      <c r="D77" s="227">
        <f>'t2'!E28</f>
        <v>-55.072599999999994</v>
      </c>
      <c r="E77" s="227">
        <f>'t2'!F28</f>
        <v>-55.69932</v>
      </c>
      <c r="F77" s="227">
        <f>'t2'!G28</f>
        <v>-55.290080000000003</v>
      </c>
      <c r="G77" s="227">
        <f>'t2'!H28</f>
        <v>-55.769779999999997</v>
      </c>
      <c r="H77" s="227">
        <f>'t2'!I28</f>
        <v>-55.487899999999996</v>
      </c>
      <c r="I77" s="227">
        <f>'t2'!J28</f>
        <v>-55.339219999999997</v>
      </c>
      <c r="J77" s="227">
        <f>'t2'!K28</f>
        <v>-55.581940000000003</v>
      </c>
      <c r="K77" s="227">
        <f>'t2'!L28</f>
        <v>-55.427316666666655</v>
      </c>
      <c r="L77" s="227">
        <f>'t2'!M28</f>
        <v>0.29259585073385108</v>
      </c>
    </row>
    <row r="78" spans="1:12" s="292" customFormat="1" ht="15.2" hidden="1" customHeight="1" x14ac:dyDescent="0.2">
      <c r="A78" s="226">
        <v>27</v>
      </c>
      <c r="B78" s="227">
        <f>'t2'!C29</f>
        <v>-54.891180000000006</v>
      </c>
      <c r="C78" s="227">
        <f>'t2'!D29</f>
        <v>-55.739660000000001</v>
      </c>
      <c r="D78" s="227">
        <f>'t2'!E29</f>
        <v>-55.083280000000002</v>
      </c>
      <c r="E78" s="227">
        <f>'t2'!F29</f>
        <v>-55.713440000000006</v>
      </c>
      <c r="F78" s="227">
        <f>'t2'!G29</f>
        <v>-55.306550000000001</v>
      </c>
      <c r="G78" s="227">
        <f>'t2'!H29</f>
        <v>-55.78313</v>
      </c>
      <c r="H78" s="227">
        <f>'t2'!I29</f>
        <v>-55.502880000000005</v>
      </c>
      <c r="I78" s="227">
        <f>'t2'!J29</f>
        <v>-55.349000000000004</v>
      </c>
      <c r="J78" s="227">
        <f>'t2'!K29</f>
        <v>-55.589489999999998</v>
      </c>
      <c r="K78" s="227">
        <f>'t2'!L29</f>
        <v>-55.439845555555557</v>
      </c>
      <c r="L78" s="227">
        <f>'t2'!M29</f>
        <v>0.29119431069347201</v>
      </c>
    </row>
    <row r="79" spans="1:12" s="292" customFormat="1" ht="15.2" hidden="1" customHeight="1" x14ac:dyDescent="0.2">
      <c r="A79" s="226">
        <v>28</v>
      </c>
      <c r="B79" s="227">
        <f>'t2'!C30</f>
        <v>-54.895510000000002</v>
      </c>
      <c r="C79" s="227">
        <f>'t2'!D30</f>
        <v>-55.731030000000004</v>
      </c>
      <c r="D79" s="227">
        <f>'t2'!E30</f>
        <v>-55.088610000000003</v>
      </c>
      <c r="E79" s="227">
        <f>'t2'!F30</f>
        <v>-55.716769999999997</v>
      </c>
      <c r="F79" s="227">
        <f>'t2'!G30</f>
        <v>-55.304839999999999</v>
      </c>
      <c r="G79" s="227">
        <f>'t2'!H30</f>
        <v>-55.782560000000004</v>
      </c>
      <c r="H79" s="227">
        <f>'t2'!I30</f>
        <v>-55.495180000000005</v>
      </c>
      <c r="I79" s="227">
        <f>'t2'!J30</f>
        <v>-55.346350000000001</v>
      </c>
      <c r="J79" s="227">
        <f>'t2'!K30</f>
        <v>-55.586100000000002</v>
      </c>
      <c r="K79" s="227">
        <f>'t2'!L30</f>
        <v>-55.438549999999999</v>
      </c>
      <c r="L79" s="227">
        <f>'t2'!M30</f>
        <v>0.28867540548743226</v>
      </c>
    </row>
    <row r="80" spans="1:12" s="292" customFormat="1" ht="15.2" hidden="1" customHeight="1" x14ac:dyDescent="0.2">
      <c r="A80" s="226">
        <v>29</v>
      </c>
      <c r="B80" s="227">
        <f>'t2'!C31</f>
        <v>-54.905010000000004</v>
      </c>
      <c r="C80" s="227">
        <f>'t2'!D31</f>
        <v>-55.73433</v>
      </c>
      <c r="D80" s="227">
        <f>'t2'!E31</f>
        <v>-55.090410000000006</v>
      </c>
      <c r="E80" s="227">
        <f>'t2'!F31</f>
        <v>-55.712050000000005</v>
      </c>
      <c r="F80" s="227">
        <f>'t2'!G31</f>
        <v>-55.296310000000005</v>
      </c>
      <c r="G80" s="227">
        <f>'t2'!H31</f>
        <v>-55.776409999999998</v>
      </c>
      <c r="H80" s="227">
        <f>'t2'!I31</f>
        <v>-55.496380000000002</v>
      </c>
      <c r="I80" s="227">
        <f>'t2'!J31</f>
        <v>-55.343980000000002</v>
      </c>
      <c r="J80" s="227">
        <f>'t2'!K31</f>
        <v>-55.583039999999997</v>
      </c>
      <c r="K80" s="227">
        <f>'t2'!L31</f>
        <v>-55.437546666666663</v>
      </c>
      <c r="L80" s="227">
        <f>'t2'!M31</f>
        <v>0.285908326527537</v>
      </c>
    </row>
    <row r="81" spans="1:12" s="292" customFormat="1" ht="15.2" hidden="1" customHeight="1" x14ac:dyDescent="0.2">
      <c r="A81" s="226">
        <v>30</v>
      </c>
      <c r="B81" s="227">
        <f>'t2'!C32</f>
        <v>-54.896820000000005</v>
      </c>
      <c r="C81" s="227">
        <f>'t2'!D32</f>
        <v>-55.721850000000003</v>
      </c>
      <c r="D81" s="227">
        <f>'t2'!E32</f>
        <v>-55.095510000000004</v>
      </c>
      <c r="E81" s="227">
        <f>'t2'!F32</f>
        <v>-55.712159999999997</v>
      </c>
      <c r="F81" s="227">
        <f>'t2'!G32</f>
        <v>-55.295400000000001</v>
      </c>
      <c r="G81" s="227">
        <f>'t2'!H32</f>
        <v>-55.774019999999993</v>
      </c>
      <c r="H81" s="227">
        <f>'t2'!I32</f>
        <v>-55.491500000000002</v>
      </c>
      <c r="I81" s="227">
        <f>'t2'!J32</f>
        <v>-55.347369999999998</v>
      </c>
      <c r="J81" s="227">
        <f>'t2'!K32</f>
        <v>-55.579560000000001</v>
      </c>
      <c r="K81" s="227">
        <f>'t2'!L32</f>
        <v>-55.434910000000002</v>
      </c>
      <c r="L81" s="227">
        <f>'t2'!M32</f>
        <v>0.28483587254573028</v>
      </c>
    </row>
    <row r="82" spans="1:12" s="292" customFormat="1" ht="15.2" hidden="1" customHeight="1" x14ac:dyDescent="0.35">
      <c r="A82" s="228" t="s">
        <v>40</v>
      </c>
      <c r="B82" s="227">
        <f>'t2'!C33</f>
        <v>-54.874226666666679</v>
      </c>
      <c r="C82" s="227">
        <f>'t2'!D33</f>
        <v>-55.727653000000004</v>
      </c>
      <c r="D82" s="227">
        <f>'t2'!E33</f>
        <v>-55.083056666666678</v>
      </c>
      <c r="E82" s="227">
        <f>'t2'!F33</f>
        <v>-55.709283000000006</v>
      </c>
      <c r="F82" s="227">
        <f>'t2'!G33</f>
        <v>-55.29475333333334</v>
      </c>
      <c r="G82" s="227">
        <f>'t2'!H33</f>
        <v>-55.776009666666681</v>
      </c>
      <c r="H82" s="227">
        <f>'t2'!I33</f>
        <v>-55.490697666666662</v>
      </c>
      <c r="I82" s="227">
        <f>'t2'!J33</f>
        <v>-55.342177333333332</v>
      </c>
      <c r="J82" s="227">
        <f>'t2'!K33</f>
        <v>-55.585693666666664</v>
      </c>
      <c r="K82" s="137"/>
      <c r="L82" s="137"/>
    </row>
    <row r="83" spans="1:12" s="292" customFormat="1" ht="15.2" hidden="1" customHeight="1" x14ac:dyDescent="0.35">
      <c r="A83" s="228" t="s">
        <v>39</v>
      </c>
      <c r="B83" s="227">
        <f>'t2'!C34</f>
        <v>1.5860574040333721E-2</v>
      </c>
      <c r="C83" s="227">
        <f>'t2'!D34</f>
        <v>1.5170173180729326E-2</v>
      </c>
      <c r="D83" s="227">
        <f>'t2'!E34</f>
        <v>1.1131499250126643E-2</v>
      </c>
      <c r="E83" s="227">
        <f>'t2'!F34</f>
        <v>1.4553187543169914E-2</v>
      </c>
      <c r="F83" s="227">
        <f>'t2'!G34</f>
        <v>1.6305740366168459E-2</v>
      </c>
      <c r="G83" s="227">
        <f>'t2'!H34</f>
        <v>1.5348389379852499E-2</v>
      </c>
      <c r="H83" s="227">
        <f>'t2'!I34</f>
        <v>1.3215685045514E-2</v>
      </c>
      <c r="I83" s="227">
        <f>'t2'!J34</f>
        <v>1.1730107681612445E-2</v>
      </c>
      <c r="J83" s="227">
        <f>'t2'!K34</f>
        <v>1.0379625068160073E-2</v>
      </c>
      <c r="K83" s="294"/>
      <c r="L83" s="294"/>
    </row>
    <row r="84" spans="1:12" s="292" customFormat="1" ht="15.2" hidden="1" customHeight="1" x14ac:dyDescent="0.35">
      <c r="A84" s="228" t="s">
        <v>52</v>
      </c>
      <c r="B84" s="227">
        <f>'t2'!C35</f>
        <v>2.9456666666682452E-2</v>
      </c>
      <c r="C84" s="227">
        <f>'t2'!D35</f>
        <v>3.5162999999997169E-2</v>
      </c>
      <c r="D84" s="227">
        <f>'t2'!E35</f>
        <v>2.4356666666676574E-2</v>
      </c>
      <c r="E84" s="227">
        <f>'t2'!F35</f>
        <v>2.7123000000010222E-2</v>
      </c>
      <c r="F84" s="227">
        <f>'t2'!G35</f>
        <v>4.3103333333341709E-2</v>
      </c>
      <c r="G84" s="227">
        <f>'t2'!H35</f>
        <v>3.7969666666683111E-2</v>
      </c>
      <c r="H84" s="227">
        <f>'t2'!I35</f>
        <v>2.5337666666658265E-2</v>
      </c>
      <c r="I84" s="227">
        <f>'t2'!J35</f>
        <v>2.9237333333334448E-2</v>
      </c>
      <c r="J84" s="227">
        <f>'t2'!K35</f>
        <v>2.2763666666669735E-2</v>
      </c>
      <c r="K84" s="416"/>
      <c r="L84" s="416"/>
    </row>
    <row r="85" spans="1:12" s="292" customFormat="1" ht="15.2" hidden="1" customHeight="1" x14ac:dyDescent="0.35">
      <c r="A85" s="228" t="s">
        <v>51</v>
      </c>
      <c r="B85" s="227">
        <f>'t2'!C36</f>
        <v>3.1353333333321132E-2</v>
      </c>
      <c r="C85" s="227">
        <f>'t2'!D36</f>
        <v>2.568699999999069E-2</v>
      </c>
      <c r="D85" s="227">
        <f>'t2'!E36</f>
        <v>2.2153333333321257E-2</v>
      </c>
      <c r="E85" s="227">
        <f>'t2'!F36</f>
        <v>3.3746999999998195E-2</v>
      </c>
      <c r="F85" s="227">
        <f>'t2'!G36</f>
        <v>2.9876666666659446E-2</v>
      </c>
      <c r="G85" s="227">
        <f>'t2'!H36</f>
        <v>2.4490333333318404E-2</v>
      </c>
      <c r="H85" s="227">
        <f>'t2'!I36</f>
        <v>2.8972333333342704E-2</v>
      </c>
      <c r="I85" s="227">
        <f>'t2'!J36</f>
        <v>2.228266666666201E-2</v>
      </c>
      <c r="J85" s="227">
        <f>'t2'!K36</f>
        <v>1.693633333334077E-2</v>
      </c>
      <c r="K85" s="416"/>
      <c r="L85" s="416"/>
    </row>
    <row r="86" spans="1:12" s="292" customFormat="1" ht="15.2" hidden="1" customHeight="1" x14ac:dyDescent="0.35">
      <c r="A86" s="229" t="s">
        <v>44</v>
      </c>
      <c r="B86" s="227">
        <f>'t2'!C37</f>
        <v>3.0405000000001792E-2</v>
      </c>
      <c r="C86" s="227">
        <f>'t2'!D37</f>
        <v>3.0424999999993929E-2</v>
      </c>
      <c r="D86" s="227">
        <f>'t2'!E37</f>
        <v>2.3254999999998915E-2</v>
      </c>
      <c r="E86" s="227">
        <f>'t2'!F37</f>
        <v>3.0435000000004209E-2</v>
      </c>
      <c r="F86" s="227">
        <f>'t2'!G37</f>
        <v>3.6490000000000578E-2</v>
      </c>
      <c r="G86" s="227">
        <f>'t2'!H37</f>
        <v>3.1230000000000757E-2</v>
      </c>
      <c r="H86" s="227">
        <f>'t2'!I37</f>
        <v>2.7155000000000484E-2</v>
      </c>
      <c r="I86" s="227">
        <f>'t2'!J37</f>
        <v>2.5759999999998229E-2</v>
      </c>
      <c r="J86" s="227">
        <f>'t2'!K37</f>
        <v>1.9850000000005252E-2</v>
      </c>
      <c r="K86" s="416"/>
      <c r="L86" s="416"/>
    </row>
    <row r="87" spans="1:12" s="292" customFormat="1" ht="15.2" hidden="1" customHeight="1" x14ac:dyDescent="0.35">
      <c r="A87" s="230" t="s">
        <v>43</v>
      </c>
      <c r="B87" s="227">
        <f>'t2'!C38</f>
        <v>0.42052666666666028</v>
      </c>
      <c r="C87" s="227">
        <f>'t2'!D38</f>
        <v>-0.43289966666666402</v>
      </c>
      <c r="D87" s="227">
        <f>'t2'!E38</f>
        <v>0.21169666666666132</v>
      </c>
      <c r="E87" s="227">
        <f>'t2'!F38</f>
        <v>-0.41452966666666669</v>
      </c>
      <c r="F87" s="227">
        <f>'t2'!G38</f>
        <v>0</v>
      </c>
      <c r="G87" s="227">
        <f>'t2'!H38</f>
        <v>-0.4812563333333415</v>
      </c>
      <c r="H87" s="227">
        <f>'t2'!I38</f>
        <v>-0.19594433333332262</v>
      </c>
      <c r="I87" s="227">
        <f>'t2'!J38</f>
        <v>-4.7423999999992361E-2</v>
      </c>
      <c r="J87" s="227">
        <f>'t2'!K38</f>
        <v>-0.29094033333332447</v>
      </c>
      <c r="K87" s="139"/>
      <c r="L87" s="139"/>
    </row>
    <row r="88" spans="1:12" s="292" customFormat="1" ht="15.2" hidden="1" customHeight="1" x14ac:dyDescent="0.35">
      <c r="A88" s="231" t="s">
        <v>95</v>
      </c>
      <c r="B88" s="232">
        <f>'t2'!C40</f>
        <v>-55.431505666666681</v>
      </c>
      <c r="C88" s="139"/>
      <c r="D88" s="139"/>
      <c r="E88" s="139"/>
      <c r="F88" s="139"/>
      <c r="G88" s="139"/>
      <c r="H88" s="139"/>
      <c r="I88" s="139"/>
      <c r="J88" s="139"/>
      <c r="K88" s="139"/>
      <c r="L88" s="139"/>
    </row>
    <row r="89" spans="1:12" s="292" customFormat="1" ht="15.2" hidden="1" customHeight="1" x14ac:dyDescent="0.35">
      <c r="A89" s="233" t="s">
        <v>47</v>
      </c>
      <c r="B89" s="232">
        <f>'t2'!C41</f>
        <v>-0.43150566666668055</v>
      </c>
      <c r="C89" s="139"/>
      <c r="D89" s="139"/>
      <c r="E89" s="139"/>
      <c r="F89" s="139"/>
      <c r="G89" s="139"/>
      <c r="H89" s="139"/>
      <c r="I89" s="139"/>
      <c r="J89" s="139"/>
      <c r="K89" s="139"/>
      <c r="L89" s="139"/>
    </row>
    <row r="90" spans="1:12" s="292" customFormat="1" ht="15.2" hidden="1" customHeight="1" x14ac:dyDescent="0.35">
      <c r="A90" s="298" t="s">
        <v>259</v>
      </c>
      <c r="B90" s="234">
        <f>'t2'!C46</f>
        <v>0.29273049864533746</v>
      </c>
      <c r="C90" s="139"/>
      <c r="D90" s="139"/>
      <c r="E90" s="139"/>
      <c r="F90" s="139"/>
      <c r="G90" s="139"/>
      <c r="H90" s="139"/>
      <c r="I90" s="139"/>
      <c r="J90" s="139"/>
      <c r="K90" s="139"/>
      <c r="L90" s="139"/>
    </row>
    <row r="91" spans="1:12" s="292" customFormat="1" ht="15.2" hidden="1" customHeight="1" x14ac:dyDescent="0.35">
      <c r="A91" s="233" t="s">
        <v>48</v>
      </c>
      <c r="B91" s="232">
        <f>'t2'!C42</f>
        <v>0.90178300000000178</v>
      </c>
      <c r="C91" s="139"/>
      <c r="D91" s="139"/>
      <c r="E91" s="139"/>
      <c r="F91" s="139"/>
      <c r="G91" s="139"/>
      <c r="H91" s="139"/>
      <c r="I91" s="139"/>
      <c r="J91" s="139"/>
      <c r="K91" s="139"/>
      <c r="L91" s="139"/>
    </row>
    <row r="92" spans="1:12" s="292" customFormat="1" ht="15.2" hidden="1" customHeight="1" x14ac:dyDescent="0.35">
      <c r="A92" s="241" t="s">
        <v>49</v>
      </c>
      <c r="B92" s="240">
        <f>'t2'!C43</f>
        <v>0.42052666666666028</v>
      </c>
      <c r="C92" s="140"/>
      <c r="D92" s="139"/>
      <c r="E92" s="139"/>
      <c r="F92" s="139"/>
      <c r="G92" s="139"/>
      <c r="H92" s="139"/>
      <c r="I92" s="139"/>
      <c r="J92" s="139"/>
      <c r="K92" s="139"/>
      <c r="L92" s="139"/>
    </row>
    <row r="93" spans="1:12" s="292" customFormat="1" hidden="1" x14ac:dyDescent="0.2">
      <c r="A93" s="242"/>
      <c r="B93" s="240">
        <f>'t2'!C44</f>
        <v>-0.4812563333333415</v>
      </c>
      <c r="C93" s="139"/>
      <c r="D93" s="139"/>
      <c r="E93" s="139"/>
      <c r="F93" s="139"/>
      <c r="G93" s="139"/>
      <c r="H93" s="139"/>
      <c r="I93" s="139"/>
      <c r="J93" s="139"/>
      <c r="K93" s="139"/>
      <c r="L93" s="139"/>
    </row>
    <row r="94" spans="1:12" s="292" customFormat="1" ht="18.75" hidden="1" x14ac:dyDescent="0.35">
      <c r="A94" s="242" t="s">
        <v>50</v>
      </c>
      <c r="B94" s="232">
        <f>'t2'!C45</f>
        <v>2.8333888888889349E-2</v>
      </c>
    </row>
    <row r="95" spans="1:12" s="292" customFormat="1" ht="31.5" hidden="1" customHeight="1" x14ac:dyDescent="0.2">
      <c r="A95" s="417" t="s">
        <v>377</v>
      </c>
      <c r="B95" s="417"/>
      <c r="C95" s="417"/>
      <c r="D95" s="417"/>
      <c r="E95" s="417"/>
      <c r="F95" s="417"/>
      <c r="G95" s="417"/>
      <c r="H95" s="417"/>
      <c r="I95" s="417"/>
      <c r="J95" s="417"/>
      <c r="K95" s="417"/>
      <c r="L95" s="417"/>
    </row>
    <row r="96" spans="1:12" s="292" customFormat="1" ht="25.5" hidden="1" customHeight="1" thickBot="1" x14ac:dyDescent="0.25">
      <c r="A96" s="418" t="str">
        <f>"Тзад =  "&amp;'t3'!C39&amp;" °С"</f>
        <v>Тзад =  -35 °С</v>
      </c>
      <c r="B96" s="418"/>
      <c r="C96" s="418"/>
      <c r="D96" s="418"/>
      <c r="E96" s="418"/>
      <c r="F96" s="418"/>
      <c r="G96" s="418"/>
      <c r="H96" s="418"/>
      <c r="I96" s="418"/>
      <c r="J96" s="418"/>
      <c r="K96" s="418"/>
      <c r="L96" s="418"/>
    </row>
    <row r="97" spans="1:12" s="292" customFormat="1" ht="29.25" hidden="1" thickBot="1" x14ac:dyDescent="0.25">
      <c r="A97" s="239" t="s">
        <v>89</v>
      </c>
      <c r="B97" s="419" t="s">
        <v>94</v>
      </c>
      <c r="C97" s="419"/>
      <c r="D97" s="419"/>
      <c r="E97" s="419"/>
      <c r="F97" s="419"/>
      <c r="G97" s="419"/>
      <c r="H97" s="419"/>
      <c r="I97" s="419"/>
      <c r="J97" s="419"/>
      <c r="K97" s="420" t="s">
        <v>91</v>
      </c>
      <c r="L97" s="420"/>
    </row>
    <row r="98" spans="1:12" s="292" customFormat="1" ht="15.2" hidden="1" customHeight="1" x14ac:dyDescent="0.2">
      <c r="A98" s="236"/>
      <c r="B98" s="235">
        <v>1</v>
      </c>
      <c r="C98" s="235">
        <v>2</v>
      </c>
      <c r="D98" s="235">
        <v>3</v>
      </c>
      <c r="E98" s="235">
        <v>4</v>
      </c>
      <c r="F98" s="235">
        <v>5</v>
      </c>
      <c r="G98" s="235">
        <v>6</v>
      </c>
      <c r="H98" s="235">
        <v>7</v>
      </c>
      <c r="I98" s="235">
        <v>8</v>
      </c>
      <c r="J98" s="235">
        <v>9</v>
      </c>
      <c r="K98" s="237" t="s">
        <v>92</v>
      </c>
      <c r="L98" s="238" t="s">
        <v>93</v>
      </c>
    </row>
    <row r="99" spans="1:12" s="292" customFormat="1" ht="15.2" hidden="1" customHeight="1" x14ac:dyDescent="0.2">
      <c r="A99" s="226">
        <v>1</v>
      </c>
      <c r="B99" s="227">
        <f>'t3'!C3</f>
        <v>-34.86842</v>
      </c>
      <c r="C99" s="227">
        <f>'t3'!D3</f>
        <v>-35.746399999999994</v>
      </c>
      <c r="D99" s="227">
        <f>'t3'!E3</f>
        <v>-35.10521</v>
      </c>
      <c r="E99" s="227">
        <f>'t3'!F3</f>
        <v>-35.743030000000005</v>
      </c>
      <c r="F99" s="227">
        <f>'t3'!G3</f>
        <v>-35.322199999999995</v>
      </c>
      <c r="G99" s="227">
        <f>'t3'!H3</f>
        <v>-35.8005</v>
      </c>
      <c r="H99" s="227">
        <f>'t3'!I3</f>
        <v>-35.500879999999995</v>
      </c>
      <c r="I99" s="227">
        <f>'t3'!J3</f>
        <v>-35.364459999999994</v>
      </c>
      <c r="J99" s="227">
        <f>'t3'!K3</f>
        <v>-35.597840000000005</v>
      </c>
      <c r="K99" s="227">
        <f>'t3'!L3</f>
        <v>-35.449882222222222</v>
      </c>
      <c r="L99" s="227">
        <f>'t3'!M3</f>
        <v>0.29847398512276063</v>
      </c>
    </row>
    <row r="100" spans="1:12" s="292" customFormat="1" ht="15.2" hidden="1" customHeight="1" x14ac:dyDescent="0.2">
      <c r="A100" s="226">
        <v>2</v>
      </c>
      <c r="B100" s="227">
        <f>'t3'!C4</f>
        <v>-34.860690000000005</v>
      </c>
      <c r="C100" s="227">
        <f>'t3'!D4</f>
        <v>-35.72927</v>
      </c>
      <c r="D100" s="227">
        <f>'t3'!E4</f>
        <v>-35.09572</v>
      </c>
      <c r="E100" s="227">
        <f>'t3'!F4</f>
        <v>-35.727279999999993</v>
      </c>
      <c r="F100" s="227">
        <f>'t3'!G4</f>
        <v>-35.300110000000004</v>
      </c>
      <c r="G100" s="227">
        <f>'t3'!H4</f>
        <v>-35.782669999999996</v>
      </c>
      <c r="H100" s="227">
        <f>'t3'!I4</f>
        <v>-35.486540000000005</v>
      </c>
      <c r="I100" s="227">
        <f>'t3'!J4</f>
        <v>-35.348920000000007</v>
      </c>
      <c r="J100" s="227">
        <f>'t3'!K4</f>
        <v>-35.589550000000003</v>
      </c>
      <c r="K100" s="227">
        <f>'t3'!L4</f>
        <v>-35.435638888888889</v>
      </c>
      <c r="L100" s="227">
        <f>'t3'!M4</f>
        <v>0.2962700032982068</v>
      </c>
    </row>
    <row r="101" spans="1:12" s="292" customFormat="1" ht="15.2" hidden="1" customHeight="1" x14ac:dyDescent="0.2">
      <c r="A101" s="226">
        <v>3</v>
      </c>
      <c r="B101" s="227">
        <f>'t3'!C5</f>
        <v>-34.867170000000002</v>
      </c>
      <c r="C101" s="227">
        <f>'t3'!D5</f>
        <v>-35.735560000000007</v>
      </c>
      <c r="D101" s="227">
        <f>'t3'!E5</f>
        <v>-35.081969999999998</v>
      </c>
      <c r="E101" s="227">
        <f>'t3'!F5</f>
        <v>-35.713849999999994</v>
      </c>
      <c r="F101" s="227">
        <f>'t3'!G5</f>
        <v>-35.290279999999996</v>
      </c>
      <c r="G101" s="227">
        <f>'t3'!H5</f>
        <v>-35.780379999999994</v>
      </c>
      <c r="H101" s="227">
        <f>'t3'!I5</f>
        <v>-35.481250000000003</v>
      </c>
      <c r="I101" s="227">
        <f>'t3'!J5</f>
        <v>-35.340599999999995</v>
      </c>
      <c r="J101" s="227">
        <f>'t3'!K5</f>
        <v>-35.592209999999994</v>
      </c>
      <c r="K101" s="227">
        <f>'t3'!L5</f>
        <v>-35.431474444444433</v>
      </c>
      <c r="L101" s="227">
        <f>'t3'!M5</f>
        <v>0.29646800266212325</v>
      </c>
    </row>
    <row r="102" spans="1:12" s="292" customFormat="1" ht="15.2" hidden="1" customHeight="1" x14ac:dyDescent="0.2">
      <c r="A102" s="226">
        <v>4</v>
      </c>
      <c r="B102" s="227">
        <f>'t3'!C6</f>
        <v>-34.875309999999999</v>
      </c>
      <c r="C102" s="227">
        <f>'t3'!D6</f>
        <v>-35.747420000000005</v>
      </c>
      <c r="D102" s="227">
        <f>'t3'!E6</f>
        <v>-35.083539999999999</v>
      </c>
      <c r="E102" s="227">
        <f>'t3'!F6</f>
        <v>-35.71875</v>
      </c>
      <c r="F102" s="227">
        <f>'t3'!G6</f>
        <v>-35.308260000000004</v>
      </c>
      <c r="G102" s="227">
        <f>'t3'!H6</f>
        <v>-35.793350000000004</v>
      </c>
      <c r="H102" s="227">
        <f>'t3'!I6</f>
        <v>-35.499009999999998</v>
      </c>
      <c r="I102" s="227">
        <f>'t3'!J6</f>
        <v>-35.346850000000003</v>
      </c>
      <c r="J102" s="227">
        <f>'t3'!K6</f>
        <v>-35.596599999999995</v>
      </c>
      <c r="K102" s="227">
        <f>'t3'!L6</f>
        <v>-35.441010000000006</v>
      </c>
      <c r="L102" s="227">
        <f>'t3'!M6</f>
        <v>0.29758888091534086</v>
      </c>
    </row>
    <row r="103" spans="1:12" s="292" customFormat="1" ht="15.2" hidden="1" customHeight="1" x14ac:dyDescent="0.2">
      <c r="A103" s="226">
        <v>5</v>
      </c>
      <c r="B103" s="227">
        <f>'t3'!C7</f>
        <v>-34.875500000000002</v>
      </c>
      <c r="C103" s="227">
        <f>'t3'!D7</f>
        <v>-35.753339999999994</v>
      </c>
      <c r="D103" s="227">
        <f>'t3'!E7</f>
        <v>-35.090209999999999</v>
      </c>
      <c r="E103" s="227">
        <f>'t3'!F7</f>
        <v>-35.725390000000004</v>
      </c>
      <c r="F103" s="227">
        <f>'t3'!G7</f>
        <v>-35.324629999999999</v>
      </c>
      <c r="G103" s="227">
        <f>'t3'!H7</f>
        <v>-35.799930000000003</v>
      </c>
      <c r="H103" s="227">
        <f>'t3'!I7</f>
        <v>-35.513109999999998</v>
      </c>
      <c r="I103" s="227">
        <f>'t3'!J7</f>
        <v>-35.359650000000002</v>
      </c>
      <c r="J103" s="227">
        <f>'t3'!K7</f>
        <v>-35.602630000000005</v>
      </c>
      <c r="K103" s="227">
        <f>'t3'!L7</f>
        <v>-35.449376666666666</v>
      </c>
      <c r="L103" s="227">
        <f>'t3'!M7</f>
        <v>0.29832140724765671</v>
      </c>
    </row>
    <row r="104" spans="1:12" s="292" customFormat="1" ht="15.2" hidden="1" customHeight="1" x14ac:dyDescent="0.2">
      <c r="A104" s="226">
        <v>6</v>
      </c>
      <c r="B104" s="227">
        <f>'t3'!C8</f>
        <v>-34.872969999999995</v>
      </c>
      <c r="C104" s="227">
        <f>'t3'!D8</f>
        <v>-35.748230000000007</v>
      </c>
      <c r="D104" s="227">
        <f>'t3'!E8</f>
        <v>-35.094290000000001</v>
      </c>
      <c r="E104" s="227">
        <f>'t3'!F8</f>
        <v>-35.72833</v>
      </c>
      <c r="F104" s="227">
        <f>'t3'!G8</f>
        <v>-35.317899999999995</v>
      </c>
      <c r="G104" s="227">
        <f>'t3'!H8</f>
        <v>-35.796099999999996</v>
      </c>
      <c r="H104" s="227">
        <f>'t3'!I8</f>
        <v>-35.508219999999994</v>
      </c>
      <c r="I104" s="227">
        <f>'t3'!J8</f>
        <v>-35.358670000000004</v>
      </c>
      <c r="J104" s="227">
        <f>'t3'!K8</f>
        <v>-35.599930000000001</v>
      </c>
      <c r="K104" s="227">
        <f>'t3'!L8</f>
        <v>-35.447182222222217</v>
      </c>
      <c r="L104" s="227">
        <f>'t3'!M8</f>
        <v>0.29763434877856448</v>
      </c>
    </row>
    <row r="105" spans="1:12" s="292" customFormat="1" ht="15.2" hidden="1" customHeight="1" x14ac:dyDescent="0.2">
      <c r="A105" s="226">
        <v>7</v>
      </c>
      <c r="B105" s="227">
        <f>'t3'!C9</f>
        <v>-34.880629999999996</v>
      </c>
      <c r="C105" s="227">
        <f>'t3'!D9</f>
        <v>-35.75027</v>
      </c>
      <c r="D105" s="227">
        <f>'t3'!E9</f>
        <v>-35.090040000000002</v>
      </c>
      <c r="E105" s="227">
        <f>'t3'!F9</f>
        <v>-35.725890000000007</v>
      </c>
      <c r="F105" s="227">
        <f>'t3'!G9</f>
        <v>-35.309539999999998</v>
      </c>
      <c r="G105" s="227">
        <f>'t3'!H9</f>
        <v>-35.793670000000006</v>
      </c>
      <c r="H105" s="227">
        <f>'t3'!I9</f>
        <v>-35.499709999999993</v>
      </c>
      <c r="I105" s="227">
        <f>'t3'!J9</f>
        <v>-35.357529999999997</v>
      </c>
      <c r="J105" s="227">
        <f>'t3'!K9</f>
        <v>-35.59778</v>
      </c>
      <c r="K105" s="227">
        <f>'t3'!L9</f>
        <v>-35.445006666666671</v>
      </c>
      <c r="L105" s="227">
        <f>'t3'!M9</f>
        <v>0.29636785644420782</v>
      </c>
    </row>
    <row r="106" spans="1:12" s="292" customFormat="1" ht="15.2" hidden="1" customHeight="1" x14ac:dyDescent="0.2">
      <c r="A106" s="226">
        <v>8</v>
      </c>
      <c r="B106" s="227">
        <f>'t3'!C10</f>
        <v>-34.881209999999996</v>
      </c>
      <c r="C106" s="227">
        <f>'t3'!D10</f>
        <v>-35.742109999999997</v>
      </c>
      <c r="D106" s="227">
        <f>'t3'!E10</f>
        <v>-35.091120000000004</v>
      </c>
      <c r="E106" s="227">
        <f>'t3'!F10</f>
        <v>-35.724689999999995</v>
      </c>
      <c r="F106" s="227">
        <f>'t3'!G10</f>
        <v>-35.303880000000007</v>
      </c>
      <c r="G106" s="227">
        <f>'t3'!H10</f>
        <v>-35.792879999999997</v>
      </c>
      <c r="H106" s="227">
        <f>'t3'!I10</f>
        <v>-35.493120000000005</v>
      </c>
      <c r="I106" s="227">
        <f>'t3'!J10</f>
        <v>-35.352710000000002</v>
      </c>
      <c r="J106" s="227">
        <f>'t3'!K10</f>
        <v>-35.598600000000005</v>
      </c>
      <c r="K106" s="227">
        <f>'t3'!L10</f>
        <v>-35.442257777777776</v>
      </c>
      <c r="L106" s="227">
        <f>'t3'!M10</f>
        <v>0.29531239127321701</v>
      </c>
    </row>
    <row r="107" spans="1:12" s="292" customFormat="1" ht="15.2" hidden="1" customHeight="1" x14ac:dyDescent="0.2">
      <c r="A107" s="226">
        <v>9</v>
      </c>
      <c r="B107" s="227">
        <f>'t3'!C11</f>
        <v>-34.883170000000007</v>
      </c>
      <c r="C107" s="227">
        <f>'t3'!D11</f>
        <v>-35.735399999999998</v>
      </c>
      <c r="D107" s="227">
        <f>'t3'!E11</f>
        <v>-35.089370000000002</v>
      </c>
      <c r="E107" s="227">
        <f>'t3'!F11</f>
        <v>-35.721270000000004</v>
      </c>
      <c r="F107" s="227">
        <f>'t3'!G11</f>
        <v>-35.306079999999994</v>
      </c>
      <c r="G107" s="227">
        <f>'t3'!H11</f>
        <v>-35.794970000000006</v>
      </c>
      <c r="H107" s="227">
        <f>'t3'!I11</f>
        <v>-35.499409999999997</v>
      </c>
      <c r="I107" s="227">
        <f>'t3'!J11</f>
        <v>-35.350239999999999</v>
      </c>
      <c r="J107" s="227">
        <f>'t3'!K11</f>
        <v>-35.595500000000001</v>
      </c>
      <c r="K107" s="227">
        <f>'t3'!L11</f>
        <v>-35.441712222222222</v>
      </c>
      <c r="L107" s="227">
        <f>'t3'!M11</f>
        <v>0.29421336859790753</v>
      </c>
    </row>
    <row r="108" spans="1:12" s="292" customFormat="1" ht="15.2" hidden="1" customHeight="1" x14ac:dyDescent="0.2">
      <c r="A108" s="226">
        <v>10</v>
      </c>
      <c r="B108" s="227">
        <f>'t3'!C12</f>
        <v>-34.869870000000006</v>
      </c>
      <c r="C108" s="227">
        <f>'t3'!D12</f>
        <v>-35.725390000000004</v>
      </c>
      <c r="D108" s="227">
        <f>'t3'!E12</f>
        <v>-35.088610000000003</v>
      </c>
      <c r="E108" s="227">
        <f>'t3'!F12</f>
        <v>-35.708789999999993</v>
      </c>
      <c r="F108" s="227">
        <f>'t3'!G12</f>
        <v>-35.289779999999993</v>
      </c>
      <c r="G108" s="227">
        <f>'t3'!H12</f>
        <v>-35.771259999999998</v>
      </c>
      <c r="H108" s="227">
        <f>'t3'!I12</f>
        <v>-35.480099999999993</v>
      </c>
      <c r="I108" s="227">
        <f>'t3'!J12</f>
        <v>-35.341139999999996</v>
      </c>
      <c r="J108" s="227">
        <f>'t3'!K12</f>
        <v>-35.5822</v>
      </c>
      <c r="K108" s="227">
        <f>'t3'!L12</f>
        <v>-35.428571111111104</v>
      </c>
      <c r="L108" s="227">
        <f>'t3'!M12</f>
        <v>0.29153701409538607</v>
      </c>
    </row>
    <row r="109" spans="1:12" s="292" customFormat="1" ht="15.2" hidden="1" customHeight="1" x14ac:dyDescent="0.2">
      <c r="A109" s="226">
        <v>11</v>
      </c>
      <c r="B109" s="227">
        <f>'t3'!C13</f>
        <v>-34.853650000000002</v>
      </c>
      <c r="C109" s="227">
        <f>'t3'!D13</f>
        <v>-35.721969999999999</v>
      </c>
      <c r="D109" s="227">
        <f>'t3'!E13</f>
        <v>-35.076719999999995</v>
      </c>
      <c r="E109" s="227">
        <f>'t3'!F13</f>
        <v>-35.69708</v>
      </c>
      <c r="F109" s="227">
        <f>'t3'!G13</f>
        <v>-35.282030000000006</v>
      </c>
      <c r="G109" s="227">
        <f>'t3'!H13</f>
        <v>-35.764470000000003</v>
      </c>
      <c r="H109" s="227">
        <f>'t3'!I13</f>
        <v>-35.481859999999998</v>
      </c>
      <c r="I109" s="227">
        <f>'t3'!J13</f>
        <v>-35.332819999999998</v>
      </c>
      <c r="J109" s="227">
        <f>'t3'!K13</f>
        <v>-35.579679999999996</v>
      </c>
      <c r="K109" s="227">
        <f>'t3'!L13</f>
        <v>-35.421142222222223</v>
      </c>
      <c r="L109" s="227">
        <f>'t3'!M13</f>
        <v>0.29461103591676707</v>
      </c>
    </row>
    <row r="110" spans="1:12" s="292" customFormat="1" ht="15.2" hidden="1" customHeight="1" x14ac:dyDescent="0.2">
      <c r="A110" s="226">
        <v>12</v>
      </c>
      <c r="B110" s="227">
        <f>'t3'!C14</f>
        <v>-34.856020000000001</v>
      </c>
      <c r="C110" s="227">
        <f>'t3'!D14</f>
        <v>-35.725719999999995</v>
      </c>
      <c r="D110" s="227">
        <f>'t3'!E14</f>
        <v>-35.071719999999999</v>
      </c>
      <c r="E110" s="227">
        <f>'t3'!F14</f>
        <v>-35.697450000000003</v>
      </c>
      <c r="F110" s="227">
        <f>'t3'!G14</f>
        <v>-35.288219999999995</v>
      </c>
      <c r="G110" s="227">
        <f>'t3'!H14</f>
        <v>-35.76764</v>
      </c>
      <c r="H110" s="227">
        <f>'t3'!I14</f>
        <v>-35.47739</v>
      </c>
      <c r="I110" s="227">
        <f>'t3'!J14</f>
        <v>-35.335300000000004</v>
      </c>
      <c r="J110" s="227">
        <f>'t3'!K14</f>
        <v>-35.58417</v>
      </c>
      <c r="K110" s="227">
        <f>'t3'!L14</f>
        <v>-35.422625555555555</v>
      </c>
      <c r="L110" s="227">
        <f>'t3'!M14</f>
        <v>0.29540793016178335</v>
      </c>
    </row>
    <row r="111" spans="1:12" s="292" customFormat="1" ht="15.2" hidden="1" customHeight="1" x14ac:dyDescent="0.2">
      <c r="A111" s="226">
        <v>13</v>
      </c>
      <c r="B111" s="227">
        <f>'t3'!C15</f>
        <v>-34.861509999999996</v>
      </c>
      <c r="C111" s="227">
        <f>'t3'!D15</f>
        <v>-35.717950000000002</v>
      </c>
      <c r="D111" s="227">
        <f>'t3'!E15</f>
        <v>-35.077650000000006</v>
      </c>
      <c r="E111" s="227">
        <f>'t3'!F15</f>
        <v>-35.704980000000006</v>
      </c>
      <c r="F111" s="227">
        <f>'t3'!G15</f>
        <v>-35.297210000000007</v>
      </c>
      <c r="G111" s="227">
        <f>'t3'!H15</f>
        <v>-35.773520000000005</v>
      </c>
      <c r="H111" s="227">
        <f>'t3'!I15</f>
        <v>-35.493570000000005</v>
      </c>
      <c r="I111" s="227">
        <f>'t3'!J15</f>
        <v>-35.337980000000002</v>
      </c>
      <c r="J111" s="227">
        <f>'t3'!K15</f>
        <v>-35.581909999999993</v>
      </c>
      <c r="K111" s="227">
        <f>'t3'!L15</f>
        <v>-35.42736444444445</v>
      </c>
      <c r="L111" s="227">
        <f>'t3'!M15</f>
        <v>0.29382964414818247</v>
      </c>
    </row>
    <row r="112" spans="1:12" s="292" customFormat="1" ht="15.2" hidden="1" customHeight="1" x14ac:dyDescent="0.2">
      <c r="A112" s="226">
        <v>14</v>
      </c>
      <c r="B112" s="227">
        <f>'t3'!C16</f>
        <v>-34.844769999999997</v>
      </c>
      <c r="C112" s="227">
        <f>'t3'!D16</f>
        <v>-35.706680000000006</v>
      </c>
      <c r="D112" s="227">
        <f>'t3'!E16</f>
        <v>-35.072299999999998</v>
      </c>
      <c r="E112" s="227">
        <f>'t3'!F16</f>
        <v>-35.698930000000004</v>
      </c>
      <c r="F112" s="227">
        <f>'t3'!G16</f>
        <v>-35.276060000000001</v>
      </c>
      <c r="G112" s="227">
        <f>'t3'!H16</f>
        <v>-35.760120000000001</v>
      </c>
      <c r="H112" s="227">
        <f>'t3'!I16</f>
        <v>-35.482100000000003</v>
      </c>
      <c r="I112" s="227">
        <f>'t3'!J16</f>
        <v>-35.32544</v>
      </c>
      <c r="J112" s="227">
        <f>'t3'!K16</f>
        <v>-35.570300000000003</v>
      </c>
      <c r="K112" s="227">
        <f>'t3'!L16</f>
        <v>-35.415188888888892</v>
      </c>
      <c r="L112" s="227">
        <f>'t3'!M16</f>
        <v>0.29502397655650153</v>
      </c>
    </row>
    <row r="113" spans="1:12" s="292" customFormat="1" ht="15.2" hidden="1" customHeight="1" x14ac:dyDescent="0.2">
      <c r="A113" s="226">
        <v>15</v>
      </c>
      <c r="B113" s="227">
        <f>'t3'!C17</f>
        <v>-34.853210000000004</v>
      </c>
      <c r="C113" s="227">
        <f>'t3'!D17</f>
        <v>-35.717770000000002</v>
      </c>
      <c r="D113" s="227">
        <f>'t3'!E17</f>
        <v>-35.06523</v>
      </c>
      <c r="E113" s="227">
        <f>'t3'!F17</f>
        <v>-35.686580000000006</v>
      </c>
      <c r="F113" s="227">
        <f>'t3'!G17</f>
        <v>-35.273759999999996</v>
      </c>
      <c r="G113" s="227">
        <f>'t3'!H17</f>
        <v>-35.759249999999994</v>
      </c>
      <c r="H113" s="227">
        <f>'t3'!I17</f>
        <v>-35.478300000000004</v>
      </c>
      <c r="I113" s="227">
        <f>'t3'!J17</f>
        <v>-35.328379999999996</v>
      </c>
      <c r="J113" s="227">
        <f>'t3'!K17</f>
        <v>-35.573589999999996</v>
      </c>
      <c r="K113" s="227">
        <f>'t3'!L17</f>
        <v>-35.415118888888884</v>
      </c>
      <c r="L113" s="227">
        <f>'t3'!M17</f>
        <v>0.29410689698529796</v>
      </c>
    </row>
    <row r="114" spans="1:12" s="292" customFormat="1" ht="15.2" hidden="1" customHeight="1" x14ac:dyDescent="0.2">
      <c r="A114" s="226">
        <v>16</v>
      </c>
      <c r="B114" s="227">
        <f>'t3'!C18</f>
        <v>-34.860110000000006</v>
      </c>
      <c r="C114" s="227">
        <f>'t3'!D18</f>
        <v>-35.714479999999995</v>
      </c>
      <c r="D114" s="227">
        <f>'t3'!E18</f>
        <v>-35.075270000000003</v>
      </c>
      <c r="E114" s="227">
        <f>'t3'!F18</f>
        <v>-35.695139999999995</v>
      </c>
      <c r="F114" s="227">
        <f>'t3'!G18</f>
        <v>-35.292919999999995</v>
      </c>
      <c r="G114" s="227">
        <f>'t3'!H18</f>
        <v>-35.768829999999994</v>
      </c>
      <c r="H114" s="227">
        <f>'t3'!I18</f>
        <v>-35.479709999999997</v>
      </c>
      <c r="I114" s="227">
        <f>'t3'!J18</f>
        <v>-35.333789999999993</v>
      </c>
      <c r="J114" s="227">
        <f>'t3'!K18</f>
        <v>-35.577560000000005</v>
      </c>
      <c r="K114" s="227">
        <f>'t3'!L18</f>
        <v>-35.421978888888887</v>
      </c>
      <c r="L114" s="227">
        <f>'t3'!M18</f>
        <v>0.29218622830290075</v>
      </c>
    </row>
    <row r="115" spans="1:12" s="292" customFormat="1" ht="15.2" hidden="1" customHeight="1" x14ac:dyDescent="0.2">
      <c r="A115" s="226">
        <v>17</v>
      </c>
      <c r="B115" s="227">
        <f>'t3'!C19</f>
        <v>-34.862030000000004</v>
      </c>
      <c r="C115" s="227">
        <f>'t3'!D19</f>
        <v>-35.709209999999999</v>
      </c>
      <c r="D115" s="227">
        <f>'t3'!E19</f>
        <v>-35.071309999999997</v>
      </c>
      <c r="E115" s="227">
        <f>'t3'!F19</f>
        <v>-35.693619999999996</v>
      </c>
      <c r="F115" s="227">
        <f>'t3'!G19</f>
        <v>-35.284930000000003</v>
      </c>
      <c r="G115" s="227">
        <f>'t3'!H19</f>
        <v>-35.762590000000003</v>
      </c>
      <c r="H115" s="227">
        <f>'t3'!I19</f>
        <v>-35.470209999999994</v>
      </c>
      <c r="I115" s="227">
        <f>'t3'!J19</f>
        <v>-35.330290000000005</v>
      </c>
      <c r="J115" s="227">
        <f>'t3'!K19</f>
        <v>-35.572220000000002</v>
      </c>
      <c r="K115" s="227">
        <f>'t3'!L19</f>
        <v>-35.417378888888891</v>
      </c>
      <c r="L115" s="227">
        <f>'t3'!M19</f>
        <v>0.29073000133550475</v>
      </c>
    </row>
    <row r="116" spans="1:12" s="292" customFormat="1" ht="15.2" hidden="1" customHeight="1" x14ac:dyDescent="0.2">
      <c r="A116" s="226">
        <v>18</v>
      </c>
      <c r="B116" s="227">
        <f>'t3'!C20</f>
        <v>-34.867199999999997</v>
      </c>
      <c r="C116" s="227">
        <f>'t3'!D20</f>
        <v>-35.715710000000001</v>
      </c>
      <c r="D116" s="227">
        <f>'t3'!E20</f>
        <v>-35.072109999999995</v>
      </c>
      <c r="E116" s="227">
        <f>'t3'!F20</f>
        <v>-35.696179999999998</v>
      </c>
      <c r="F116" s="227">
        <f>'t3'!G20</f>
        <v>-35.286869999999993</v>
      </c>
      <c r="G116" s="227">
        <f>'t3'!H20</f>
        <v>-35.766970000000001</v>
      </c>
      <c r="H116" s="227">
        <f>'t3'!I20</f>
        <v>-35.487049999999996</v>
      </c>
      <c r="I116" s="227">
        <f>'t3'!J20</f>
        <v>-35.338610000000003</v>
      </c>
      <c r="J116" s="227">
        <f>'t3'!K20</f>
        <v>-35.578810000000004</v>
      </c>
      <c r="K116" s="227">
        <f>'t3'!L20</f>
        <v>-35.423278888888895</v>
      </c>
      <c r="L116" s="227">
        <f>'t3'!M20</f>
        <v>0.2914886613172874</v>
      </c>
    </row>
    <row r="117" spans="1:12" s="292" customFormat="1" ht="15.2" hidden="1" customHeight="1" x14ac:dyDescent="0.2">
      <c r="A117" s="226">
        <v>19</v>
      </c>
      <c r="B117" s="227">
        <f>'t3'!C21</f>
        <v>-34.885850000000005</v>
      </c>
      <c r="C117" s="227">
        <f>'t3'!D21</f>
        <v>-35.731260000000006</v>
      </c>
      <c r="D117" s="227">
        <f>'t3'!E21</f>
        <v>-35.077309999999997</v>
      </c>
      <c r="E117" s="227">
        <f>'t3'!F21</f>
        <v>-35.702100000000002</v>
      </c>
      <c r="F117" s="227">
        <f>'t3'!G21</f>
        <v>-35.288650000000004</v>
      </c>
      <c r="G117" s="227">
        <f>'t3'!H21</f>
        <v>-35.769779999999997</v>
      </c>
      <c r="H117" s="227">
        <f>'t3'!I21</f>
        <v>-35.496600000000001</v>
      </c>
      <c r="I117" s="227">
        <f>'t3'!J21</f>
        <v>-35.343770000000006</v>
      </c>
      <c r="J117" s="227">
        <f>'t3'!K21</f>
        <v>-35.586929999999995</v>
      </c>
      <c r="K117" s="227">
        <f>'t3'!L21</f>
        <v>-35.431361111111116</v>
      </c>
      <c r="L117" s="227">
        <f>'t3'!M21</f>
        <v>0.2900569391015963</v>
      </c>
    </row>
    <row r="118" spans="1:12" s="292" customFormat="1" ht="15.2" hidden="1" customHeight="1" x14ac:dyDescent="0.2">
      <c r="A118" s="226">
        <v>20</v>
      </c>
      <c r="B118" s="227">
        <f>'t3'!C22</f>
        <v>-34.900530000000003</v>
      </c>
      <c r="C118" s="227">
        <f>'t3'!D22</f>
        <v>-35.739360000000005</v>
      </c>
      <c r="D118" s="227">
        <f>'t3'!E22</f>
        <v>-35.090500000000006</v>
      </c>
      <c r="E118" s="227">
        <f>'t3'!F22</f>
        <v>-35.716679999999997</v>
      </c>
      <c r="F118" s="227">
        <f>'t3'!G22</f>
        <v>-35.308890000000005</v>
      </c>
      <c r="G118" s="227">
        <f>'t3'!H22</f>
        <v>-35.787199999999999</v>
      </c>
      <c r="H118" s="227">
        <f>'t3'!I22</f>
        <v>-35.514009999999999</v>
      </c>
      <c r="I118" s="227">
        <f>'t3'!J22</f>
        <v>-35.351500000000001</v>
      </c>
      <c r="J118" s="227">
        <f>'t3'!K22</f>
        <v>-35.597520000000003</v>
      </c>
      <c r="K118" s="227">
        <f>'t3'!L22</f>
        <v>-35.445132222222213</v>
      </c>
      <c r="L118" s="227">
        <f>'t3'!M22</f>
        <v>0.28962988990847288</v>
      </c>
    </row>
    <row r="119" spans="1:12" s="292" customFormat="1" ht="15.2" hidden="1" customHeight="1" x14ac:dyDescent="0.2">
      <c r="A119" s="226">
        <v>21</v>
      </c>
      <c r="B119" s="227">
        <f>'t3'!C23</f>
        <v>-34.90558</v>
      </c>
      <c r="C119" s="227">
        <f>'t3'!D23</f>
        <v>-35.737260000000006</v>
      </c>
      <c r="D119" s="227">
        <f>'t3'!E23</f>
        <v>-35.098370000000003</v>
      </c>
      <c r="E119" s="227">
        <f>'t3'!F23</f>
        <v>-35.719130000000007</v>
      </c>
      <c r="F119" s="227">
        <f>'t3'!G23</f>
        <v>-35.310760000000002</v>
      </c>
      <c r="G119" s="227">
        <f>'t3'!H23</f>
        <v>-35.788979999999995</v>
      </c>
      <c r="H119" s="227">
        <f>'t3'!I23</f>
        <v>-35.519670000000005</v>
      </c>
      <c r="I119" s="227">
        <f>'t3'!J23</f>
        <v>-35.353989999999996</v>
      </c>
      <c r="J119" s="227">
        <f>'t3'!K23</f>
        <v>-35.59939</v>
      </c>
      <c r="K119" s="227">
        <f>'t3'!L23</f>
        <v>-35.448125555555556</v>
      </c>
      <c r="L119" s="227">
        <f>'t3'!M23</f>
        <v>0.28783460818521472</v>
      </c>
    </row>
    <row r="120" spans="1:12" s="292" customFormat="1" ht="15.2" hidden="1" customHeight="1" x14ac:dyDescent="0.2">
      <c r="A120" s="226">
        <v>22</v>
      </c>
      <c r="B120" s="227">
        <f>'t3'!C24</f>
        <v>-34.885409999999993</v>
      </c>
      <c r="C120" s="227">
        <f>'t3'!D24</f>
        <v>-35.717709999999997</v>
      </c>
      <c r="D120" s="227">
        <f>'t3'!E24</f>
        <v>-35.096329999999995</v>
      </c>
      <c r="E120" s="227">
        <f>'t3'!F24</f>
        <v>-35.714519999999993</v>
      </c>
      <c r="F120" s="227">
        <f>'t3'!G24</f>
        <v>-35.296539999999993</v>
      </c>
      <c r="G120" s="227">
        <f>'t3'!H24</f>
        <v>-35.777479999999997</v>
      </c>
      <c r="H120" s="227">
        <f>'t3'!I24</f>
        <v>-35.491579999999999</v>
      </c>
      <c r="I120" s="227">
        <f>'t3'!J24</f>
        <v>-35.341719999999995</v>
      </c>
      <c r="J120" s="227">
        <f>'t3'!K24</f>
        <v>-35.587569999999999</v>
      </c>
      <c r="K120" s="227">
        <f>'t3'!L24</f>
        <v>-35.434317777777778</v>
      </c>
      <c r="L120" s="227">
        <f>'t3'!M24</f>
        <v>0.28798968043925949</v>
      </c>
    </row>
    <row r="121" spans="1:12" s="292" customFormat="1" ht="15.2" hidden="1" customHeight="1" x14ac:dyDescent="0.2">
      <c r="A121" s="226">
        <v>23</v>
      </c>
      <c r="B121" s="227">
        <f>'t3'!C25</f>
        <v>-34.868480000000005</v>
      </c>
      <c r="C121" s="227">
        <f>'t3'!D25</f>
        <v>-35.699539999999999</v>
      </c>
      <c r="D121" s="227">
        <f>'t3'!E25</f>
        <v>-35.082260000000005</v>
      </c>
      <c r="E121" s="227">
        <f>'t3'!F25</f>
        <v>-35.700530000000001</v>
      </c>
      <c r="F121" s="227">
        <f>'t3'!G25</f>
        <v>-35.271699999999996</v>
      </c>
      <c r="G121" s="227">
        <f>'t3'!H25</f>
        <v>-35.754909999999995</v>
      </c>
      <c r="H121" s="227">
        <f>'t3'!I25</f>
        <v>-35.476849999999999</v>
      </c>
      <c r="I121" s="227">
        <f>'t3'!J25</f>
        <v>-35.328969999999998</v>
      </c>
      <c r="J121" s="227">
        <f>'t3'!K25</f>
        <v>-35.573359999999994</v>
      </c>
      <c r="K121" s="227">
        <f>'t3'!L25</f>
        <v>-35.417400000000008</v>
      </c>
      <c r="L121" s="227">
        <f>'t3'!M25</f>
        <v>0.28755999211758443</v>
      </c>
    </row>
    <row r="122" spans="1:12" s="292" customFormat="1" ht="15.2" hidden="1" customHeight="1" x14ac:dyDescent="0.2">
      <c r="A122" s="226">
        <v>24</v>
      </c>
      <c r="B122" s="227">
        <f>'t3'!C26</f>
        <v>-34.858699999999999</v>
      </c>
      <c r="C122" s="227">
        <f>'t3'!D26</f>
        <v>-35.692490000000006</v>
      </c>
      <c r="D122" s="227">
        <f>'t3'!E26</f>
        <v>-35.065430000000006</v>
      </c>
      <c r="E122" s="227">
        <f>'t3'!F26</f>
        <v>-35.682400000000001</v>
      </c>
      <c r="F122" s="227">
        <f>'t3'!G26</f>
        <v>-35.251649999999998</v>
      </c>
      <c r="G122" s="227">
        <f>'t3'!H26</f>
        <v>-35.738039999999998</v>
      </c>
      <c r="H122" s="227">
        <f>'t3'!I26</f>
        <v>-35.465360000000004</v>
      </c>
      <c r="I122" s="227">
        <f>'t3'!J26</f>
        <v>-35.312939999999998</v>
      </c>
      <c r="J122" s="227">
        <f>'t3'!K26</f>
        <v>-35.562929999999994</v>
      </c>
      <c r="K122" s="227">
        <f>'t3'!L26</f>
        <v>-35.403326666666672</v>
      </c>
      <c r="L122" s="227">
        <f>'t3'!M26</f>
        <v>0.28767644958258998</v>
      </c>
    </row>
    <row r="123" spans="1:12" s="292" customFormat="1" ht="15.2" hidden="1" customHeight="1" x14ac:dyDescent="0.2">
      <c r="A123" s="226">
        <v>25</v>
      </c>
      <c r="B123" s="227">
        <f>'t3'!C27</f>
        <v>-34.866789999999995</v>
      </c>
      <c r="C123" s="227">
        <f>'t3'!D27</f>
        <v>-35.710710000000006</v>
      </c>
      <c r="D123" s="227">
        <f>'t3'!E27</f>
        <v>-35.058700000000002</v>
      </c>
      <c r="E123" s="227">
        <f>'t3'!F27</f>
        <v>-35.682159999999996</v>
      </c>
      <c r="F123" s="227">
        <f>'t3'!G27</f>
        <v>-35.266570000000002</v>
      </c>
      <c r="G123" s="227">
        <f>'t3'!H27</f>
        <v>-35.748900000000006</v>
      </c>
      <c r="H123" s="227">
        <f>'t3'!I27</f>
        <v>-35.47148</v>
      </c>
      <c r="I123" s="227">
        <f>'t3'!J27</f>
        <v>-35.323130000000006</v>
      </c>
      <c r="J123" s="227">
        <f>'t3'!K27</f>
        <v>-35.571899999999999</v>
      </c>
      <c r="K123" s="227">
        <f>'t3'!L27</f>
        <v>-35.411148888888889</v>
      </c>
      <c r="L123" s="227">
        <f>'t3'!M27</f>
        <v>0.28981558436911364</v>
      </c>
    </row>
    <row r="124" spans="1:12" s="292" customFormat="1" ht="15.2" hidden="1" customHeight="1" x14ac:dyDescent="0.2">
      <c r="A124" s="226">
        <v>26</v>
      </c>
      <c r="B124" s="227">
        <f>'t3'!C28</f>
        <v>-34.873500000000007</v>
      </c>
      <c r="C124" s="227">
        <f>'t3'!D28</f>
        <v>-35.73151</v>
      </c>
      <c r="D124" s="227">
        <f>'t3'!E28</f>
        <v>-35.072599999999994</v>
      </c>
      <c r="E124" s="227">
        <f>'t3'!F28</f>
        <v>-35.69932</v>
      </c>
      <c r="F124" s="227">
        <f>'t3'!G28</f>
        <v>-35.290080000000003</v>
      </c>
      <c r="G124" s="227">
        <f>'t3'!H28</f>
        <v>-35.769779999999997</v>
      </c>
      <c r="H124" s="227">
        <f>'t3'!I28</f>
        <v>-35.487899999999996</v>
      </c>
      <c r="I124" s="227">
        <f>'t3'!J28</f>
        <v>-35.339219999999997</v>
      </c>
      <c r="J124" s="227">
        <f>'t3'!K28</f>
        <v>-35.581940000000003</v>
      </c>
      <c r="K124" s="227">
        <f>'t3'!L28</f>
        <v>-35.42731666666667</v>
      </c>
      <c r="L124" s="227">
        <f>'t3'!M28</f>
        <v>0.29259585073385108</v>
      </c>
    </row>
    <row r="125" spans="1:12" s="292" customFormat="1" ht="15.2" hidden="1" customHeight="1" x14ac:dyDescent="0.2">
      <c r="A125" s="226">
        <v>27</v>
      </c>
      <c r="B125" s="227">
        <f>'t3'!C29</f>
        <v>-34.891180000000006</v>
      </c>
      <c r="C125" s="227">
        <f>'t3'!D29</f>
        <v>-35.739660000000001</v>
      </c>
      <c r="D125" s="227">
        <f>'t3'!E29</f>
        <v>-35.083280000000002</v>
      </c>
      <c r="E125" s="227">
        <f>'t3'!F29</f>
        <v>-35.713440000000006</v>
      </c>
      <c r="F125" s="227">
        <f>'t3'!G29</f>
        <v>-35.306550000000001</v>
      </c>
      <c r="G125" s="227">
        <f>'t3'!H29</f>
        <v>-35.78313</v>
      </c>
      <c r="H125" s="227">
        <f>'t3'!I29</f>
        <v>-35.502880000000005</v>
      </c>
      <c r="I125" s="227">
        <f>'t3'!J29</f>
        <v>-35.349000000000004</v>
      </c>
      <c r="J125" s="227">
        <f>'t3'!K29</f>
        <v>-35.589489999999998</v>
      </c>
      <c r="K125" s="227">
        <f>'t3'!L29</f>
        <v>-35.439845555555564</v>
      </c>
      <c r="L125" s="227">
        <f>'t3'!M29</f>
        <v>0.29119431069347201</v>
      </c>
    </row>
    <row r="126" spans="1:12" s="292" customFormat="1" ht="15.2" hidden="1" customHeight="1" x14ac:dyDescent="0.2">
      <c r="A126" s="226">
        <v>28</v>
      </c>
      <c r="B126" s="227">
        <f>'t3'!C30</f>
        <v>-34.895510000000002</v>
      </c>
      <c r="C126" s="227">
        <f>'t3'!D30</f>
        <v>-35.731030000000004</v>
      </c>
      <c r="D126" s="227">
        <f>'t3'!E30</f>
        <v>-35.088610000000003</v>
      </c>
      <c r="E126" s="227">
        <f>'t3'!F30</f>
        <v>-35.716769999999997</v>
      </c>
      <c r="F126" s="227">
        <f>'t3'!G30</f>
        <v>-35.304839999999999</v>
      </c>
      <c r="G126" s="227">
        <f>'t3'!H30</f>
        <v>-35.782560000000004</v>
      </c>
      <c r="H126" s="227">
        <f>'t3'!I30</f>
        <v>-35.495180000000005</v>
      </c>
      <c r="I126" s="227">
        <f>'t3'!J30</f>
        <v>-35.346350000000001</v>
      </c>
      <c r="J126" s="227">
        <f>'t3'!K30</f>
        <v>-35.586100000000002</v>
      </c>
      <c r="K126" s="227">
        <f>'t3'!L30</f>
        <v>-35.438549999999999</v>
      </c>
      <c r="L126" s="227">
        <f>'t3'!M30</f>
        <v>0.28867540548743226</v>
      </c>
    </row>
    <row r="127" spans="1:12" s="292" customFormat="1" ht="15.2" hidden="1" customHeight="1" x14ac:dyDescent="0.2">
      <c r="A127" s="226">
        <v>29</v>
      </c>
      <c r="B127" s="227">
        <f>'t3'!C31</f>
        <v>-34.905010000000004</v>
      </c>
      <c r="C127" s="227">
        <f>'t3'!D31</f>
        <v>-35.73433</v>
      </c>
      <c r="D127" s="227">
        <f>'t3'!E31</f>
        <v>-35.090410000000006</v>
      </c>
      <c r="E127" s="227">
        <f>'t3'!F31</f>
        <v>-35.712050000000005</v>
      </c>
      <c r="F127" s="227">
        <f>'t3'!G31</f>
        <v>-35.296310000000005</v>
      </c>
      <c r="G127" s="227">
        <f>'t3'!H31</f>
        <v>-35.776409999999998</v>
      </c>
      <c r="H127" s="227">
        <f>'t3'!I31</f>
        <v>-35.496380000000002</v>
      </c>
      <c r="I127" s="227">
        <f>'t3'!J31</f>
        <v>-35.343980000000002</v>
      </c>
      <c r="J127" s="227">
        <f>'t3'!K31</f>
        <v>-35.583039999999997</v>
      </c>
      <c r="K127" s="227">
        <f>'t3'!L31</f>
        <v>-35.437546666666663</v>
      </c>
      <c r="L127" s="227">
        <f>'t3'!M31</f>
        <v>0.285908326527537</v>
      </c>
    </row>
    <row r="128" spans="1:12" s="292" customFormat="1" ht="15.2" hidden="1" customHeight="1" x14ac:dyDescent="0.2">
      <c r="A128" s="226">
        <v>30</v>
      </c>
      <c r="B128" s="227">
        <f>'t3'!C32</f>
        <v>-34.896820000000005</v>
      </c>
      <c r="C128" s="227">
        <f>'t3'!D32</f>
        <v>-35.721850000000003</v>
      </c>
      <c r="D128" s="227">
        <f>'t3'!E32</f>
        <v>-35.095510000000004</v>
      </c>
      <c r="E128" s="227">
        <f>'t3'!F32</f>
        <v>-35.712159999999997</v>
      </c>
      <c r="F128" s="227">
        <f>'t3'!G32</f>
        <v>-35.295400000000001</v>
      </c>
      <c r="G128" s="227">
        <f>'t3'!H32</f>
        <v>-35.774019999999993</v>
      </c>
      <c r="H128" s="227">
        <f>'t3'!I32</f>
        <v>-35.491500000000002</v>
      </c>
      <c r="I128" s="227">
        <f>'t3'!J32</f>
        <v>-35.347369999999998</v>
      </c>
      <c r="J128" s="227">
        <f>'t3'!K32</f>
        <v>-35.579560000000001</v>
      </c>
      <c r="K128" s="227">
        <f>'t3'!L32</f>
        <v>-35.434910000000002</v>
      </c>
      <c r="L128" s="227">
        <f>'t3'!M32</f>
        <v>0.28483587254573028</v>
      </c>
    </row>
    <row r="129" spans="1:15" s="292" customFormat="1" ht="15.2" hidden="1" customHeight="1" x14ac:dyDescent="0.35">
      <c r="A129" s="228" t="s">
        <v>40</v>
      </c>
      <c r="B129" s="227">
        <f>'t3'!C33</f>
        <v>-34.874226666666665</v>
      </c>
      <c r="C129" s="227">
        <f>'t3'!D33</f>
        <v>-35.727652999999997</v>
      </c>
      <c r="D129" s="227">
        <f>'t3'!E33</f>
        <v>-35.083056666666678</v>
      </c>
      <c r="E129" s="227">
        <f>'t3'!F33</f>
        <v>-35.709283000000006</v>
      </c>
      <c r="F129" s="227">
        <f>'t3'!G33</f>
        <v>-35.29475333333334</v>
      </c>
      <c r="G129" s="227">
        <f>'t3'!H33</f>
        <v>-35.776009666666667</v>
      </c>
      <c r="H129" s="227">
        <f>'t3'!I33</f>
        <v>-35.490697666666662</v>
      </c>
      <c r="I129" s="227">
        <f>'t3'!J33</f>
        <v>-35.342177333333339</v>
      </c>
      <c r="J129" s="227">
        <f>'t3'!K33</f>
        <v>-35.585693666666657</v>
      </c>
      <c r="K129" s="137"/>
      <c r="L129" s="137"/>
    </row>
    <row r="130" spans="1:15" s="292" customFormat="1" ht="15" hidden="1" customHeight="1" x14ac:dyDescent="0.35">
      <c r="A130" s="228" t="s">
        <v>39</v>
      </c>
      <c r="B130" s="227">
        <f>'t3'!C34</f>
        <v>1.5860574040333721E-2</v>
      </c>
      <c r="C130" s="227">
        <f>'t3'!D34</f>
        <v>1.5170173180729328E-2</v>
      </c>
      <c r="D130" s="227">
        <f>'t3'!E34</f>
        <v>1.1131499250126643E-2</v>
      </c>
      <c r="E130" s="227">
        <f>'t3'!F34</f>
        <v>1.4553187543169914E-2</v>
      </c>
      <c r="F130" s="227">
        <f>'t3'!G34</f>
        <v>1.6305740366168459E-2</v>
      </c>
      <c r="G130" s="227">
        <f>'t3'!H34</f>
        <v>1.5348389379852499E-2</v>
      </c>
      <c r="H130" s="227">
        <f>'t3'!I34</f>
        <v>1.3215685045514E-2</v>
      </c>
      <c r="I130" s="227">
        <f>'t3'!J34</f>
        <v>1.1730107681612444E-2</v>
      </c>
      <c r="J130" s="227">
        <f>'t3'!K34</f>
        <v>1.0379625068160073E-2</v>
      </c>
      <c r="K130" s="294"/>
      <c r="L130" s="294"/>
      <c r="N130" s="157"/>
      <c r="O130" s="157"/>
    </row>
    <row r="131" spans="1:15" s="292" customFormat="1" ht="15.2" hidden="1" customHeight="1" x14ac:dyDescent="0.35">
      <c r="A131" s="228" t="s">
        <v>52</v>
      </c>
      <c r="B131" s="227">
        <f>'t3'!C35</f>
        <v>2.9456666666668241E-2</v>
      </c>
      <c r="C131" s="227">
        <f>'t3'!D35</f>
        <v>3.5162999999990063E-2</v>
      </c>
      <c r="D131" s="227">
        <f>'t3'!E35</f>
        <v>2.4356666666676574E-2</v>
      </c>
      <c r="E131" s="227">
        <f>'t3'!F35</f>
        <v>2.7123000000010222E-2</v>
      </c>
      <c r="F131" s="227">
        <f>'t3'!G35</f>
        <v>4.3103333333341709E-2</v>
      </c>
      <c r="G131" s="227">
        <f>'t3'!H35</f>
        <v>3.79696666666689E-2</v>
      </c>
      <c r="H131" s="227">
        <f>'t3'!I35</f>
        <v>2.5337666666658265E-2</v>
      </c>
      <c r="I131" s="227">
        <f>'t3'!J35</f>
        <v>2.9237333333341553E-2</v>
      </c>
      <c r="J131" s="227">
        <f>'t3'!K35</f>
        <v>2.276366666666263E-2</v>
      </c>
      <c r="K131" s="416"/>
      <c r="L131" s="416"/>
    </row>
    <row r="132" spans="1:15" s="292" customFormat="1" ht="15.2" hidden="1" customHeight="1" x14ac:dyDescent="0.35">
      <c r="A132" s="228" t="s">
        <v>51</v>
      </c>
      <c r="B132" s="227">
        <f>'t3'!C36</f>
        <v>3.1353333333335343E-2</v>
      </c>
      <c r="C132" s="227">
        <f>'t3'!D36</f>
        <v>2.5686999999997795E-2</v>
      </c>
      <c r="D132" s="227">
        <f>'t3'!E36</f>
        <v>2.2153333333321257E-2</v>
      </c>
      <c r="E132" s="227">
        <f>'t3'!F36</f>
        <v>3.3746999999998195E-2</v>
      </c>
      <c r="F132" s="227">
        <f>'t3'!G36</f>
        <v>2.9876666666659446E-2</v>
      </c>
      <c r="G132" s="227">
        <f>'t3'!H36</f>
        <v>2.4490333333332615E-2</v>
      </c>
      <c r="H132" s="227">
        <f>'t3'!I36</f>
        <v>2.8972333333342704E-2</v>
      </c>
      <c r="I132" s="227">
        <f>'t3'!J36</f>
        <v>2.2282666666654904E-2</v>
      </c>
      <c r="J132" s="227">
        <f>'t3'!K36</f>
        <v>1.6936333333347875E-2</v>
      </c>
      <c r="K132" s="416"/>
      <c r="L132" s="416"/>
    </row>
    <row r="133" spans="1:15" s="292" customFormat="1" ht="15" hidden="1" customHeight="1" x14ac:dyDescent="0.35">
      <c r="A133" s="229" t="s">
        <v>44</v>
      </c>
      <c r="B133" s="227">
        <f>'t3'!C37</f>
        <v>3.0405000000001792E-2</v>
      </c>
      <c r="C133" s="227">
        <f>'t3'!D37</f>
        <v>3.0424999999993929E-2</v>
      </c>
      <c r="D133" s="227">
        <f>'t3'!E37</f>
        <v>2.3254999999998915E-2</v>
      </c>
      <c r="E133" s="227">
        <f>'t3'!F37</f>
        <v>3.0435000000004209E-2</v>
      </c>
      <c r="F133" s="227">
        <f>'t3'!G37</f>
        <v>3.6490000000000578E-2</v>
      </c>
      <c r="G133" s="227">
        <f>'t3'!H37</f>
        <v>3.1230000000000757E-2</v>
      </c>
      <c r="H133" s="227">
        <f>'t3'!I37</f>
        <v>2.7155000000000484E-2</v>
      </c>
      <c r="I133" s="227">
        <f>'t3'!J37</f>
        <v>2.5759999999998229E-2</v>
      </c>
      <c r="J133" s="227">
        <f>'t3'!K37</f>
        <v>1.9850000000005252E-2</v>
      </c>
      <c r="K133" s="416"/>
      <c r="L133" s="416"/>
    </row>
    <row r="134" spans="1:15" s="292" customFormat="1" ht="15.2" hidden="1" customHeight="1" x14ac:dyDescent="0.35">
      <c r="A134" s="230" t="s">
        <v>43</v>
      </c>
      <c r="B134" s="227">
        <f>'t3'!C38</f>
        <v>0.42052666666667449</v>
      </c>
      <c r="C134" s="227">
        <f>'t3'!D38</f>
        <v>-0.43289966666665691</v>
      </c>
      <c r="D134" s="227">
        <f>'t3'!E38</f>
        <v>0.21169666666666132</v>
      </c>
      <c r="E134" s="227">
        <f>'t3'!F38</f>
        <v>-0.41452966666666669</v>
      </c>
      <c r="F134" s="227">
        <f>'t3'!G38</f>
        <v>0</v>
      </c>
      <c r="G134" s="227">
        <f>'t3'!H38</f>
        <v>-0.48125633333332729</v>
      </c>
      <c r="H134" s="227">
        <f>'t3'!I38</f>
        <v>-0.19594433333332262</v>
      </c>
      <c r="I134" s="227">
        <f>'t3'!J38</f>
        <v>-4.7423999999999467E-2</v>
      </c>
      <c r="J134" s="227">
        <f>'t3'!K38</f>
        <v>-0.29094033333331737</v>
      </c>
      <c r="K134" s="139"/>
      <c r="L134" s="139"/>
    </row>
    <row r="135" spans="1:15" s="292" customFormat="1" ht="15.2" hidden="1" customHeight="1" x14ac:dyDescent="0.35">
      <c r="A135" s="231" t="s">
        <v>95</v>
      </c>
      <c r="B135" s="232">
        <f>'t3'!C40</f>
        <v>-35.431505666666652</v>
      </c>
      <c r="C135" s="139"/>
      <c r="D135" s="139"/>
      <c r="E135" s="139"/>
      <c r="F135" s="139"/>
      <c r="G135" s="139"/>
      <c r="H135" s="139"/>
      <c r="I135" s="139"/>
      <c r="J135" s="139"/>
      <c r="K135" s="139"/>
      <c r="L135" s="139"/>
    </row>
    <row r="136" spans="1:15" s="292" customFormat="1" ht="15.2" hidden="1" customHeight="1" x14ac:dyDescent="0.35">
      <c r="A136" s="233" t="s">
        <v>47</v>
      </c>
      <c r="B136" s="232">
        <f>'t3'!C41</f>
        <v>-0.43150566666665213</v>
      </c>
      <c r="C136" s="139"/>
      <c r="D136" s="139"/>
      <c r="E136" s="139"/>
      <c r="F136" s="139"/>
      <c r="G136" s="139"/>
      <c r="H136" s="139"/>
      <c r="I136" s="139"/>
      <c r="J136" s="139"/>
      <c r="K136" s="139"/>
      <c r="L136" s="139"/>
    </row>
    <row r="137" spans="1:15" s="292" customFormat="1" ht="15.2" hidden="1" customHeight="1" x14ac:dyDescent="0.35">
      <c r="A137" s="298" t="s">
        <v>259</v>
      </c>
      <c r="B137" s="234">
        <f>'t3'!C46</f>
        <v>0.29273049864533746</v>
      </c>
      <c r="C137" s="139"/>
      <c r="D137" s="139"/>
      <c r="E137" s="139"/>
      <c r="F137" s="139"/>
      <c r="G137" s="139"/>
      <c r="H137" s="139"/>
      <c r="I137" s="139"/>
      <c r="J137" s="139"/>
      <c r="K137" s="139"/>
      <c r="L137" s="139"/>
    </row>
    <row r="138" spans="1:15" s="292" customFormat="1" ht="15.2" hidden="1" customHeight="1" x14ac:dyDescent="0.35">
      <c r="A138" s="233" t="s">
        <v>48</v>
      </c>
      <c r="B138" s="232">
        <f>'t3'!C42</f>
        <v>0.90178300000000178</v>
      </c>
      <c r="C138" s="139"/>
      <c r="D138" s="139"/>
      <c r="E138" s="139"/>
      <c r="F138" s="139"/>
      <c r="G138" s="139"/>
      <c r="H138" s="139"/>
      <c r="I138" s="139"/>
      <c r="J138" s="139"/>
      <c r="K138" s="139"/>
      <c r="L138" s="139"/>
    </row>
    <row r="139" spans="1:15" s="292" customFormat="1" ht="15.2" hidden="1" customHeight="1" x14ac:dyDescent="0.35">
      <c r="A139" s="241" t="s">
        <v>49</v>
      </c>
      <c r="B139" s="240">
        <f>'t3'!C43</f>
        <v>0.42052666666667449</v>
      </c>
      <c r="C139" s="140"/>
      <c r="D139" s="139"/>
      <c r="E139" s="139"/>
      <c r="F139" s="139"/>
      <c r="G139" s="139"/>
      <c r="H139" s="139"/>
      <c r="I139" s="139"/>
      <c r="J139" s="139"/>
      <c r="K139" s="139"/>
      <c r="L139" s="139"/>
    </row>
    <row r="140" spans="1:15" s="292" customFormat="1" hidden="1" x14ac:dyDescent="0.2">
      <c r="A140" s="242"/>
      <c r="B140" s="240">
        <f>'t3'!C44</f>
        <v>-0.48125633333332729</v>
      </c>
      <c r="C140" s="139"/>
      <c r="D140" s="139"/>
      <c r="E140" s="139"/>
      <c r="F140" s="139"/>
      <c r="G140" s="139"/>
      <c r="H140" s="139"/>
      <c r="I140" s="139"/>
      <c r="J140" s="139"/>
      <c r="K140" s="139"/>
      <c r="L140" s="139"/>
    </row>
    <row r="141" spans="1:15" s="292" customFormat="1" ht="18.75" hidden="1" x14ac:dyDescent="0.35">
      <c r="A141" s="242" t="s">
        <v>50</v>
      </c>
      <c r="B141" s="232">
        <f>'t3'!C45</f>
        <v>2.8333888888889349E-2</v>
      </c>
    </row>
    <row r="142" spans="1:15" s="292" customFormat="1" ht="33" hidden="1" customHeight="1" x14ac:dyDescent="0.2">
      <c r="A142" s="417" t="s">
        <v>376</v>
      </c>
      <c r="B142" s="417"/>
      <c r="C142" s="417"/>
      <c r="D142" s="417"/>
      <c r="E142" s="417"/>
      <c r="F142" s="417"/>
      <c r="G142" s="417"/>
      <c r="H142" s="417"/>
      <c r="I142" s="417"/>
      <c r="J142" s="417"/>
      <c r="K142" s="417"/>
      <c r="L142" s="417"/>
    </row>
    <row r="143" spans="1:15" s="292" customFormat="1" ht="25.5" hidden="1" customHeight="1" thickBot="1" x14ac:dyDescent="0.25">
      <c r="A143" s="418" t="str">
        <f>"Тзад =  "&amp;'t4'!C39&amp;" °С"</f>
        <v>Тзад =  -15 °С</v>
      </c>
      <c r="B143" s="418"/>
      <c r="C143" s="418"/>
      <c r="D143" s="418"/>
      <c r="E143" s="418"/>
      <c r="F143" s="418"/>
      <c r="G143" s="418"/>
      <c r="H143" s="418"/>
      <c r="I143" s="418"/>
      <c r="J143" s="418"/>
      <c r="K143" s="418"/>
      <c r="L143" s="418"/>
    </row>
    <row r="144" spans="1:15" s="292" customFormat="1" ht="29.25" hidden="1" thickBot="1" x14ac:dyDescent="0.25">
      <c r="A144" s="239" t="s">
        <v>89</v>
      </c>
      <c r="B144" s="419" t="s">
        <v>94</v>
      </c>
      <c r="C144" s="419"/>
      <c r="D144" s="419"/>
      <c r="E144" s="419"/>
      <c r="F144" s="419"/>
      <c r="G144" s="419"/>
      <c r="H144" s="419"/>
      <c r="I144" s="419"/>
      <c r="J144" s="419"/>
      <c r="K144" s="420" t="s">
        <v>91</v>
      </c>
      <c r="L144" s="420"/>
    </row>
    <row r="145" spans="1:12" s="292" customFormat="1" ht="15.2" hidden="1" customHeight="1" x14ac:dyDescent="0.2">
      <c r="A145" s="236"/>
      <c r="B145" s="235">
        <v>1</v>
      </c>
      <c r="C145" s="235">
        <v>2</v>
      </c>
      <c r="D145" s="235">
        <v>3</v>
      </c>
      <c r="E145" s="235">
        <v>4</v>
      </c>
      <c r="F145" s="235">
        <v>5</v>
      </c>
      <c r="G145" s="235">
        <v>6</v>
      </c>
      <c r="H145" s="235">
        <v>7</v>
      </c>
      <c r="I145" s="235">
        <v>8</v>
      </c>
      <c r="J145" s="235">
        <v>9</v>
      </c>
      <c r="K145" s="237" t="s">
        <v>92</v>
      </c>
      <c r="L145" s="238" t="s">
        <v>93</v>
      </c>
    </row>
    <row r="146" spans="1:12" s="292" customFormat="1" ht="15.2" hidden="1" customHeight="1" x14ac:dyDescent="0.2">
      <c r="A146" s="226">
        <v>1</v>
      </c>
      <c r="B146" s="227">
        <f>'t4'!C3</f>
        <v>-14.86842</v>
      </c>
      <c r="C146" s="227">
        <f>'t4'!D3</f>
        <v>-15.746399999999994</v>
      </c>
      <c r="D146" s="227">
        <f>'t4'!E3</f>
        <v>-15.10521</v>
      </c>
      <c r="E146" s="227">
        <f>'t4'!F3</f>
        <v>-15.743030000000005</v>
      </c>
      <c r="F146" s="227">
        <f>'t4'!G3</f>
        <v>-15.322199999999995</v>
      </c>
      <c r="G146" s="227">
        <f>'t4'!H3</f>
        <v>-15.8005</v>
      </c>
      <c r="H146" s="227">
        <f>'t4'!I3</f>
        <v>-15.500879999999995</v>
      </c>
      <c r="I146" s="227">
        <f>'t4'!J3</f>
        <v>-15.364459999999994</v>
      </c>
      <c r="J146" s="227">
        <f>'t4'!K3</f>
        <v>-15.597840000000005</v>
      </c>
      <c r="K146" s="227">
        <f>'t4'!L3</f>
        <v>-15.449882222222222</v>
      </c>
      <c r="L146" s="227">
        <f>'t4'!M3</f>
        <v>0.29847398512276063</v>
      </c>
    </row>
    <row r="147" spans="1:12" s="292" customFormat="1" ht="15.2" hidden="1" customHeight="1" x14ac:dyDescent="0.2">
      <c r="A147" s="226">
        <v>2</v>
      </c>
      <c r="B147" s="227">
        <f>'t4'!C4</f>
        <v>-14.860690000000005</v>
      </c>
      <c r="C147" s="227">
        <f>'t4'!D4</f>
        <v>-15.72927</v>
      </c>
      <c r="D147" s="227">
        <f>'t4'!E4</f>
        <v>-15.09572</v>
      </c>
      <c r="E147" s="227">
        <f>'t4'!F4</f>
        <v>-15.727279999999993</v>
      </c>
      <c r="F147" s="227">
        <f>'t4'!G4</f>
        <v>-15.300110000000004</v>
      </c>
      <c r="G147" s="227">
        <f>'t4'!H4</f>
        <v>-15.782669999999996</v>
      </c>
      <c r="H147" s="227">
        <f>'t4'!I4</f>
        <v>-15.486540000000005</v>
      </c>
      <c r="I147" s="227">
        <f>'t4'!J4</f>
        <v>-15.348920000000007</v>
      </c>
      <c r="J147" s="227">
        <f>'t4'!K4</f>
        <v>-15.589550000000003</v>
      </c>
      <c r="K147" s="227">
        <f>'t4'!L4</f>
        <v>-15.435638888888889</v>
      </c>
      <c r="L147" s="227">
        <f>'t4'!M4</f>
        <v>0.2962700032982068</v>
      </c>
    </row>
    <row r="148" spans="1:12" s="292" customFormat="1" ht="15.2" hidden="1" customHeight="1" x14ac:dyDescent="0.2">
      <c r="A148" s="226">
        <v>3</v>
      </c>
      <c r="B148" s="227">
        <f>'t4'!C5</f>
        <v>-14.867170000000002</v>
      </c>
      <c r="C148" s="227">
        <f>'t4'!D5</f>
        <v>-15.735560000000007</v>
      </c>
      <c r="D148" s="227">
        <f>'t4'!E5</f>
        <v>-15.081969999999998</v>
      </c>
      <c r="E148" s="227">
        <f>'t4'!F5</f>
        <v>-15.713849999999994</v>
      </c>
      <c r="F148" s="227">
        <f>'t4'!G5</f>
        <v>-15.290279999999996</v>
      </c>
      <c r="G148" s="227">
        <f>'t4'!H5</f>
        <v>-15.780379999999994</v>
      </c>
      <c r="H148" s="227">
        <f>'t4'!I5</f>
        <v>-15.481250000000003</v>
      </c>
      <c r="I148" s="227">
        <f>'t4'!J5</f>
        <v>-15.340599999999995</v>
      </c>
      <c r="J148" s="227">
        <f>'t4'!K5</f>
        <v>-15.592209999999994</v>
      </c>
      <c r="K148" s="227">
        <f>'t4'!L5</f>
        <v>-15.431474444444442</v>
      </c>
      <c r="L148" s="227">
        <f>'t4'!M5</f>
        <v>0.29646800266212325</v>
      </c>
    </row>
    <row r="149" spans="1:12" s="292" customFormat="1" ht="15.2" hidden="1" customHeight="1" x14ac:dyDescent="0.2">
      <c r="A149" s="226">
        <v>4</v>
      </c>
      <c r="B149" s="227">
        <f>'t4'!C6</f>
        <v>-14.875309999999999</v>
      </c>
      <c r="C149" s="227">
        <f>'t4'!D6</f>
        <v>-15.747420000000005</v>
      </c>
      <c r="D149" s="227">
        <f>'t4'!E6</f>
        <v>-15.083539999999999</v>
      </c>
      <c r="E149" s="227">
        <f>'t4'!F6</f>
        <v>-15.71875</v>
      </c>
      <c r="F149" s="227">
        <f>'t4'!G6</f>
        <v>-15.308260000000004</v>
      </c>
      <c r="G149" s="227">
        <f>'t4'!H6</f>
        <v>-15.793350000000004</v>
      </c>
      <c r="H149" s="227">
        <f>'t4'!I6</f>
        <v>-15.499009999999998</v>
      </c>
      <c r="I149" s="227">
        <f>'t4'!J6</f>
        <v>-15.346850000000003</v>
      </c>
      <c r="J149" s="227">
        <f>'t4'!K6</f>
        <v>-15.596599999999995</v>
      </c>
      <c r="K149" s="227">
        <f>'t4'!L6</f>
        <v>-15.441009999999999</v>
      </c>
      <c r="L149" s="227">
        <f>'t4'!M6</f>
        <v>0.29758888091534086</v>
      </c>
    </row>
    <row r="150" spans="1:12" s="292" customFormat="1" ht="15.2" hidden="1" customHeight="1" x14ac:dyDescent="0.2">
      <c r="A150" s="226">
        <v>5</v>
      </c>
      <c r="B150" s="227">
        <f>'t4'!C7</f>
        <v>-14.875500000000002</v>
      </c>
      <c r="C150" s="227">
        <f>'t4'!D7</f>
        <v>-15.753339999999994</v>
      </c>
      <c r="D150" s="227">
        <f>'t4'!E7</f>
        <v>-15.090209999999999</v>
      </c>
      <c r="E150" s="227">
        <f>'t4'!F7</f>
        <v>-15.725390000000004</v>
      </c>
      <c r="F150" s="227">
        <f>'t4'!G7</f>
        <v>-15.324629999999999</v>
      </c>
      <c r="G150" s="227">
        <f>'t4'!H7</f>
        <v>-15.799930000000003</v>
      </c>
      <c r="H150" s="227">
        <f>'t4'!I7</f>
        <v>-15.513109999999998</v>
      </c>
      <c r="I150" s="227">
        <f>'t4'!J7</f>
        <v>-15.359650000000002</v>
      </c>
      <c r="J150" s="227">
        <f>'t4'!K7</f>
        <v>-15.602630000000005</v>
      </c>
      <c r="K150" s="227">
        <f>'t4'!L7</f>
        <v>-15.449376666666669</v>
      </c>
      <c r="L150" s="227">
        <f>'t4'!M7</f>
        <v>0.29832140724765671</v>
      </c>
    </row>
    <row r="151" spans="1:12" s="292" customFormat="1" ht="15.2" hidden="1" customHeight="1" x14ac:dyDescent="0.2">
      <c r="A151" s="226">
        <v>6</v>
      </c>
      <c r="B151" s="227">
        <f>'t4'!C8</f>
        <v>-14.872969999999995</v>
      </c>
      <c r="C151" s="227">
        <f>'t4'!D8</f>
        <v>-15.748230000000007</v>
      </c>
      <c r="D151" s="227">
        <f>'t4'!E8</f>
        <v>-15.094290000000001</v>
      </c>
      <c r="E151" s="227">
        <f>'t4'!F8</f>
        <v>-15.72833</v>
      </c>
      <c r="F151" s="227">
        <f>'t4'!G8</f>
        <v>-15.317899999999995</v>
      </c>
      <c r="G151" s="227">
        <f>'t4'!H8</f>
        <v>-15.796099999999996</v>
      </c>
      <c r="H151" s="227">
        <f>'t4'!I8</f>
        <v>-15.508219999999994</v>
      </c>
      <c r="I151" s="227">
        <f>'t4'!J8</f>
        <v>-15.358670000000004</v>
      </c>
      <c r="J151" s="227">
        <f>'t4'!K8</f>
        <v>-15.599930000000001</v>
      </c>
      <c r="K151" s="227">
        <f>'t4'!L8</f>
        <v>-15.447182222222219</v>
      </c>
      <c r="L151" s="227">
        <f>'t4'!M8</f>
        <v>0.29763434877856448</v>
      </c>
    </row>
    <row r="152" spans="1:12" s="292" customFormat="1" ht="15.2" hidden="1" customHeight="1" x14ac:dyDescent="0.2">
      <c r="A152" s="226">
        <v>7</v>
      </c>
      <c r="B152" s="227">
        <f>'t4'!C9</f>
        <v>-14.880629999999996</v>
      </c>
      <c r="C152" s="227">
        <f>'t4'!D9</f>
        <v>-15.75027</v>
      </c>
      <c r="D152" s="227">
        <f>'t4'!E9</f>
        <v>-15.090040000000002</v>
      </c>
      <c r="E152" s="227">
        <f>'t4'!F9</f>
        <v>-15.725890000000007</v>
      </c>
      <c r="F152" s="227">
        <f>'t4'!G9</f>
        <v>-15.309539999999998</v>
      </c>
      <c r="G152" s="227">
        <f>'t4'!H9</f>
        <v>-15.793670000000006</v>
      </c>
      <c r="H152" s="227">
        <f>'t4'!I9</f>
        <v>-15.499709999999993</v>
      </c>
      <c r="I152" s="227">
        <f>'t4'!J9</f>
        <v>-15.357529999999997</v>
      </c>
      <c r="J152" s="227">
        <f>'t4'!K9</f>
        <v>-15.59778</v>
      </c>
      <c r="K152" s="227">
        <f>'t4'!L9</f>
        <v>-15.445006666666668</v>
      </c>
      <c r="L152" s="227">
        <f>'t4'!M9</f>
        <v>0.29636785644420782</v>
      </c>
    </row>
    <row r="153" spans="1:12" s="292" customFormat="1" ht="15.2" hidden="1" customHeight="1" x14ac:dyDescent="0.2">
      <c r="A153" s="226">
        <v>8</v>
      </c>
      <c r="B153" s="227">
        <f>'t4'!C10</f>
        <v>-14.881209999999996</v>
      </c>
      <c r="C153" s="227">
        <f>'t4'!D10</f>
        <v>-15.742109999999997</v>
      </c>
      <c r="D153" s="227">
        <f>'t4'!E10</f>
        <v>-15.091120000000004</v>
      </c>
      <c r="E153" s="227">
        <f>'t4'!F10</f>
        <v>-15.724689999999995</v>
      </c>
      <c r="F153" s="227">
        <f>'t4'!G10</f>
        <v>-15.303880000000007</v>
      </c>
      <c r="G153" s="227">
        <f>'t4'!H10</f>
        <v>-15.792879999999997</v>
      </c>
      <c r="H153" s="227">
        <f>'t4'!I10</f>
        <v>-15.493120000000005</v>
      </c>
      <c r="I153" s="227">
        <f>'t4'!J10</f>
        <v>-15.352710000000002</v>
      </c>
      <c r="J153" s="227">
        <f>'t4'!K10</f>
        <v>-15.598600000000005</v>
      </c>
      <c r="K153" s="227">
        <f>'t4'!L10</f>
        <v>-15.442257777777778</v>
      </c>
      <c r="L153" s="227">
        <f>'t4'!M10</f>
        <v>0.29531239127321701</v>
      </c>
    </row>
    <row r="154" spans="1:12" s="292" customFormat="1" ht="15.2" hidden="1" customHeight="1" x14ac:dyDescent="0.2">
      <c r="A154" s="226">
        <v>9</v>
      </c>
      <c r="B154" s="227">
        <f>'t4'!C11</f>
        <v>-14.883170000000007</v>
      </c>
      <c r="C154" s="227">
        <f>'t4'!D11</f>
        <v>-15.735399999999998</v>
      </c>
      <c r="D154" s="227">
        <f>'t4'!E11</f>
        <v>-15.089370000000002</v>
      </c>
      <c r="E154" s="227">
        <f>'t4'!F11</f>
        <v>-15.721270000000004</v>
      </c>
      <c r="F154" s="227">
        <f>'t4'!G11</f>
        <v>-15.306079999999994</v>
      </c>
      <c r="G154" s="227">
        <f>'t4'!H11</f>
        <v>-15.794970000000006</v>
      </c>
      <c r="H154" s="227">
        <f>'t4'!I11</f>
        <v>-15.499409999999997</v>
      </c>
      <c r="I154" s="227">
        <f>'t4'!J11</f>
        <v>-15.350239999999999</v>
      </c>
      <c r="J154" s="227">
        <f>'t4'!K11</f>
        <v>-15.595500000000001</v>
      </c>
      <c r="K154" s="227">
        <f>'t4'!L11</f>
        <v>-15.441712222222224</v>
      </c>
      <c r="L154" s="227">
        <f>'t4'!M11</f>
        <v>0.29421336859790753</v>
      </c>
    </row>
    <row r="155" spans="1:12" s="292" customFormat="1" ht="15.2" hidden="1" customHeight="1" x14ac:dyDescent="0.2">
      <c r="A155" s="226">
        <v>10</v>
      </c>
      <c r="B155" s="227">
        <f>'t4'!C12</f>
        <v>-14.869870000000006</v>
      </c>
      <c r="C155" s="227">
        <f>'t4'!D12</f>
        <v>-15.725390000000004</v>
      </c>
      <c r="D155" s="227">
        <f>'t4'!E12</f>
        <v>-15.088610000000003</v>
      </c>
      <c r="E155" s="227">
        <f>'t4'!F12</f>
        <v>-15.708789999999993</v>
      </c>
      <c r="F155" s="227">
        <f>'t4'!G12</f>
        <v>-15.289779999999993</v>
      </c>
      <c r="G155" s="227">
        <f>'t4'!H12</f>
        <v>-15.771259999999998</v>
      </c>
      <c r="H155" s="227">
        <f>'t4'!I12</f>
        <v>-15.480099999999993</v>
      </c>
      <c r="I155" s="227">
        <f>'t4'!J12</f>
        <v>-15.341139999999996</v>
      </c>
      <c r="J155" s="227">
        <f>'t4'!K12</f>
        <v>-15.5822</v>
      </c>
      <c r="K155" s="227">
        <f>'t4'!L12</f>
        <v>-15.428571111111109</v>
      </c>
      <c r="L155" s="227">
        <f>'t4'!M12</f>
        <v>0.29153701409538607</v>
      </c>
    </row>
    <row r="156" spans="1:12" s="292" customFormat="1" ht="15.2" hidden="1" customHeight="1" x14ac:dyDescent="0.2">
      <c r="A156" s="226">
        <v>11</v>
      </c>
      <c r="B156" s="227">
        <f>'t4'!C13</f>
        <v>-14.853650000000002</v>
      </c>
      <c r="C156" s="227">
        <f>'t4'!D13</f>
        <v>-15.721969999999999</v>
      </c>
      <c r="D156" s="227">
        <f>'t4'!E13</f>
        <v>-15.076719999999995</v>
      </c>
      <c r="E156" s="227">
        <f>'t4'!F13</f>
        <v>-15.69708</v>
      </c>
      <c r="F156" s="227">
        <f>'t4'!G13</f>
        <v>-15.282030000000006</v>
      </c>
      <c r="G156" s="227">
        <f>'t4'!H13</f>
        <v>-15.764470000000003</v>
      </c>
      <c r="H156" s="227">
        <f>'t4'!I13</f>
        <v>-15.481859999999998</v>
      </c>
      <c r="I156" s="227">
        <f>'t4'!J13</f>
        <v>-15.332819999999998</v>
      </c>
      <c r="J156" s="227">
        <f>'t4'!K13</f>
        <v>-15.579679999999996</v>
      </c>
      <c r="K156" s="227">
        <f>'t4'!L13</f>
        <v>-15.421142222222223</v>
      </c>
      <c r="L156" s="227">
        <f>'t4'!M13</f>
        <v>0.29461103591676707</v>
      </c>
    </row>
    <row r="157" spans="1:12" s="292" customFormat="1" ht="15.2" hidden="1" customHeight="1" x14ac:dyDescent="0.2">
      <c r="A157" s="226">
        <v>12</v>
      </c>
      <c r="B157" s="227">
        <f>'t4'!C14</f>
        <v>-14.856020000000001</v>
      </c>
      <c r="C157" s="227">
        <f>'t4'!D14</f>
        <v>-15.725719999999995</v>
      </c>
      <c r="D157" s="227">
        <f>'t4'!E14</f>
        <v>-15.071719999999999</v>
      </c>
      <c r="E157" s="227">
        <f>'t4'!F14</f>
        <v>-15.697450000000003</v>
      </c>
      <c r="F157" s="227">
        <f>'t4'!G14</f>
        <v>-15.288219999999995</v>
      </c>
      <c r="G157" s="227">
        <f>'t4'!H14</f>
        <v>-15.76764</v>
      </c>
      <c r="H157" s="227">
        <f>'t4'!I14</f>
        <v>-15.47739</v>
      </c>
      <c r="I157" s="227">
        <f>'t4'!J14</f>
        <v>-15.335300000000004</v>
      </c>
      <c r="J157" s="227">
        <f>'t4'!K14</f>
        <v>-15.58417</v>
      </c>
      <c r="K157" s="227">
        <f>'t4'!L14</f>
        <v>-15.422625555555555</v>
      </c>
      <c r="L157" s="227">
        <f>'t4'!M14</f>
        <v>0.29540793016178335</v>
      </c>
    </row>
    <row r="158" spans="1:12" s="292" customFormat="1" ht="15.2" hidden="1" customHeight="1" x14ac:dyDescent="0.2">
      <c r="A158" s="226">
        <v>13</v>
      </c>
      <c r="B158" s="227">
        <f>'t4'!C15</f>
        <v>-14.861509999999996</v>
      </c>
      <c r="C158" s="227">
        <f>'t4'!D15</f>
        <v>-15.717950000000002</v>
      </c>
      <c r="D158" s="227">
        <f>'t4'!E15</f>
        <v>-15.077650000000006</v>
      </c>
      <c r="E158" s="227">
        <f>'t4'!F15</f>
        <v>-15.704980000000006</v>
      </c>
      <c r="F158" s="227">
        <f>'t4'!G15</f>
        <v>-15.297210000000007</v>
      </c>
      <c r="G158" s="227">
        <f>'t4'!H15</f>
        <v>-15.773520000000005</v>
      </c>
      <c r="H158" s="227">
        <f>'t4'!I15</f>
        <v>-15.493570000000005</v>
      </c>
      <c r="I158" s="227">
        <f>'t4'!J15</f>
        <v>-15.337980000000002</v>
      </c>
      <c r="J158" s="227">
        <f>'t4'!K15</f>
        <v>-15.581909999999993</v>
      </c>
      <c r="K158" s="227">
        <f>'t4'!L15</f>
        <v>-15.427364444444448</v>
      </c>
      <c r="L158" s="227">
        <f>'t4'!M15</f>
        <v>0.29382964414818247</v>
      </c>
    </row>
    <row r="159" spans="1:12" s="292" customFormat="1" ht="15.2" hidden="1" customHeight="1" x14ac:dyDescent="0.2">
      <c r="A159" s="226">
        <v>14</v>
      </c>
      <c r="B159" s="227">
        <f>'t4'!C16</f>
        <v>-14.844769999999997</v>
      </c>
      <c r="C159" s="227">
        <f>'t4'!D16</f>
        <v>-15.706680000000006</v>
      </c>
      <c r="D159" s="227">
        <f>'t4'!E16</f>
        <v>-15.072299999999998</v>
      </c>
      <c r="E159" s="227">
        <f>'t4'!F16</f>
        <v>-15.698930000000004</v>
      </c>
      <c r="F159" s="227">
        <f>'t4'!G16</f>
        <v>-15.276060000000001</v>
      </c>
      <c r="G159" s="227">
        <f>'t4'!H16</f>
        <v>-15.760120000000001</v>
      </c>
      <c r="H159" s="227">
        <f>'t4'!I16</f>
        <v>-15.482100000000003</v>
      </c>
      <c r="I159" s="227">
        <f>'t4'!J16</f>
        <v>-15.32544</v>
      </c>
      <c r="J159" s="227">
        <f>'t4'!K16</f>
        <v>-15.570300000000003</v>
      </c>
      <c r="K159" s="227">
        <f>'t4'!L16</f>
        <v>-15.41518888888889</v>
      </c>
      <c r="L159" s="227">
        <f>'t4'!M16</f>
        <v>0.29502397655650153</v>
      </c>
    </row>
    <row r="160" spans="1:12" s="292" customFormat="1" ht="15.2" hidden="1" customHeight="1" x14ac:dyDescent="0.2">
      <c r="A160" s="226">
        <v>15</v>
      </c>
      <c r="B160" s="227">
        <f>'t4'!C17</f>
        <v>-14.853210000000004</v>
      </c>
      <c r="C160" s="227">
        <f>'t4'!D17</f>
        <v>-15.717770000000002</v>
      </c>
      <c r="D160" s="227">
        <f>'t4'!E17</f>
        <v>-15.06523</v>
      </c>
      <c r="E160" s="227">
        <f>'t4'!F17</f>
        <v>-15.686580000000006</v>
      </c>
      <c r="F160" s="227">
        <f>'t4'!G17</f>
        <v>-15.273759999999996</v>
      </c>
      <c r="G160" s="227">
        <f>'t4'!H17</f>
        <v>-15.759249999999994</v>
      </c>
      <c r="H160" s="227">
        <f>'t4'!I17</f>
        <v>-15.478300000000004</v>
      </c>
      <c r="I160" s="227">
        <f>'t4'!J17</f>
        <v>-15.328379999999996</v>
      </c>
      <c r="J160" s="227">
        <f>'t4'!K17</f>
        <v>-15.573589999999996</v>
      </c>
      <c r="K160" s="227">
        <f>'t4'!L17</f>
        <v>-15.415118888888887</v>
      </c>
      <c r="L160" s="227">
        <f>'t4'!M17</f>
        <v>0.29410689698529796</v>
      </c>
    </row>
    <row r="161" spans="1:12" s="292" customFormat="1" ht="15.2" hidden="1" customHeight="1" x14ac:dyDescent="0.2">
      <c r="A161" s="226">
        <v>16</v>
      </c>
      <c r="B161" s="227">
        <f>'t4'!C18</f>
        <v>-14.860110000000006</v>
      </c>
      <c r="C161" s="227">
        <f>'t4'!D18</f>
        <v>-15.714479999999995</v>
      </c>
      <c r="D161" s="227">
        <f>'t4'!E18</f>
        <v>-15.075270000000003</v>
      </c>
      <c r="E161" s="227">
        <f>'t4'!F18</f>
        <v>-15.695139999999995</v>
      </c>
      <c r="F161" s="227">
        <f>'t4'!G18</f>
        <v>-15.292919999999995</v>
      </c>
      <c r="G161" s="227">
        <f>'t4'!H18</f>
        <v>-15.768829999999994</v>
      </c>
      <c r="H161" s="227">
        <f>'t4'!I18</f>
        <v>-15.479709999999997</v>
      </c>
      <c r="I161" s="227">
        <f>'t4'!J18</f>
        <v>-15.333789999999993</v>
      </c>
      <c r="J161" s="227">
        <f>'t4'!K18</f>
        <v>-15.577560000000005</v>
      </c>
      <c r="K161" s="227">
        <f>'t4'!L18</f>
        <v>-15.421978888888885</v>
      </c>
      <c r="L161" s="227">
        <f>'t4'!M18</f>
        <v>0.29218622830290075</v>
      </c>
    </row>
    <row r="162" spans="1:12" s="292" customFormat="1" ht="15.2" hidden="1" customHeight="1" x14ac:dyDescent="0.2">
      <c r="A162" s="226">
        <v>17</v>
      </c>
      <c r="B162" s="227">
        <f>'t4'!C19</f>
        <v>-14.862030000000004</v>
      </c>
      <c r="C162" s="227">
        <f>'t4'!D19</f>
        <v>-15.709209999999999</v>
      </c>
      <c r="D162" s="227">
        <f>'t4'!E19</f>
        <v>-15.071309999999997</v>
      </c>
      <c r="E162" s="227">
        <f>'t4'!F19</f>
        <v>-15.693619999999996</v>
      </c>
      <c r="F162" s="227">
        <f>'t4'!G19</f>
        <v>-15.284930000000003</v>
      </c>
      <c r="G162" s="227">
        <f>'t4'!H19</f>
        <v>-15.762590000000003</v>
      </c>
      <c r="H162" s="227">
        <f>'t4'!I19</f>
        <v>-15.470209999999994</v>
      </c>
      <c r="I162" s="227">
        <f>'t4'!J19</f>
        <v>-15.330290000000005</v>
      </c>
      <c r="J162" s="227">
        <f>'t4'!K19</f>
        <v>-15.572220000000002</v>
      </c>
      <c r="K162" s="227">
        <f>'t4'!L19</f>
        <v>-15.417378888888891</v>
      </c>
      <c r="L162" s="227">
        <f>'t4'!M19</f>
        <v>0.29073000133550475</v>
      </c>
    </row>
    <row r="163" spans="1:12" s="292" customFormat="1" ht="15.2" hidden="1" customHeight="1" x14ac:dyDescent="0.2">
      <c r="A163" s="226">
        <v>18</v>
      </c>
      <c r="B163" s="227">
        <f>'t4'!C20</f>
        <v>-14.867199999999997</v>
      </c>
      <c r="C163" s="227">
        <f>'t4'!D20</f>
        <v>-15.715710000000001</v>
      </c>
      <c r="D163" s="227">
        <f>'t4'!E20</f>
        <v>-15.072109999999995</v>
      </c>
      <c r="E163" s="227">
        <f>'t4'!F20</f>
        <v>-15.696179999999998</v>
      </c>
      <c r="F163" s="227">
        <f>'t4'!G20</f>
        <v>-15.286869999999993</v>
      </c>
      <c r="G163" s="227">
        <f>'t4'!H20</f>
        <v>-15.766970000000001</v>
      </c>
      <c r="H163" s="227">
        <f>'t4'!I20</f>
        <v>-15.487049999999996</v>
      </c>
      <c r="I163" s="227">
        <f>'t4'!J20</f>
        <v>-15.338610000000003</v>
      </c>
      <c r="J163" s="227">
        <f>'t4'!K20</f>
        <v>-15.578810000000004</v>
      </c>
      <c r="K163" s="227">
        <f>'t4'!L20</f>
        <v>-15.423278888888888</v>
      </c>
      <c r="L163" s="227">
        <f>'t4'!M20</f>
        <v>0.2914886613172874</v>
      </c>
    </row>
    <row r="164" spans="1:12" s="292" customFormat="1" ht="15.2" hidden="1" customHeight="1" x14ac:dyDescent="0.2">
      <c r="A164" s="226">
        <v>19</v>
      </c>
      <c r="B164" s="227">
        <f>'t4'!C21</f>
        <v>-14.885850000000005</v>
      </c>
      <c r="C164" s="227">
        <f>'t4'!D21</f>
        <v>-15.731260000000006</v>
      </c>
      <c r="D164" s="227">
        <f>'t4'!E21</f>
        <v>-15.077309999999997</v>
      </c>
      <c r="E164" s="227">
        <f>'t4'!F21</f>
        <v>-15.702100000000002</v>
      </c>
      <c r="F164" s="227">
        <f>'t4'!G21</f>
        <v>-15.288650000000004</v>
      </c>
      <c r="G164" s="227">
        <f>'t4'!H21</f>
        <v>-15.769779999999997</v>
      </c>
      <c r="H164" s="227">
        <f>'t4'!I21</f>
        <v>-15.496600000000001</v>
      </c>
      <c r="I164" s="227">
        <f>'t4'!J21</f>
        <v>-15.343770000000006</v>
      </c>
      <c r="J164" s="227">
        <f>'t4'!K21</f>
        <v>-15.586929999999995</v>
      </c>
      <c r="K164" s="227">
        <f>'t4'!L21</f>
        <v>-15.43136111111111</v>
      </c>
      <c r="L164" s="227">
        <f>'t4'!M21</f>
        <v>0.29005693910159636</v>
      </c>
    </row>
    <row r="165" spans="1:12" s="292" customFormat="1" ht="15.2" hidden="1" customHeight="1" x14ac:dyDescent="0.2">
      <c r="A165" s="226">
        <v>20</v>
      </c>
      <c r="B165" s="227">
        <f>'t4'!C22</f>
        <v>-14.900530000000003</v>
      </c>
      <c r="C165" s="227">
        <f>'t4'!D22</f>
        <v>-15.739360000000005</v>
      </c>
      <c r="D165" s="227">
        <f>'t4'!E22</f>
        <v>-15.090500000000006</v>
      </c>
      <c r="E165" s="227">
        <f>'t4'!F22</f>
        <v>-15.716679999999997</v>
      </c>
      <c r="F165" s="227">
        <f>'t4'!G22</f>
        <v>-15.308890000000005</v>
      </c>
      <c r="G165" s="227">
        <f>'t4'!H22</f>
        <v>-15.787199999999999</v>
      </c>
      <c r="H165" s="227">
        <f>'t4'!I22</f>
        <v>-15.514009999999999</v>
      </c>
      <c r="I165" s="227">
        <f>'t4'!J22</f>
        <v>-15.351500000000001</v>
      </c>
      <c r="J165" s="227">
        <f>'t4'!K22</f>
        <v>-15.597520000000003</v>
      </c>
      <c r="K165" s="227">
        <f>'t4'!L22</f>
        <v>-15.445132222222222</v>
      </c>
      <c r="L165" s="227">
        <f>'t4'!M22</f>
        <v>0.28962988990847283</v>
      </c>
    </row>
    <row r="166" spans="1:12" s="292" customFormat="1" ht="15.2" hidden="1" customHeight="1" x14ac:dyDescent="0.2">
      <c r="A166" s="226">
        <v>21</v>
      </c>
      <c r="B166" s="227">
        <f>'t4'!C23</f>
        <v>-14.90558</v>
      </c>
      <c r="C166" s="227">
        <f>'t4'!D23</f>
        <v>-15.737260000000006</v>
      </c>
      <c r="D166" s="227">
        <f>'t4'!E23</f>
        <v>-15.098370000000003</v>
      </c>
      <c r="E166" s="227">
        <f>'t4'!F23</f>
        <v>-15.719130000000007</v>
      </c>
      <c r="F166" s="227">
        <f>'t4'!G23</f>
        <v>-15.310760000000002</v>
      </c>
      <c r="G166" s="227">
        <f>'t4'!H23</f>
        <v>-15.788979999999995</v>
      </c>
      <c r="H166" s="227">
        <f>'t4'!I23</f>
        <v>-15.519670000000005</v>
      </c>
      <c r="I166" s="227">
        <f>'t4'!J23</f>
        <v>-15.353989999999996</v>
      </c>
      <c r="J166" s="227">
        <f>'t4'!K23</f>
        <v>-15.59939</v>
      </c>
      <c r="K166" s="227">
        <f>'t4'!L23</f>
        <v>-15.448125555555558</v>
      </c>
      <c r="L166" s="227">
        <f>'t4'!M23</f>
        <v>0.28783460818521472</v>
      </c>
    </row>
    <row r="167" spans="1:12" s="292" customFormat="1" ht="15.2" hidden="1" customHeight="1" x14ac:dyDescent="0.2">
      <c r="A167" s="226">
        <v>22</v>
      </c>
      <c r="B167" s="227">
        <f>'t4'!C24</f>
        <v>-14.885409999999993</v>
      </c>
      <c r="C167" s="227">
        <f>'t4'!D24</f>
        <v>-15.717709999999997</v>
      </c>
      <c r="D167" s="227">
        <f>'t4'!E24</f>
        <v>-15.096329999999995</v>
      </c>
      <c r="E167" s="227">
        <f>'t4'!F24</f>
        <v>-15.714519999999993</v>
      </c>
      <c r="F167" s="227">
        <f>'t4'!G24</f>
        <v>-15.296539999999993</v>
      </c>
      <c r="G167" s="227">
        <f>'t4'!H24</f>
        <v>-15.777479999999997</v>
      </c>
      <c r="H167" s="227">
        <f>'t4'!I24</f>
        <v>-15.491579999999999</v>
      </c>
      <c r="I167" s="227">
        <f>'t4'!J24</f>
        <v>-15.341719999999995</v>
      </c>
      <c r="J167" s="227">
        <f>'t4'!K24</f>
        <v>-15.587569999999999</v>
      </c>
      <c r="K167" s="227">
        <f>'t4'!L24</f>
        <v>-15.434317777777771</v>
      </c>
      <c r="L167" s="227">
        <f>'t4'!M24</f>
        <v>0.28798968043925954</v>
      </c>
    </row>
    <row r="168" spans="1:12" s="292" customFormat="1" ht="15.2" hidden="1" customHeight="1" x14ac:dyDescent="0.2">
      <c r="A168" s="226">
        <v>23</v>
      </c>
      <c r="B168" s="227">
        <f>'t4'!C25</f>
        <v>-14.868480000000005</v>
      </c>
      <c r="C168" s="227">
        <f>'t4'!D25</f>
        <v>-15.699539999999999</v>
      </c>
      <c r="D168" s="227">
        <f>'t4'!E25</f>
        <v>-15.082260000000005</v>
      </c>
      <c r="E168" s="227">
        <f>'t4'!F25</f>
        <v>-15.700530000000001</v>
      </c>
      <c r="F168" s="227">
        <f>'t4'!G25</f>
        <v>-15.271699999999996</v>
      </c>
      <c r="G168" s="227">
        <f>'t4'!H25</f>
        <v>-15.754909999999995</v>
      </c>
      <c r="H168" s="227">
        <f>'t4'!I25</f>
        <v>-15.476849999999999</v>
      </c>
      <c r="I168" s="227">
        <f>'t4'!J25</f>
        <v>-15.328969999999998</v>
      </c>
      <c r="J168" s="227">
        <f>'t4'!K25</f>
        <v>-15.573359999999994</v>
      </c>
      <c r="K168" s="227">
        <f>'t4'!L25</f>
        <v>-15.417399999999999</v>
      </c>
      <c r="L168" s="227">
        <f>'t4'!M25</f>
        <v>0.28755999211758443</v>
      </c>
    </row>
    <row r="169" spans="1:12" s="292" customFormat="1" ht="15.2" hidden="1" customHeight="1" x14ac:dyDescent="0.2">
      <c r="A169" s="226">
        <v>24</v>
      </c>
      <c r="B169" s="227">
        <f>'t4'!C26</f>
        <v>-14.858699999999999</v>
      </c>
      <c r="C169" s="227">
        <f>'t4'!D26</f>
        <v>-15.692490000000006</v>
      </c>
      <c r="D169" s="227">
        <f>'t4'!E26</f>
        <v>-15.065430000000006</v>
      </c>
      <c r="E169" s="227">
        <f>'t4'!F26</f>
        <v>-15.682400000000001</v>
      </c>
      <c r="F169" s="227">
        <f>'t4'!G26</f>
        <v>-15.251649999999998</v>
      </c>
      <c r="G169" s="227">
        <f>'t4'!H26</f>
        <v>-15.738039999999998</v>
      </c>
      <c r="H169" s="227">
        <f>'t4'!I26</f>
        <v>-15.465360000000004</v>
      </c>
      <c r="I169" s="227">
        <f>'t4'!J26</f>
        <v>-15.312939999999998</v>
      </c>
      <c r="J169" s="227">
        <f>'t4'!K26</f>
        <v>-15.562929999999994</v>
      </c>
      <c r="K169" s="227">
        <f>'t4'!L26</f>
        <v>-15.403326666666667</v>
      </c>
      <c r="L169" s="227">
        <f>'t4'!M26</f>
        <v>0.28767644958258992</v>
      </c>
    </row>
    <row r="170" spans="1:12" s="292" customFormat="1" ht="15.2" hidden="1" customHeight="1" x14ac:dyDescent="0.2">
      <c r="A170" s="226">
        <v>25</v>
      </c>
      <c r="B170" s="227">
        <f>'t4'!C27</f>
        <v>-14.866789999999995</v>
      </c>
      <c r="C170" s="227">
        <f>'t4'!D27</f>
        <v>-15.710710000000006</v>
      </c>
      <c r="D170" s="227">
        <f>'t4'!E27</f>
        <v>-15.058700000000002</v>
      </c>
      <c r="E170" s="227">
        <f>'t4'!F27</f>
        <v>-15.682159999999996</v>
      </c>
      <c r="F170" s="227">
        <f>'t4'!G27</f>
        <v>-15.266570000000002</v>
      </c>
      <c r="G170" s="227">
        <f>'t4'!H27</f>
        <v>-15.748900000000006</v>
      </c>
      <c r="H170" s="227">
        <f>'t4'!I27</f>
        <v>-15.47148</v>
      </c>
      <c r="I170" s="227">
        <f>'t4'!J27</f>
        <v>-15.323130000000006</v>
      </c>
      <c r="J170" s="227">
        <f>'t4'!K27</f>
        <v>-15.571899999999999</v>
      </c>
      <c r="K170" s="227">
        <f>'t4'!L27</f>
        <v>-15.41114888888889</v>
      </c>
      <c r="L170" s="227">
        <f>'t4'!M27</f>
        <v>0.28981558436911364</v>
      </c>
    </row>
    <row r="171" spans="1:12" s="292" customFormat="1" ht="15.2" hidden="1" customHeight="1" x14ac:dyDescent="0.2">
      <c r="A171" s="226">
        <v>26</v>
      </c>
      <c r="B171" s="227">
        <f>'t4'!C28</f>
        <v>-14.873500000000007</v>
      </c>
      <c r="C171" s="227">
        <f>'t4'!D28</f>
        <v>-15.73151</v>
      </c>
      <c r="D171" s="227">
        <f>'t4'!E28</f>
        <v>-15.072599999999994</v>
      </c>
      <c r="E171" s="227">
        <f>'t4'!F28</f>
        <v>-15.69932</v>
      </c>
      <c r="F171" s="227">
        <f>'t4'!G28</f>
        <v>-15.290080000000003</v>
      </c>
      <c r="G171" s="227">
        <f>'t4'!H28</f>
        <v>-15.769779999999997</v>
      </c>
      <c r="H171" s="227">
        <f>'t4'!I28</f>
        <v>-15.487899999999996</v>
      </c>
      <c r="I171" s="227">
        <f>'t4'!J28</f>
        <v>-15.339219999999997</v>
      </c>
      <c r="J171" s="227">
        <f>'t4'!K28</f>
        <v>-15.581940000000003</v>
      </c>
      <c r="K171" s="227">
        <f>'t4'!L28</f>
        <v>-15.427316666666664</v>
      </c>
      <c r="L171" s="227">
        <f>'t4'!M28</f>
        <v>0.29259585073385108</v>
      </c>
    </row>
    <row r="172" spans="1:12" s="292" customFormat="1" ht="15.2" hidden="1" customHeight="1" x14ac:dyDescent="0.2">
      <c r="A172" s="226">
        <v>27</v>
      </c>
      <c r="B172" s="227">
        <f>'t4'!C29</f>
        <v>-14.891180000000006</v>
      </c>
      <c r="C172" s="227">
        <f>'t4'!D29</f>
        <v>-15.739660000000001</v>
      </c>
      <c r="D172" s="227">
        <f>'t4'!E29</f>
        <v>-15.083280000000002</v>
      </c>
      <c r="E172" s="227">
        <f>'t4'!F29</f>
        <v>-15.713440000000006</v>
      </c>
      <c r="F172" s="227">
        <f>'t4'!G29</f>
        <v>-15.306550000000001</v>
      </c>
      <c r="G172" s="227">
        <f>'t4'!H29</f>
        <v>-15.78313</v>
      </c>
      <c r="H172" s="227">
        <f>'t4'!I29</f>
        <v>-15.502880000000005</v>
      </c>
      <c r="I172" s="227">
        <f>'t4'!J29</f>
        <v>-15.349000000000004</v>
      </c>
      <c r="J172" s="227">
        <f>'t4'!K29</f>
        <v>-15.589489999999998</v>
      </c>
      <c r="K172" s="227">
        <f>'t4'!L29</f>
        <v>-15.439845555555557</v>
      </c>
      <c r="L172" s="227">
        <f>'t4'!M29</f>
        <v>0.29119431069347201</v>
      </c>
    </row>
    <row r="173" spans="1:12" s="292" customFormat="1" ht="15.2" hidden="1" customHeight="1" x14ac:dyDescent="0.2">
      <c r="A173" s="226">
        <v>28</v>
      </c>
      <c r="B173" s="227">
        <f>'t4'!C30</f>
        <v>-14.895510000000002</v>
      </c>
      <c r="C173" s="227">
        <f>'t4'!D30</f>
        <v>-15.731030000000004</v>
      </c>
      <c r="D173" s="227">
        <f>'t4'!E30</f>
        <v>-15.088610000000003</v>
      </c>
      <c r="E173" s="227">
        <f>'t4'!F30</f>
        <v>-15.716769999999997</v>
      </c>
      <c r="F173" s="227">
        <f>'t4'!G30</f>
        <v>-15.304839999999999</v>
      </c>
      <c r="G173" s="227">
        <f>'t4'!H30</f>
        <v>-15.782560000000004</v>
      </c>
      <c r="H173" s="227">
        <f>'t4'!I30</f>
        <v>-15.495180000000005</v>
      </c>
      <c r="I173" s="227">
        <f>'t4'!J30</f>
        <v>-15.346350000000001</v>
      </c>
      <c r="J173" s="227">
        <f>'t4'!K30</f>
        <v>-15.586100000000002</v>
      </c>
      <c r="K173" s="227">
        <f>'t4'!L30</f>
        <v>-15.438550000000001</v>
      </c>
      <c r="L173" s="227">
        <f>'t4'!M30</f>
        <v>0.28867540548743226</v>
      </c>
    </row>
    <row r="174" spans="1:12" s="292" customFormat="1" ht="15.2" hidden="1" customHeight="1" x14ac:dyDescent="0.2">
      <c r="A174" s="226">
        <v>29</v>
      </c>
      <c r="B174" s="227">
        <f>'t4'!C31</f>
        <v>-14.905010000000004</v>
      </c>
      <c r="C174" s="227">
        <f>'t4'!D31</f>
        <v>-15.73433</v>
      </c>
      <c r="D174" s="227">
        <f>'t4'!E31</f>
        <v>-15.090410000000006</v>
      </c>
      <c r="E174" s="227">
        <f>'t4'!F31</f>
        <v>-15.712050000000005</v>
      </c>
      <c r="F174" s="227">
        <f>'t4'!G31</f>
        <v>-15.296310000000005</v>
      </c>
      <c r="G174" s="227">
        <f>'t4'!H31</f>
        <v>-15.776409999999998</v>
      </c>
      <c r="H174" s="227">
        <f>'t4'!I31</f>
        <v>-15.496380000000002</v>
      </c>
      <c r="I174" s="227">
        <f>'t4'!J31</f>
        <v>-15.343980000000002</v>
      </c>
      <c r="J174" s="227">
        <f>'t4'!K31</f>
        <v>-15.583039999999997</v>
      </c>
      <c r="K174" s="227">
        <f>'t4'!L31</f>
        <v>-15.43754666666667</v>
      </c>
      <c r="L174" s="227">
        <f>'t4'!M31</f>
        <v>0.285908326527537</v>
      </c>
    </row>
    <row r="175" spans="1:12" s="292" customFormat="1" ht="15.2" hidden="1" customHeight="1" x14ac:dyDescent="0.2">
      <c r="A175" s="226">
        <v>30</v>
      </c>
      <c r="B175" s="227">
        <f>'t4'!C32</f>
        <v>-14.896820000000005</v>
      </c>
      <c r="C175" s="227">
        <f>'t4'!D32</f>
        <v>-15.721850000000003</v>
      </c>
      <c r="D175" s="227">
        <f>'t4'!E32</f>
        <v>-15.095510000000004</v>
      </c>
      <c r="E175" s="227">
        <f>'t4'!F32</f>
        <v>-15.712159999999997</v>
      </c>
      <c r="F175" s="227">
        <f>'t4'!G32</f>
        <v>-15.295400000000001</v>
      </c>
      <c r="G175" s="227">
        <f>'t4'!H32</f>
        <v>-15.774019999999993</v>
      </c>
      <c r="H175" s="227">
        <f>'t4'!I32</f>
        <v>-15.491500000000002</v>
      </c>
      <c r="I175" s="227">
        <f>'t4'!J32</f>
        <v>-15.347369999999998</v>
      </c>
      <c r="J175" s="227">
        <f>'t4'!K32</f>
        <v>-15.579560000000001</v>
      </c>
      <c r="K175" s="227">
        <f>'t4'!L32</f>
        <v>-15.434910000000002</v>
      </c>
      <c r="L175" s="227">
        <f>'t4'!M32</f>
        <v>0.28483587254573028</v>
      </c>
    </row>
    <row r="176" spans="1:12" s="292" customFormat="1" ht="15.2" hidden="1" customHeight="1" x14ac:dyDescent="0.35">
      <c r="A176" s="228" t="s">
        <v>40</v>
      </c>
      <c r="B176" s="227">
        <f>'t4'!C33</f>
        <v>-14.874226666666663</v>
      </c>
      <c r="C176" s="227">
        <f>'t4'!D33</f>
        <v>-15.727653000000005</v>
      </c>
      <c r="D176" s="227">
        <f>'t4'!E33</f>
        <v>-15.083056666666666</v>
      </c>
      <c r="E176" s="227">
        <f>'t4'!F33</f>
        <v>-15.709282999999999</v>
      </c>
      <c r="F176" s="227">
        <f>'t4'!G33</f>
        <v>-15.294753333333336</v>
      </c>
      <c r="G176" s="227">
        <f>'t4'!H33</f>
        <v>-15.776009666666663</v>
      </c>
      <c r="H176" s="227">
        <f>'t4'!I33</f>
        <v>-15.490697666666669</v>
      </c>
      <c r="I176" s="227">
        <f>'t4'!J33</f>
        <v>-15.342177333333337</v>
      </c>
      <c r="J176" s="227">
        <f>'t4'!K33</f>
        <v>-15.585693666666666</v>
      </c>
      <c r="K176" s="137"/>
      <c r="L176" s="137"/>
    </row>
    <row r="177" spans="1:12" s="292" customFormat="1" ht="15.2" hidden="1" customHeight="1" x14ac:dyDescent="0.35">
      <c r="A177" s="228" t="s">
        <v>39</v>
      </c>
      <c r="B177" s="227">
        <f>'t4'!C34</f>
        <v>1.5860574040333721E-2</v>
      </c>
      <c r="C177" s="227">
        <f>'t4'!D34</f>
        <v>1.5170173180729326E-2</v>
      </c>
      <c r="D177" s="227">
        <f>'t4'!E34</f>
        <v>1.1131499250126643E-2</v>
      </c>
      <c r="E177" s="227">
        <f>'t4'!F34</f>
        <v>1.4553187543169911E-2</v>
      </c>
      <c r="F177" s="227">
        <f>'t4'!G34</f>
        <v>1.6305740366168459E-2</v>
      </c>
      <c r="G177" s="227">
        <f>'t4'!H34</f>
        <v>1.5348389379852497E-2</v>
      </c>
      <c r="H177" s="227">
        <f>'t4'!I34</f>
        <v>1.3215685045514002E-2</v>
      </c>
      <c r="I177" s="227">
        <f>'t4'!J34</f>
        <v>1.1730107681612445E-2</v>
      </c>
      <c r="J177" s="227">
        <f>'t4'!K34</f>
        <v>1.0379625068160071E-2</v>
      </c>
      <c r="K177" s="294"/>
      <c r="L177" s="294"/>
    </row>
    <row r="178" spans="1:12" s="292" customFormat="1" ht="15.2" hidden="1" customHeight="1" x14ac:dyDescent="0.35">
      <c r="A178" s="228" t="s">
        <v>52</v>
      </c>
      <c r="B178" s="227">
        <f>'t4'!C35</f>
        <v>2.9456666666666464E-2</v>
      </c>
      <c r="C178" s="227">
        <f>'t4'!D35</f>
        <v>3.5162999999998945E-2</v>
      </c>
      <c r="D178" s="227">
        <f>'t4'!E35</f>
        <v>2.435666666666414E-2</v>
      </c>
      <c r="E178" s="227">
        <f>'t4'!F35</f>
        <v>2.7123000000003117E-2</v>
      </c>
      <c r="F178" s="227">
        <f>'t4'!G35</f>
        <v>4.3103333333338156E-2</v>
      </c>
      <c r="G178" s="227">
        <f>'t4'!H35</f>
        <v>3.7969666666665347E-2</v>
      </c>
      <c r="H178" s="227">
        <f>'t4'!I35</f>
        <v>2.533766666666537E-2</v>
      </c>
      <c r="I178" s="227">
        <f>'t4'!J35</f>
        <v>2.9237333333339777E-2</v>
      </c>
      <c r="J178" s="227">
        <f>'t4'!K35</f>
        <v>2.2763666666671512E-2</v>
      </c>
      <c r="K178" s="416"/>
      <c r="L178" s="416"/>
    </row>
    <row r="179" spans="1:12" s="292" customFormat="1" ht="15.2" hidden="1" customHeight="1" x14ac:dyDescent="0.35">
      <c r="A179" s="228" t="s">
        <v>51</v>
      </c>
      <c r="B179" s="227">
        <f>'t4'!C36</f>
        <v>3.1353333333337119E-2</v>
      </c>
      <c r="C179" s="227">
        <f>'t4'!D36</f>
        <v>2.5686999999988913E-2</v>
      </c>
      <c r="D179" s="227">
        <f>'t4'!E36</f>
        <v>2.2153333333333691E-2</v>
      </c>
      <c r="E179" s="227">
        <f>'t4'!F36</f>
        <v>3.3747000000005301E-2</v>
      </c>
      <c r="F179" s="227">
        <f>'t4'!G36</f>
        <v>2.9876666666662999E-2</v>
      </c>
      <c r="G179" s="227">
        <f>'t4'!H36</f>
        <v>2.4490333333336167E-2</v>
      </c>
      <c r="H179" s="227">
        <f>'t4'!I36</f>
        <v>2.8972333333335598E-2</v>
      </c>
      <c r="I179" s="227">
        <f>'t4'!J36</f>
        <v>2.2282666666656681E-2</v>
      </c>
      <c r="J179" s="227">
        <f>'t4'!K36</f>
        <v>1.6936333333338993E-2</v>
      </c>
      <c r="K179" s="416"/>
      <c r="L179" s="416"/>
    </row>
    <row r="180" spans="1:12" s="292" customFormat="1" ht="15.2" hidden="1" customHeight="1" x14ac:dyDescent="0.35">
      <c r="A180" s="229" t="s">
        <v>44</v>
      </c>
      <c r="B180" s="227">
        <f>'t4'!C37</f>
        <v>3.0405000000001792E-2</v>
      </c>
      <c r="C180" s="227">
        <f>'t4'!D37</f>
        <v>3.0424999999993929E-2</v>
      </c>
      <c r="D180" s="227">
        <f>'t4'!E37</f>
        <v>2.3254999999998915E-2</v>
      </c>
      <c r="E180" s="227">
        <f>'t4'!F37</f>
        <v>3.0435000000004209E-2</v>
      </c>
      <c r="F180" s="227">
        <f>'t4'!G37</f>
        <v>3.6490000000000578E-2</v>
      </c>
      <c r="G180" s="227">
        <f>'t4'!H37</f>
        <v>3.1230000000000757E-2</v>
      </c>
      <c r="H180" s="227">
        <f>'t4'!I37</f>
        <v>2.7155000000000484E-2</v>
      </c>
      <c r="I180" s="227">
        <f>'t4'!J37</f>
        <v>2.5759999999998229E-2</v>
      </c>
      <c r="J180" s="227">
        <f>'t4'!K37</f>
        <v>1.9850000000005252E-2</v>
      </c>
      <c r="K180" s="416"/>
      <c r="L180" s="416"/>
    </row>
    <row r="181" spans="1:12" s="292" customFormat="1" ht="15.2" hidden="1" customHeight="1" x14ac:dyDescent="0.35">
      <c r="A181" s="230" t="s">
        <v>43</v>
      </c>
      <c r="B181" s="227">
        <f>'t4'!C38</f>
        <v>0.42052666666667271</v>
      </c>
      <c r="C181" s="227">
        <f>'t4'!D38</f>
        <v>-0.43289966666666935</v>
      </c>
      <c r="D181" s="227">
        <f>'t4'!E38</f>
        <v>0.2116966666666702</v>
      </c>
      <c r="E181" s="227">
        <f>'t4'!F38</f>
        <v>-0.41452966666666313</v>
      </c>
      <c r="F181" s="227">
        <f>'t4'!G38</f>
        <v>0</v>
      </c>
      <c r="G181" s="227">
        <f>'t4'!H38</f>
        <v>-0.48125633333332729</v>
      </c>
      <c r="H181" s="227">
        <f>'t4'!I38</f>
        <v>-0.19594433333333328</v>
      </c>
      <c r="I181" s="227">
        <f>'t4'!J38</f>
        <v>-4.7424000000001243E-2</v>
      </c>
      <c r="J181" s="227">
        <f>'t4'!K38</f>
        <v>-0.2909403333333298</v>
      </c>
      <c r="K181" s="139"/>
      <c r="L181" s="139"/>
    </row>
    <row r="182" spans="1:12" s="292" customFormat="1" ht="15.2" hidden="1" customHeight="1" x14ac:dyDescent="0.35">
      <c r="A182" s="231" t="s">
        <v>95</v>
      </c>
      <c r="B182" s="232">
        <f>'t4'!C40</f>
        <v>-15.431505666666665</v>
      </c>
      <c r="C182" s="139"/>
      <c r="D182" s="139"/>
      <c r="E182" s="139"/>
      <c r="F182" s="139"/>
      <c r="G182" s="139"/>
      <c r="H182" s="139"/>
      <c r="I182" s="139"/>
      <c r="J182" s="139"/>
      <c r="K182" s="139"/>
      <c r="L182" s="139"/>
    </row>
    <row r="183" spans="1:12" s="292" customFormat="1" ht="15.2" hidden="1" customHeight="1" x14ac:dyDescent="0.35">
      <c r="A183" s="233" t="s">
        <v>47</v>
      </c>
      <c r="B183" s="232">
        <f>'t4'!C41</f>
        <v>-0.43150566666666457</v>
      </c>
      <c r="C183" s="139"/>
      <c r="D183" s="139"/>
      <c r="E183" s="139"/>
      <c r="F183" s="139"/>
      <c r="G183" s="139"/>
      <c r="H183" s="139"/>
      <c r="I183" s="139"/>
      <c r="J183" s="139"/>
      <c r="K183" s="139"/>
      <c r="L183" s="139"/>
    </row>
    <row r="184" spans="1:12" s="292" customFormat="1" ht="15.2" hidden="1" customHeight="1" x14ac:dyDescent="0.35">
      <c r="A184" s="298" t="s">
        <v>259</v>
      </c>
      <c r="B184" s="234">
        <f>'t4'!C46</f>
        <v>0.29273049864533757</v>
      </c>
      <c r="C184" s="139"/>
      <c r="D184" s="139"/>
      <c r="E184" s="139"/>
      <c r="F184" s="139"/>
      <c r="G184" s="139"/>
      <c r="H184" s="139"/>
      <c r="I184" s="139"/>
      <c r="J184" s="139"/>
      <c r="K184" s="139"/>
      <c r="L184" s="139"/>
    </row>
    <row r="185" spans="1:12" s="292" customFormat="1" ht="15.2" hidden="1" customHeight="1" x14ac:dyDescent="0.35">
      <c r="A185" s="233" t="s">
        <v>48</v>
      </c>
      <c r="B185" s="232">
        <f>'t4'!C42</f>
        <v>0.901783</v>
      </c>
      <c r="C185" s="139"/>
      <c r="D185" s="139"/>
      <c r="E185" s="139"/>
      <c r="F185" s="139"/>
      <c r="G185" s="139"/>
      <c r="H185" s="139"/>
      <c r="I185" s="139"/>
      <c r="J185" s="139"/>
      <c r="K185" s="139"/>
      <c r="L185" s="139"/>
    </row>
    <row r="186" spans="1:12" s="292" customFormat="1" ht="15.2" hidden="1" customHeight="1" x14ac:dyDescent="0.35">
      <c r="A186" s="241" t="s">
        <v>49</v>
      </c>
      <c r="B186" s="240">
        <f>'t4'!C43</f>
        <v>0.42052666666667271</v>
      </c>
      <c r="C186" s="140"/>
      <c r="D186" s="139"/>
      <c r="E186" s="139"/>
      <c r="F186" s="139"/>
      <c r="G186" s="139"/>
      <c r="H186" s="139"/>
      <c r="I186" s="139"/>
      <c r="J186" s="139"/>
      <c r="K186" s="139"/>
      <c r="L186" s="139"/>
    </row>
    <row r="187" spans="1:12" s="292" customFormat="1" hidden="1" x14ac:dyDescent="0.2">
      <c r="A187" s="242"/>
      <c r="B187" s="240">
        <f>'t4'!C44</f>
        <v>-0.48125633333332729</v>
      </c>
      <c r="C187" s="139"/>
      <c r="D187" s="139"/>
      <c r="E187" s="139"/>
      <c r="F187" s="139"/>
      <c r="G187" s="139"/>
      <c r="H187" s="139"/>
      <c r="I187" s="139"/>
      <c r="J187" s="139"/>
      <c r="K187" s="139"/>
      <c r="L187" s="139"/>
    </row>
    <row r="188" spans="1:12" s="292" customFormat="1" ht="18.75" hidden="1" x14ac:dyDescent="0.35">
      <c r="A188" s="242" t="s">
        <v>50</v>
      </c>
      <c r="B188" s="232">
        <f>'t4'!C45</f>
        <v>2.8333888888889349E-2</v>
      </c>
    </row>
    <row r="189" spans="1:12" s="292" customFormat="1" ht="31.5" hidden="1" customHeight="1" x14ac:dyDescent="0.2">
      <c r="A189" s="417" t="s">
        <v>375</v>
      </c>
      <c r="B189" s="417"/>
      <c r="C189" s="417"/>
      <c r="D189" s="417"/>
      <c r="E189" s="417"/>
      <c r="F189" s="417"/>
      <c r="G189" s="417"/>
      <c r="H189" s="417"/>
      <c r="I189" s="417"/>
      <c r="J189" s="417"/>
      <c r="K189" s="417"/>
      <c r="L189" s="417"/>
    </row>
    <row r="190" spans="1:12" s="292" customFormat="1" ht="25.5" hidden="1" customHeight="1" thickBot="1" x14ac:dyDescent="0.25">
      <c r="A190" s="418" t="str">
        <f>"Тзад =  "&amp;'t5'!C39&amp;" °С"</f>
        <v>Тзад =  40 °С</v>
      </c>
      <c r="B190" s="418"/>
      <c r="C190" s="418"/>
      <c r="D190" s="418"/>
      <c r="E190" s="418"/>
      <c r="F190" s="418"/>
      <c r="G190" s="418"/>
      <c r="H190" s="418"/>
      <c r="I190" s="418"/>
      <c r="J190" s="418"/>
      <c r="K190" s="418"/>
      <c r="L190" s="418"/>
    </row>
    <row r="191" spans="1:12" s="292" customFormat="1" ht="29.25" hidden="1" thickBot="1" x14ac:dyDescent="0.25">
      <c r="A191" s="239" t="s">
        <v>89</v>
      </c>
      <c r="B191" s="419" t="s">
        <v>94</v>
      </c>
      <c r="C191" s="419"/>
      <c r="D191" s="419"/>
      <c r="E191" s="419"/>
      <c r="F191" s="419"/>
      <c r="G191" s="419"/>
      <c r="H191" s="419"/>
      <c r="I191" s="419"/>
      <c r="J191" s="419"/>
      <c r="K191" s="420" t="s">
        <v>91</v>
      </c>
      <c r="L191" s="420"/>
    </row>
    <row r="192" spans="1:12" s="292" customFormat="1" ht="15.2" hidden="1" customHeight="1" x14ac:dyDescent="0.2">
      <c r="A192" s="236"/>
      <c r="B192" s="235">
        <v>1</v>
      </c>
      <c r="C192" s="235">
        <v>2</v>
      </c>
      <c r="D192" s="235">
        <v>3</v>
      </c>
      <c r="E192" s="235">
        <v>4</v>
      </c>
      <c r="F192" s="235">
        <v>5</v>
      </c>
      <c r="G192" s="235">
        <v>6</v>
      </c>
      <c r="H192" s="235">
        <v>7</v>
      </c>
      <c r="I192" s="235">
        <v>8</v>
      </c>
      <c r="J192" s="235">
        <v>9</v>
      </c>
      <c r="K192" s="237" t="s">
        <v>92</v>
      </c>
      <c r="L192" s="238" t="s">
        <v>93</v>
      </c>
    </row>
    <row r="193" spans="1:12" s="292" customFormat="1" ht="15.2" hidden="1" customHeight="1" x14ac:dyDescent="0.2">
      <c r="A193" s="226">
        <v>1</v>
      </c>
      <c r="B193" s="227">
        <f>'t5'!C3</f>
        <v>5.1315799999999996</v>
      </c>
      <c r="C193" s="227">
        <f>'t5'!D3</f>
        <v>4.2536000000000058</v>
      </c>
      <c r="D193" s="227">
        <f>'t5'!E3</f>
        <v>4.8947900000000004</v>
      </c>
      <c r="E193" s="227">
        <f>'t5'!F3</f>
        <v>4.2569699999999955</v>
      </c>
      <c r="F193" s="227">
        <f>'t5'!G3</f>
        <v>4.6778000000000048</v>
      </c>
      <c r="G193" s="227">
        <f>'t5'!H3</f>
        <v>4.1995000000000005</v>
      </c>
      <c r="H193" s="227">
        <f>'t5'!I3</f>
        <v>4.4991200000000049</v>
      </c>
      <c r="I193" s="227">
        <f>'t5'!J3</f>
        <v>4.635540000000006</v>
      </c>
      <c r="J193" s="227">
        <f>'t5'!K3</f>
        <v>4.402159999999995</v>
      </c>
      <c r="K193" s="227">
        <f>'t5'!L3</f>
        <v>4.5501177777777793</v>
      </c>
      <c r="L193" s="227">
        <f>'t5'!M3</f>
        <v>0.29847398512276069</v>
      </c>
    </row>
    <row r="194" spans="1:12" s="292" customFormat="1" ht="15.2" hidden="1" customHeight="1" x14ac:dyDescent="0.2">
      <c r="A194" s="226">
        <v>2</v>
      </c>
      <c r="B194" s="227">
        <f>'t5'!C4</f>
        <v>5.1393099999999947</v>
      </c>
      <c r="C194" s="227">
        <f>'t5'!D4</f>
        <v>4.2707300000000004</v>
      </c>
      <c r="D194" s="227">
        <f>'t5'!E4</f>
        <v>4.90428</v>
      </c>
      <c r="E194" s="227">
        <f>'t5'!F4</f>
        <v>4.2727200000000067</v>
      </c>
      <c r="F194" s="227">
        <f>'t5'!G4</f>
        <v>4.6998899999999963</v>
      </c>
      <c r="G194" s="227">
        <f>'t5'!H4</f>
        <v>4.217330000000004</v>
      </c>
      <c r="H194" s="227">
        <f>'t5'!I4</f>
        <v>4.5134599999999949</v>
      </c>
      <c r="I194" s="227">
        <f>'t5'!J4</f>
        <v>4.6510799999999932</v>
      </c>
      <c r="J194" s="227">
        <f>'t5'!K4</f>
        <v>4.4104499999999973</v>
      </c>
      <c r="K194" s="227">
        <f>'t5'!L4</f>
        <v>4.5643611111111095</v>
      </c>
      <c r="L194" s="227">
        <f>'t5'!M4</f>
        <v>0.2962700032982068</v>
      </c>
    </row>
    <row r="195" spans="1:12" s="292" customFormat="1" ht="15.2" hidden="1" customHeight="1" x14ac:dyDescent="0.2">
      <c r="A195" s="226">
        <v>3</v>
      </c>
      <c r="B195" s="227">
        <f>'t5'!C5</f>
        <v>5.1328299999999984</v>
      </c>
      <c r="C195" s="227">
        <f>'t5'!D5</f>
        <v>4.2644399999999933</v>
      </c>
      <c r="D195" s="227">
        <f>'t5'!E5</f>
        <v>4.9180300000000017</v>
      </c>
      <c r="E195" s="227">
        <f>'t5'!F5</f>
        <v>4.2861500000000063</v>
      </c>
      <c r="F195" s="227">
        <f>'t5'!G5</f>
        <v>4.7097200000000043</v>
      </c>
      <c r="G195" s="227">
        <f>'t5'!H5</f>
        <v>4.2196200000000061</v>
      </c>
      <c r="H195" s="227">
        <f>'t5'!I5</f>
        <v>4.5187499999999972</v>
      </c>
      <c r="I195" s="227">
        <f>'t5'!J5</f>
        <v>4.6594000000000051</v>
      </c>
      <c r="J195" s="227">
        <f>'t5'!K5</f>
        <v>4.4077900000000056</v>
      </c>
      <c r="K195" s="227">
        <f>'t5'!L5</f>
        <v>4.5685255555555573</v>
      </c>
      <c r="L195" s="227">
        <f>'t5'!M5</f>
        <v>0.29646800266212325</v>
      </c>
    </row>
    <row r="196" spans="1:12" s="292" customFormat="1" ht="15.2" hidden="1" customHeight="1" x14ac:dyDescent="0.2">
      <c r="A196" s="226">
        <v>4</v>
      </c>
      <c r="B196" s="227">
        <f>'t5'!C6</f>
        <v>5.1246900000000011</v>
      </c>
      <c r="C196" s="227">
        <f>'t5'!D6</f>
        <v>4.2525799999999947</v>
      </c>
      <c r="D196" s="227">
        <f>'t5'!E6</f>
        <v>4.9164600000000007</v>
      </c>
      <c r="E196" s="227">
        <f>'t5'!F6</f>
        <v>4.28125</v>
      </c>
      <c r="F196" s="227">
        <f>'t5'!G6</f>
        <v>4.6917399999999958</v>
      </c>
      <c r="G196" s="227">
        <f>'t5'!H6</f>
        <v>4.2066499999999962</v>
      </c>
      <c r="H196" s="227">
        <f>'t5'!I6</f>
        <v>4.5009900000000016</v>
      </c>
      <c r="I196" s="227">
        <f>'t5'!J6</f>
        <v>4.6531499999999966</v>
      </c>
      <c r="J196" s="227">
        <f>'t5'!K6</f>
        <v>4.4034000000000049</v>
      </c>
      <c r="K196" s="227">
        <f>'t5'!L6</f>
        <v>4.5589899999999988</v>
      </c>
      <c r="L196" s="227">
        <f>'t5'!M6</f>
        <v>0.2975888809153408</v>
      </c>
    </row>
    <row r="197" spans="1:12" s="292" customFormat="1" ht="15.2" hidden="1" customHeight="1" x14ac:dyDescent="0.2">
      <c r="A197" s="226">
        <v>5</v>
      </c>
      <c r="B197" s="227">
        <f>'t5'!C7</f>
        <v>5.1244999999999976</v>
      </c>
      <c r="C197" s="227">
        <f>'t5'!D7</f>
        <v>4.2466600000000057</v>
      </c>
      <c r="D197" s="227">
        <f>'t5'!E7</f>
        <v>4.909790000000001</v>
      </c>
      <c r="E197" s="227">
        <f>'t5'!F7</f>
        <v>4.2746099999999956</v>
      </c>
      <c r="F197" s="227">
        <f>'t5'!G7</f>
        <v>4.6753700000000009</v>
      </c>
      <c r="G197" s="227">
        <f>'t5'!H7</f>
        <v>4.2000699999999966</v>
      </c>
      <c r="H197" s="227">
        <f>'t5'!I7</f>
        <v>4.4868900000000025</v>
      </c>
      <c r="I197" s="227">
        <f>'t5'!J7</f>
        <v>4.640349999999998</v>
      </c>
      <c r="J197" s="227">
        <f>'t5'!K7</f>
        <v>4.3973699999999951</v>
      </c>
      <c r="K197" s="227">
        <f>'t5'!L7</f>
        <v>4.5506233333333324</v>
      </c>
      <c r="L197" s="227">
        <f>'t5'!M7</f>
        <v>0.29832140724765671</v>
      </c>
    </row>
    <row r="198" spans="1:12" s="292" customFormat="1" ht="15.2" hidden="1" customHeight="1" x14ac:dyDescent="0.2">
      <c r="A198" s="226">
        <v>6</v>
      </c>
      <c r="B198" s="227">
        <f>'t5'!C8</f>
        <v>5.1270300000000049</v>
      </c>
      <c r="C198" s="227">
        <f>'t5'!D8</f>
        <v>4.2517699999999934</v>
      </c>
      <c r="D198" s="227">
        <f>'t5'!E8</f>
        <v>4.9057099999999991</v>
      </c>
      <c r="E198" s="227">
        <f>'t5'!F8</f>
        <v>4.2716700000000003</v>
      </c>
      <c r="F198" s="227">
        <f>'t5'!G8</f>
        <v>4.6821000000000055</v>
      </c>
      <c r="G198" s="227">
        <f>'t5'!H8</f>
        <v>4.2039000000000044</v>
      </c>
      <c r="H198" s="227">
        <f>'t5'!I8</f>
        <v>4.4917800000000057</v>
      </c>
      <c r="I198" s="227">
        <f>'t5'!J8</f>
        <v>4.6413299999999964</v>
      </c>
      <c r="J198" s="227">
        <f>'t5'!K8</f>
        <v>4.4000699999999995</v>
      </c>
      <c r="K198" s="227">
        <f>'t5'!L8</f>
        <v>4.5528177777777792</v>
      </c>
      <c r="L198" s="227">
        <f>'t5'!M8</f>
        <v>0.29763434877856448</v>
      </c>
    </row>
    <row r="199" spans="1:12" s="292" customFormat="1" ht="15.2" hidden="1" customHeight="1" x14ac:dyDescent="0.2">
      <c r="A199" s="226">
        <v>7</v>
      </c>
      <c r="B199" s="227">
        <f>'t5'!C9</f>
        <v>5.1193700000000035</v>
      </c>
      <c r="C199" s="227">
        <f>'t5'!D9</f>
        <v>4.2497299999999996</v>
      </c>
      <c r="D199" s="227">
        <f>'t5'!E9</f>
        <v>4.9099599999999981</v>
      </c>
      <c r="E199" s="227">
        <f>'t5'!F9</f>
        <v>4.2741099999999932</v>
      </c>
      <c r="F199" s="227">
        <f>'t5'!G9</f>
        <v>4.6904600000000016</v>
      </c>
      <c r="G199" s="227">
        <f>'t5'!H9</f>
        <v>4.2063299999999941</v>
      </c>
      <c r="H199" s="227">
        <f>'t5'!I9</f>
        <v>4.5002900000000068</v>
      </c>
      <c r="I199" s="227">
        <f>'t5'!J9</f>
        <v>4.642470000000003</v>
      </c>
      <c r="J199" s="227">
        <f>'t5'!K9</f>
        <v>4.4022199999999998</v>
      </c>
      <c r="K199" s="227">
        <f>'t5'!L9</f>
        <v>4.554993333333333</v>
      </c>
      <c r="L199" s="227">
        <f>'t5'!M9</f>
        <v>0.29636785644420782</v>
      </c>
    </row>
    <row r="200" spans="1:12" s="292" customFormat="1" ht="15.2" hidden="1" customHeight="1" x14ac:dyDescent="0.2">
      <c r="A200" s="226">
        <v>8</v>
      </c>
      <c r="B200" s="227">
        <f>'t5'!C10</f>
        <v>5.1187900000000042</v>
      </c>
      <c r="C200" s="227">
        <f>'t5'!D10</f>
        <v>4.2578900000000033</v>
      </c>
      <c r="D200" s="227">
        <f>'t5'!E10</f>
        <v>4.9088799999999964</v>
      </c>
      <c r="E200" s="227">
        <f>'t5'!F10</f>
        <v>4.2753100000000046</v>
      </c>
      <c r="F200" s="227">
        <f>'t5'!G10</f>
        <v>4.6961199999999934</v>
      </c>
      <c r="G200" s="227">
        <f>'t5'!H10</f>
        <v>4.2071200000000033</v>
      </c>
      <c r="H200" s="227">
        <f>'t5'!I10</f>
        <v>4.5068799999999953</v>
      </c>
      <c r="I200" s="227">
        <f>'t5'!J10</f>
        <v>4.6472899999999981</v>
      </c>
      <c r="J200" s="227">
        <f>'t5'!K10</f>
        <v>4.4013999999999953</v>
      </c>
      <c r="K200" s="227">
        <f>'t5'!L10</f>
        <v>4.5577422222222213</v>
      </c>
      <c r="L200" s="227">
        <f>'t5'!M10</f>
        <v>0.29531239127321696</v>
      </c>
    </row>
    <row r="201" spans="1:12" s="292" customFormat="1" ht="15.2" hidden="1" customHeight="1" x14ac:dyDescent="0.2">
      <c r="A201" s="226">
        <v>9</v>
      </c>
      <c r="B201" s="227">
        <f>'t5'!C11</f>
        <v>5.1168299999999931</v>
      </c>
      <c r="C201" s="227">
        <f>'t5'!D11</f>
        <v>4.2646000000000015</v>
      </c>
      <c r="D201" s="227">
        <f>'t5'!E11</f>
        <v>4.9106299999999976</v>
      </c>
      <c r="E201" s="227">
        <f>'t5'!F11</f>
        <v>4.2787299999999959</v>
      </c>
      <c r="F201" s="227">
        <f>'t5'!G11</f>
        <v>4.6939200000000056</v>
      </c>
      <c r="G201" s="227">
        <f>'t5'!H11</f>
        <v>4.2050299999999936</v>
      </c>
      <c r="H201" s="227">
        <f>'t5'!I11</f>
        <v>4.5005900000000025</v>
      </c>
      <c r="I201" s="227">
        <f>'t5'!J11</f>
        <v>4.6497600000000006</v>
      </c>
      <c r="J201" s="227">
        <f>'t5'!K11</f>
        <v>4.4044999999999987</v>
      </c>
      <c r="K201" s="227">
        <f>'t5'!L11</f>
        <v>4.5582877777777764</v>
      </c>
      <c r="L201" s="227">
        <f>'t5'!M11</f>
        <v>0.29421336859790753</v>
      </c>
    </row>
    <row r="202" spans="1:12" s="292" customFormat="1" ht="15.2" hidden="1" customHeight="1" x14ac:dyDescent="0.2">
      <c r="A202" s="226">
        <v>10</v>
      </c>
      <c r="B202" s="227">
        <f>'t5'!C12</f>
        <v>5.1301299999999941</v>
      </c>
      <c r="C202" s="227">
        <f>'t5'!D12</f>
        <v>4.2746099999999956</v>
      </c>
      <c r="D202" s="227">
        <f>'t5'!E12</f>
        <v>4.9113899999999973</v>
      </c>
      <c r="E202" s="227">
        <f>'t5'!F12</f>
        <v>4.2912100000000066</v>
      </c>
      <c r="F202" s="227">
        <f>'t5'!G12</f>
        <v>4.7102200000000067</v>
      </c>
      <c r="G202" s="227">
        <f>'t5'!H12</f>
        <v>4.2287400000000019</v>
      </c>
      <c r="H202" s="227">
        <f>'t5'!I12</f>
        <v>4.5199000000000069</v>
      </c>
      <c r="I202" s="227">
        <f>'t5'!J12</f>
        <v>4.6588600000000042</v>
      </c>
      <c r="J202" s="227">
        <f>'t5'!K12</f>
        <v>4.4177999999999997</v>
      </c>
      <c r="K202" s="227">
        <f>'t5'!L12</f>
        <v>4.5714288888888905</v>
      </c>
      <c r="L202" s="227">
        <f>'t5'!M12</f>
        <v>0.29153701409538607</v>
      </c>
    </row>
    <row r="203" spans="1:12" s="292" customFormat="1" ht="15.2" hidden="1" customHeight="1" x14ac:dyDescent="0.2">
      <c r="A203" s="226">
        <v>11</v>
      </c>
      <c r="B203" s="227">
        <f>'t5'!C13</f>
        <v>5.1463499999999982</v>
      </c>
      <c r="C203" s="227">
        <f>'t5'!D13</f>
        <v>4.2780300000000011</v>
      </c>
      <c r="D203" s="227">
        <f>'t5'!E13</f>
        <v>4.9232800000000054</v>
      </c>
      <c r="E203" s="227">
        <f>'t5'!F13</f>
        <v>4.3029200000000003</v>
      </c>
      <c r="F203" s="227">
        <f>'t5'!G13</f>
        <v>4.717969999999994</v>
      </c>
      <c r="G203" s="227">
        <f>'t5'!H13</f>
        <v>4.2355299999999971</v>
      </c>
      <c r="H203" s="227">
        <f>'t5'!I13</f>
        <v>4.5181400000000025</v>
      </c>
      <c r="I203" s="227">
        <f>'t5'!J13</f>
        <v>4.6671800000000019</v>
      </c>
      <c r="J203" s="227">
        <f>'t5'!K13</f>
        <v>4.4203200000000038</v>
      </c>
      <c r="K203" s="227">
        <f>'t5'!L13</f>
        <v>4.5788577777777784</v>
      </c>
      <c r="L203" s="227">
        <f>'t5'!M13</f>
        <v>0.29461103591676702</v>
      </c>
    </row>
    <row r="204" spans="1:12" s="292" customFormat="1" ht="15.2" hidden="1" customHeight="1" x14ac:dyDescent="0.2">
      <c r="A204" s="226">
        <v>12</v>
      </c>
      <c r="B204" s="227">
        <f>'t5'!C14</f>
        <v>5.1439799999999991</v>
      </c>
      <c r="C204" s="227">
        <f>'t5'!D14</f>
        <v>4.2742800000000045</v>
      </c>
      <c r="D204" s="227">
        <f>'t5'!E14</f>
        <v>4.9282800000000009</v>
      </c>
      <c r="E204" s="227">
        <f>'t5'!F14</f>
        <v>4.3025499999999965</v>
      </c>
      <c r="F204" s="227">
        <f>'t5'!G14</f>
        <v>4.7117800000000045</v>
      </c>
      <c r="G204" s="227">
        <f>'t5'!H14</f>
        <v>4.2323599999999999</v>
      </c>
      <c r="H204" s="227">
        <f>'t5'!I14</f>
        <v>4.5226100000000002</v>
      </c>
      <c r="I204" s="227">
        <f>'t5'!J14</f>
        <v>4.6646999999999963</v>
      </c>
      <c r="J204" s="227">
        <f>'t5'!K14</f>
        <v>4.4158299999999997</v>
      </c>
      <c r="K204" s="227">
        <f>'t5'!L14</f>
        <v>4.5773744444444446</v>
      </c>
      <c r="L204" s="227">
        <f>'t5'!M14</f>
        <v>0.29540793016178335</v>
      </c>
    </row>
    <row r="205" spans="1:12" s="292" customFormat="1" ht="15.2" hidden="1" customHeight="1" x14ac:dyDescent="0.2">
      <c r="A205" s="226">
        <v>13</v>
      </c>
      <c r="B205" s="227">
        <f>'t5'!C15</f>
        <v>5.1384900000000044</v>
      </c>
      <c r="C205" s="227">
        <f>'t5'!D15</f>
        <v>4.2820499999999981</v>
      </c>
      <c r="D205" s="227">
        <f>'t5'!E15</f>
        <v>4.9223499999999945</v>
      </c>
      <c r="E205" s="227">
        <f>'t5'!F15</f>
        <v>4.2950199999999938</v>
      </c>
      <c r="F205" s="227">
        <f>'t5'!G15</f>
        <v>4.7027899999999931</v>
      </c>
      <c r="G205" s="227">
        <f>'t5'!H15</f>
        <v>4.2264799999999951</v>
      </c>
      <c r="H205" s="227">
        <f>'t5'!I15</f>
        <v>4.5064299999999946</v>
      </c>
      <c r="I205" s="227">
        <f>'t5'!J15</f>
        <v>4.6620199999999983</v>
      </c>
      <c r="J205" s="227">
        <f>'t5'!K15</f>
        <v>4.4180900000000065</v>
      </c>
      <c r="K205" s="227">
        <f>'t5'!L15</f>
        <v>4.5726355555555536</v>
      </c>
      <c r="L205" s="227">
        <f>'t5'!M15</f>
        <v>0.29382964414818247</v>
      </c>
    </row>
    <row r="206" spans="1:12" s="292" customFormat="1" ht="15.2" hidden="1" customHeight="1" x14ac:dyDescent="0.2">
      <c r="A206" s="226">
        <v>14</v>
      </c>
      <c r="B206" s="227">
        <f>'t5'!C16</f>
        <v>5.1552300000000031</v>
      </c>
      <c r="C206" s="227">
        <f>'t5'!D16</f>
        <v>4.2933199999999943</v>
      </c>
      <c r="D206" s="227">
        <f>'t5'!E16</f>
        <v>4.9277000000000015</v>
      </c>
      <c r="E206" s="227">
        <f>'t5'!F16</f>
        <v>4.3010699999999957</v>
      </c>
      <c r="F206" s="227">
        <f>'t5'!G16</f>
        <v>4.7239399999999989</v>
      </c>
      <c r="G206" s="227">
        <f>'t5'!H16</f>
        <v>4.2398799999999994</v>
      </c>
      <c r="H206" s="227">
        <f>'t5'!I16</f>
        <v>4.5178999999999974</v>
      </c>
      <c r="I206" s="227">
        <f>'t5'!J16</f>
        <v>4.6745599999999996</v>
      </c>
      <c r="J206" s="227">
        <f>'t5'!K16</f>
        <v>4.4296999999999969</v>
      </c>
      <c r="K206" s="227">
        <f>'t5'!L16</f>
        <v>4.5848111111111098</v>
      </c>
      <c r="L206" s="227">
        <f>'t5'!M16</f>
        <v>0.29502397655650153</v>
      </c>
    </row>
    <row r="207" spans="1:12" s="292" customFormat="1" ht="15.2" hidden="1" customHeight="1" x14ac:dyDescent="0.2">
      <c r="A207" s="226">
        <v>15</v>
      </c>
      <c r="B207" s="227">
        <f>'t5'!C17</f>
        <v>5.1467899999999958</v>
      </c>
      <c r="C207" s="227">
        <f>'t5'!D17</f>
        <v>4.2822299999999984</v>
      </c>
      <c r="D207" s="227">
        <f>'t5'!E17</f>
        <v>4.9347700000000003</v>
      </c>
      <c r="E207" s="227">
        <f>'t5'!F17</f>
        <v>4.3134199999999936</v>
      </c>
      <c r="F207" s="227">
        <f>'t5'!G17</f>
        <v>4.7262400000000042</v>
      </c>
      <c r="G207" s="227">
        <f>'t5'!H17</f>
        <v>4.2407500000000056</v>
      </c>
      <c r="H207" s="227">
        <f>'t5'!I17</f>
        <v>4.5216999999999956</v>
      </c>
      <c r="I207" s="227">
        <f>'t5'!J17</f>
        <v>4.6716200000000043</v>
      </c>
      <c r="J207" s="227">
        <f>'t5'!K17</f>
        <v>4.4264100000000042</v>
      </c>
      <c r="K207" s="227">
        <f>'t5'!L17</f>
        <v>4.5848811111111116</v>
      </c>
      <c r="L207" s="227">
        <f>'t5'!M17</f>
        <v>0.29410689698529796</v>
      </c>
    </row>
    <row r="208" spans="1:12" s="292" customFormat="1" ht="15.2" hidden="1" customHeight="1" x14ac:dyDescent="0.2">
      <c r="A208" s="226">
        <v>16</v>
      </c>
      <c r="B208" s="227">
        <f>'t5'!C18</f>
        <v>5.1398899999999941</v>
      </c>
      <c r="C208" s="227">
        <f>'t5'!D18</f>
        <v>4.2855200000000053</v>
      </c>
      <c r="D208" s="227">
        <f>'t5'!E18</f>
        <v>4.9247299999999967</v>
      </c>
      <c r="E208" s="227">
        <f>'t5'!F18</f>
        <v>4.304860000000005</v>
      </c>
      <c r="F208" s="227">
        <f>'t5'!G18</f>
        <v>4.7070800000000048</v>
      </c>
      <c r="G208" s="227">
        <f>'t5'!H18</f>
        <v>4.2311700000000059</v>
      </c>
      <c r="H208" s="227">
        <f>'t5'!I18</f>
        <v>4.5202900000000028</v>
      </c>
      <c r="I208" s="227">
        <f>'t5'!J18</f>
        <v>4.6662100000000066</v>
      </c>
      <c r="J208" s="227">
        <f>'t5'!K18</f>
        <v>4.4224399999999946</v>
      </c>
      <c r="K208" s="227">
        <f>'t5'!L18</f>
        <v>4.5780211111111129</v>
      </c>
      <c r="L208" s="227">
        <f>'t5'!M18</f>
        <v>0.29218622830290075</v>
      </c>
    </row>
    <row r="209" spans="1:12" s="292" customFormat="1" ht="15.2" hidden="1" customHeight="1" x14ac:dyDescent="0.2">
      <c r="A209" s="226">
        <v>17</v>
      </c>
      <c r="B209" s="227">
        <f>'t5'!C19</f>
        <v>5.1379699999999957</v>
      </c>
      <c r="C209" s="227">
        <f>'t5'!D19</f>
        <v>4.2907900000000012</v>
      </c>
      <c r="D209" s="227">
        <f>'t5'!E19</f>
        <v>4.9286900000000031</v>
      </c>
      <c r="E209" s="227">
        <f>'t5'!F19</f>
        <v>4.3063800000000043</v>
      </c>
      <c r="F209" s="227">
        <f>'t5'!G19</f>
        <v>4.7150699999999972</v>
      </c>
      <c r="G209" s="227">
        <f>'t5'!H19</f>
        <v>4.237409999999997</v>
      </c>
      <c r="H209" s="227">
        <f>'t5'!I19</f>
        <v>4.5297900000000055</v>
      </c>
      <c r="I209" s="227">
        <f>'t5'!J19</f>
        <v>4.6697099999999949</v>
      </c>
      <c r="J209" s="227">
        <f>'t5'!K19</f>
        <v>4.4277799999999985</v>
      </c>
      <c r="K209" s="227">
        <f>'t5'!L19</f>
        <v>4.582621111111111</v>
      </c>
      <c r="L209" s="227">
        <f>'t5'!M19</f>
        <v>0.29073000133550475</v>
      </c>
    </row>
    <row r="210" spans="1:12" s="292" customFormat="1" ht="15.2" hidden="1" customHeight="1" x14ac:dyDescent="0.2">
      <c r="A210" s="226">
        <v>18</v>
      </c>
      <c r="B210" s="227">
        <f>'t5'!C20</f>
        <v>5.1328000000000031</v>
      </c>
      <c r="C210" s="227">
        <f>'t5'!D20</f>
        <v>4.2842899999999986</v>
      </c>
      <c r="D210" s="227">
        <f>'t5'!E20</f>
        <v>4.927890000000005</v>
      </c>
      <c r="E210" s="227">
        <f>'t5'!F20</f>
        <v>4.3038200000000018</v>
      </c>
      <c r="F210" s="227">
        <f>'t5'!G20</f>
        <v>4.7131300000000067</v>
      </c>
      <c r="G210" s="227">
        <f>'t5'!H20</f>
        <v>4.2330299999999994</v>
      </c>
      <c r="H210" s="227">
        <f>'t5'!I20</f>
        <v>4.5129500000000036</v>
      </c>
      <c r="I210" s="227">
        <f>'t5'!J20</f>
        <v>4.6613899999999973</v>
      </c>
      <c r="J210" s="227">
        <f>'t5'!K20</f>
        <v>4.4211899999999957</v>
      </c>
      <c r="K210" s="227">
        <f>'t5'!L20</f>
        <v>4.5767211111111124</v>
      </c>
      <c r="L210" s="227">
        <f>'t5'!M20</f>
        <v>0.2914886613172874</v>
      </c>
    </row>
    <row r="211" spans="1:12" s="292" customFormat="1" ht="15.2" hidden="1" customHeight="1" x14ac:dyDescent="0.2">
      <c r="A211" s="226">
        <v>19</v>
      </c>
      <c r="B211" s="227">
        <f>'t5'!C21</f>
        <v>5.1141499999999951</v>
      </c>
      <c r="C211" s="227">
        <f>'t5'!D21</f>
        <v>4.268739999999994</v>
      </c>
      <c r="D211" s="227">
        <f>'t5'!E21</f>
        <v>4.9226900000000029</v>
      </c>
      <c r="E211" s="227">
        <f>'t5'!F21</f>
        <v>4.2978999999999985</v>
      </c>
      <c r="F211" s="227">
        <f>'t5'!G21</f>
        <v>4.7113499999999959</v>
      </c>
      <c r="G211" s="227">
        <f>'t5'!H21</f>
        <v>4.2302200000000028</v>
      </c>
      <c r="H211" s="227">
        <f>'t5'!I21</f>
        <v>4.5033999999999992</v>
      </c>
      <c r="I211" s="227">
        <f>'t5'!J21</f>
        <v>4.6562299999999937</v>
      </c>
      <c r="J211" s="227">
        <f>'t5'!K21</f>
        <v>4.4130700000000047</v>
      </c>
      <c r="K211" s="227">
        <f>'t5'!L21</f>
        <v>4.5686388888888878</v>
      </c>
      <c r="L211" s="227">
        <f>'t5'!M21</f>
        <v>0.2900569391015963</v>
      </c>
    </row>
    <row r="212" spans="1:12" s="292" customFormat="1" ht="15.2" hidden="1" customHeight="1" x14ac:dyDescent="0.2">
      <c r="A212" s="226">
        <v>20</v>
      </c>
      <c r="B212" s="227">
        <f>'t5'!C22</f>
        <v>5.0994699999999966</v>
      </c>
      <c r="C212" s="227">
        <f>'t5'!D22</f>
        <v>4.2606399999999951</v>
      </c>
      <c r="D212" s="227">
        <f>'t5'!E22</f>
        <v>4.9094999999999942</v>
      </c>
      <c r="E212" s="227">
        <f>'t5'!F22</f>
        <v>4.2833200000000033</v>
      </c>
      <c r="F212" s="227">
        <f>'t5'!G22</f>
        <v>4.6911099999999948</v>
      </c>
      <c r="G212" s="227">
        <f>'t5'!H22</f>
        <v>4.2128000000000014</v>
      </c>
      <c r="H212" s="227">
        <f>'t5'!I22</f>
        <v>4.485990000000001</v>
      </c>
      <c r="I212" s="227">
        <f>'t5'!J22</f>
        <v>4.6484999999999985</v>
      </c>
      <c r="J212" s="227">
        <f>'t5'!K22</f>
        <v>4.4024799999999971</v>
      </c>
      <c r="K212" s="227">
        <f>'t5'!L22</f>
        <v>4.5548677777777762</v>
      </c>
      <c r="L212" s="227">
        <f>'t5'!M22</f>
        <v>0.28962988990847288</v>
      </c>
    </row>
    <row r="213" spans="1:12" s="292" customFormat="1" ht="15.2" hidden="1" customHeight="1" x14ac:dyDescent="0.2">
      <c r="A213" s="226">
        <v>21</v>
      </c>
      <c r="B213" s="227">
        <f>'t5'!C23</f>
        <v>5.0944199999999995</v>
      </c>
      <c r="C213" s="227">
        <f>'t5'!D23</f>
        <v>4.2627399999999938</v>
      </c>
      <c r="D213" s="227">
        <f>'t5'!E23</f>
        <v>4.9016299999999973</v>
      </c>
      <c r="E213" s="227">
        <f>'t5'!F23</f>
        <v>4.2808699999999931</v>
      </c>
      <c r="F213" s="227">
        <f>'t5'!G23</f>
        <v>4.6892399999999981</v>
      </c>
      <c r="G213" s="227">
        <f>'t5'!H23</f>
        <v>4.2110200000000049</v>
      </c>
      <c r="H213" s="227">
        <f>'t5'!I23</f>
        <v>4.480329999999995</v>
      </c>
      <c r="I213" s="227">
        <f>'t5'!J23</f>
        <v>4.646010000000004</v>
      </c>
      <c r="J213" s="227">
        <f>'t5'!K23</f>
        <v>4.4006100000000004</v>
      </c>
      <c r="K213" s="227">
        <f>'t5'!L23</f>
        <v>4.5518744444444428</v>
      </c>
      <c r="L213" s="227">
        <f>'t5'!M23</f>
        <v>0.28783460818521472</v>
      </c>
    </row>
    <row r="214" spans="1:12" s="292" customFormat="1" ht="15.2" hidden="1" customHeight="1" x14ac:dyDescent="0.2">
      <c r="A214" s="226">
        <v>22</v>
      </c>
      <c r="B214" s="227">
        <f>'t5'!C24</f>
        <v>5.1145900000000069</v>
      </c>
      <c r="C214" s="227">
        <f>'t5'!D24</f>
        <v>4.2822900000000033</v>
      </c>
      <c r="D214" s="227">
        <f>'t5'!E24</f>
        <v>4.9036700000000053</v>
      </c>
      <c r="E214" s="227">
        <f>'t5'!F24</f>
        <v>4.2854800000000068</v>
      </c>
      <c r="F214" s="227">
        <f>'t5'!G24</f>
        <v>4.7034600000000069</v>
      </c>
      <c r="G214" s="227">
        <f>'t5'!H24</f>
        <v>4.2225200000000029</v>
      </c>
      <c r="H214" s="227">
        <f>'t5'!I24</f>
        <v>4.508420000000001</v>
      </c>
      <c r="I214" s="227">
        <f>'t5'!J24</f>
        <v>4.6582800000000049</v>
      </c>
      <c r="J214" s="227">
        <f>'t5'!K24</f>
        <v>4.4124300000000005</v>
      </c>
      <c r="K214" s="227">
        <f>'t5'!L24</f>
        <v>4.5656822222222262</v>
      </c>
      <c r="L214" s="227">
        <f>'t5'!M24</f>
        <v>0.28798968043925954</v>
      </c>
    </row>
    <row r="215" spans="1:12" s="292" customFormat="1" ht="15.2" hidden="1" customHeight="1" x14ac:dyDescent="0.2">
      <c r="A215" s="226">
        <v>23</v>
      </c>
      <c r="B215" s="227">
        <f>'t5'!C25</f>
        <v>5.1315199999999948</v>
      </c>
      <c r="C215" s="227">
        <f>'t5'!D25</f>
        <v>4.3004600000000011</v>
      </c>
      <c r="D215" s="227">
        <f>'t5'!E25</f>
        <v>4.9177399999999949</v>
      </c>
      <c r="E215" s="227">
        <f>'t5'!F25</f>
        <v>4.2994699999999995</v>
      </c>
      <c r="F215" s="227">
        <f>'t5'!G25</f>
        <v>4.7283000000000044</v>
      </c>
      <c r="G215" s="227">
        <f>'t5'!H25</f>
        <v>4.2450900000000047</v>
      </c>
      <c r="H215" s="227">
        <f>'t5'!I25</f>
        <v>4.5231500000000011</v>
      </c>
      <c r="I215" s="227">
        <f>'t5'!J25</f>
        <v>4.6710300000000018</v>
      </c>
      <c r="J215" s="227">
        <f>'t5'!K25</f>
        <v>4.4266400000000061</v>
      </c>
      <c r="K215" s="227">
        <f>'t5'!L25</f>
        <v>4.5826000000000011</v>
      </c>
      <c r="L215" s="227">
        <f>'t5'!M25</f>
        <v>0.28755999211758443</v>
      </c>
    </row>
    <row r="216" spans="1:12" s="292" customFormat="1" ht="15.2" hidden="1" customHeight="1" x14ac:dyDescent="0.2">
      <c r="A216" s="226">
        <v>24</v>
      </c>
      <c r="B216" s="227">
        <f>'t5'!C26</f>
        <v>5.1413000000000011</v>
      </c>
      <c r="C216" s="227">
        <f>'t5'!D26</f>
        <v>4.3075099999999935</v>
      </c>
      <c r="D216" s="227">
        <f>'t5'!E26</f>
        <v>4.9345699999999937</v>
      </c>
      <c r="E216" s="227">
        <f>'t5'!F26</f>
        <v>4.3175999999999988</v>
      </c>
      <c r="F216" s="227">
        <f>'t5'!G26</f>
        <v>4.7483500000000021</v>
      </c>
      <c r="G216" s="227">
        <f>'t5'!H26</f>
        <v>4.261960000000002</v>
      </c>
      <c r="H216" s="227">
        <f>'t5'!I26</f>
        <v>4.534639999999996</v>
      </c>
      <c r="I216" s="227">
        <f>'t5'!J26</f>
        <v>4.6870600000000024</v>
      </c>
      <c r="J216" s="227">
        <f>'t5'!K26</f>
        <v>4.4370700000000056</v>
      </c>
      <c r="K216" s="227">
        <f>'t5'!L26</f>
        <v>4.5966733333333325</v>
      </c>
      <c r="L216" s="227">
        <f>'t5'!M26</f>
        <v>0.28767644958258998</v>
      </c>
    </row>
    <row r="217" spans="1:12" s="292" customFormat="1" ht="15.2" hidden="1" customHeight="1" x14ac:dyDescent="0.2">
      <c r="A217" s="226">
        <v>25</v>
      </c>
      <c r="B217" s="227">
        <f>'t5'!C27</f>
        <v>5.1332100000000054</v>
      </c>
      <c r="C217" s="227">
        <f>'t5'!D27</f>
        <v>4.2892899999999941</v>
      </c>
      <c r="D217" s="227">
        <f>'t5'!E27</f>
        <v>4.9412999999999982</v>
      </c>
      <c r="E217" s="227">
        <f>'t5'!F27</f>
        <v>4.3178400000000039</v>
      </c>
      <c r="F217" s="227">
        <f>'t5'!G27</f>
        <v>4.7334299999999985</v>
      </c>
      <c r="G217" s="227">
        <f>'t5'!H27</f>
        <v>4.2510999999999939</v>
      </c>
      <c r="H217" s="227">
        <f>'t5'!I27</f>
        <v>4.5285200000000003</v>
      </c>
      <c r="I217" s="227">
        <f>'t5'!J27</f>
        <v>4.6768699999999939</v>
      </c>
      <c r="J217" s="227">
        <f>'t5'!K27</f>
        <v>4.4281000000000006</v>
      </c>
      <c r="K217" s="227">
        <f>'t5'!L27</f>
        <v>4.5888511111111097</v>
      </c>
      <c r="L217" s="227">
        <f>'t5'!M27</f>
        <v>0.28981558436911364</v>
      </c>
    </row>
    <row r="218" spans="1:12" s="292" customFormat="1" ht="15.2" hidden="1" customHeight="1" x14ac:dyDescent="0.2">
      <c r="A218" s="226">
        <v>26</v>
      </c>
      <c r="B218" s="227">
        <f>'t5'!C28</f>
        <v>5.126499999999993</v>
      </c>
      <c r="C218" s="227">
        <f>'t5'!D28</f>
        <v>4.2684899999999999</v>
      </c>
      <c r="D218" s="227">
        <f>'t5'!E28</f>
        <v>4.9274000000000058</v>
      </c>
      <c r="E218" s="227">
        <f>'t5'!F28</f>
        <v>4.3006799999999998</v>
      </c>
      <c r="F218" s="227">
        <f>'t5'!G28</f>
        <v>4.7099199999999968</v>
      </c>
      <c r="G218" s="227">
        <f>'t5'!H28</f>
        <v>4.2302200000000028</v>
      </c>
      <c r="H218" s="227">
        <f>'t5'!I28</f>
        <v>4.5121000000000038</v>
      </c>
      <c r="I218" s="227">
        <f>'t5'!J28</f>
        <v>4.6607800000000026</v>
      </c>
      <c r="J218" s="227">
        <f>'t5'!K28</f>
        <v>4.418059999999997</v>
      </c>
      <c r="K218" s="227">
        <f>'t5'!L28</f>
        <v>4.5726833333333339</v>
      </c>
      <c r="L218" s="227">
        <f>'t5'!M28</f>
        <v>0.29259585073385108</v>
      </c>
    </row>
    <row r="219" spans="1:12" s="292" customFormat="1" ht="15.2" hidden="1" customHeight="1" x14ac:dyDescent="0.2">
      <c r="A219" s="226">
        <v>27</v>
      </c>
      <c r="B219" s="227">
        <f>'t5'!C29</f>
        <v>5.1088199999999944</v>
      </c>
      <c r="C219" s="227">
        <f>'t5'!D29</f>
        <v>4.2603399999999993</v>
      </c>
      <c r="D219" s="227">
        <f>'t5'!E29</f>
        <v>4.916719999999998</v>
      </c>
      <c r="E219" s="227">
        <f>'t5'!F29</f>
        <v>4.2865599999999944</v>
      </c>
      <c r="F219" s="227">
        <f>'t5'!G29</f>
        <v>4.6934499999999986</v>
      </c>
      <c r="G219" s="227">
        <f>'t5'!H29</f>
        <v>4.2168700000000001</v>
      </c>
      <c r="H219" s="227">
        <f>'t5'!I29</f>
        <v>4.4971199999999953</v>
      </c>
      <c r="I219" s="227">
        <f>'t5'!J29</f>
        <v>4.6509999999999962</v>
      </c>
      <c r="J219" s="227">
        <f>'t5'!K29</f>
        <v>4.4105100000000022</v>
      </c>
      <c r="K219" s="227">
        <f>'t5'!L29</f>
        <v>4.560154444444442</v>
      </c>
      <c r="L219" s="227">
        <f>'t5'!M29</f>
        <v>0.29119431069347201</v>
      </c>
    </row>
    <row r="220" spans="1:12" s="292" customFormat="1" ht="15.2" hidden="1" customHeight="1" x14ac:dyDescent="0.2">
      <c r="A220" s="226">
        <v>28</v>
      </c>
      <c r="B220" s="227">
        <f>'t5'!C30</f>
        <v>5.1044899999999984</v>
      </c>
      <c r="C220" s="227">
        <f>'t5'!D30</f>
        <v>4.2689699999999959</v>
      </c>
      <c r="D220" s="227">
        <f>'t5'!E30</f>
        <v>4.9113899999999973</v>
      </c>
      <c r="E220" s="227">
        <f>'t5'!F30</f>
        <v>4.2832300000000032</v>
      </c>
      <c r="F220" s="227">
        <f>'t5'!G30</f>
        <v>4.6951600000000013</v>
      </c>
      <c r="G220" s="227">
        <f>'t5'!H30</f>
        <v>4.2174399999999963</v>
      </c>
      <c r="H220" s="227">
        <f>'t5'!I30</f>
        <v>4.5048199999999952</v>
      </c>
      <c r="I220" s="227">
        <f>'t5'!J30</f>
        <v>4.653649999999999</v>
      </c>
      <c r="J220" s="227">
        <f>'t5'!K30</f>
        <v>4.4138999999999982</v>
      </c>
      <c r="K220" s="227">
        <f>'t5'!L30</f>
        <v>4.561449999999998</v>
      </c>
      <c r="L220" s="227">
        <f>'t5'!M30</f>
        <v>0.2886754054874322</v>
      </c>
    </row>
    <row r="221" spans="1:12" s="292" customFormat="1" ht="15.2" hidden="1" customHeight="1" x14ac:dyDescent="0.2">
      <c r="A221" s="226">
        <v>29</v>
      </c>
      <c r="B221" s="227">
        <f>'t5'!C31</f>
        <v>5.0949899999999957</v>
      </c>
      <c r="C221" s="227">
        <f>'t5'!D31</f>
        <v>4.2656700000000001</v>
      </c>
      <c r="D221" s="227">
        <f>'t5'!E31</f>
        <v>4.9095899999999943</v>
      </c>
      <c r="E221" s="227">
        <f>'t5'!F31</f>
        <v>4.287949999999995</v>
      </c>
      <c r="F221" s="227">
        <f>'t5'!G31</f>
        <v>4.7036899999999946</v>
      </c>
      <c r="G221" s="227">
        <f>'t5'!H31</f>
        <v>4.2235900000000015</v>
      </c>
      <c r="H221" s="227">
        <f>'t5'!I31</f>
        <v>4.503619999999998</v>
      </c>
      <c r="I221" s="227">
        <f>'t5'!J31</f>
        <v>4.656019999999998</v>
      </c>
      <c r="J221" s="227">
        <f>'t5'!K31</f>
        <v>4.4169600000000031</v>
      </c>
      <c r="K221" s="227">
        <f>'t5'!L31</f>
        <v>4.5624533333333313</v>
      </c>
      <c r="L221" s="227">
        <f>'t5'!M31</f>
        <v>0.285908326527537</v>
      </c>
    </row>
    <row r="222" spans="1:12" s="292" customFormat="1" ht="15.2" hidden="1" customHeight="1" x14ac:dyDescent="0.2">
      <c r="A222" s="226">
        <v>30</v>
      </c>
      <c r="B222" s="227">
        <f>'t5'!C32</f>
        <v>5.1031799999999947</v>
      </c>
      <c r="C222" s="227">
        <f>'t5'!D32</f>
        <v>4.2781499999999966</v>
      </c>
      <c r="D222" s="227">
        <f>'t5'!E32</f>
        <v>4.9044899999999956</v>
      </c>
      <c r="E222" s="227">
        <f>'t5'!F32</f>
        <v>4.2878400000000028</v>
      </c>
      <c r="F222" s="227">
        <f>'t5'!G32</f>
        <v>4.7045999999999992</v>
      </c>
      <c r="G222" s="227">
        <f>'t5'!H32</f>
        <v>4.225980000000007</v>
      </c>
      <c r="H222" s="227">
        <f>'t5'!I32</f>
        <v>4.508499999999998</v>
      </c>
      <c r="I222" s="227">
        <f>'t5'!J32</f>
        <v>4.652630000000002</v>
      </c>
      <c r="J222" s="227">
        <f>'t5'!K32</f>
        <v>4.4204399999999993</v>
      </c>
      <c r="K222" s="227">
        <f>'t5'!L32</f>
        <v>4.5650899999999996</v>
      </c>
      <c r="L222" s="227">
        <f>'t5'!M32</f>
        <v>0.28483587254573028</v>
      </c>
    </row>
    <row r="223" spans="1:12" s="292" customFormat="1" ht="15.2" hidden="1" customHeight="1" x14ac:dyDescent="0.35">
      <c r="A223" s="228" t="s">
        <v>40</v>
      </c>
      <c r="B223" s="227">
        <f>'t5'!C33</f>
        <v>5.1257733333333322</v>
      </c>
      <c r="C223" s="227">
        <f>'t5'!D33</f>
        <v>4.2723469999999981</v>
      </c>
      <c r="D223" s="227">
        <f>'t5'!E33</f>
        <v>4.9169433333333323</v>
      </c>
      <c r="E223" s="227">
        <f>'t5'!F33</f>
        <v>4.2907169999999999</v>
      </c>
      <c r="F223" s="227">
        <f>'t5'!G33</f>
        <v>4.7052466666666675</v>
      </c>
      <c r="G223" s="227">
        <f>'t5'!H33</f>
        <v>4.223990333333334</v>
      </c>
      <c r="H223" s="227">
        <f>'t5'!I33</f>
        <v>4.5093023333333342</v>
      </c>
      <c r="I223" s="227">
        <f>'t5'!J33</f>
        <v>4.6578226666666653</v>
      </c>
      <c r="J223" s="227">
        <f>'t5'!K33</f>
        <v>4.4143063333333332</v>
      </c>
      <c r="K223" s="137"/>
      <c r="L223" s="137"/>
    </row>
    <row r="224" spans="1:12" s="292" customFormat="1" ht="15.2" hidden="1" customHeight="1" x14ac:dyDescent="0.35">
      <c r="A224" s="228" t="s">
        <v>39</v>
      </c>
      <c r="B224" s="227">
        <f>'t5'!C34</f>
        <v>1.5860574040333721E-2</v>
      </c>
      <c r="C224" s="227">
        <f>'t5'!D34</f>
        <v>1.5170173180729326E-2</v>
      </c>
      <c r="D224" s="227">
        <f>'t5'!E34</f>
        <v>1.1131499250126643E-2</v>
      </c>
      <c r="E224" s="227">
        <f>'t5'!F34</f>
        <v>1.4553187543169914E-2</v>
      </c>
      <c r="F224" s="227">
        <f>'t5'!G34</f>
        <v>1.6305740366168459E-2</v>
      </c>
      <c r="G224" s="227">
        <f>'t5'!H34</f>
        <v>1.5348389379852499E-2</v>
      </c>
      <c r="H224" s="227">
        <f>'t5'!I34</f>
        <v>1.3215685045514002E-2</v>
      </c>
      <c r="I224" s="227">
        <f>'t5'!J34</f>
        <v>1.1730107681612447E-2</v>
      </c>
      <c r="J224" s="227">
        <f>'t5'!K34</f>
        <v>1.0379625068160071E-2</v>
      </c>
      <c r="K224" s="294"/>
      <c r="L224" s="294"/>
    </row>
    <row r="225" spans="1:12" s="292" customFormat="1" ht="15.2" hidden="1" customHeight="1" x14ac:dyDescent="0.35">
      <c r="A225" s="228" t="s">
        <v>52</v>
      </c>
      <c r="B225" s="227">
        <f>'t5'!C35</f>
        <v>2.9456666666670905E-2</v>
      </c>
      <c r="C225" s="227">
        <f>'t5'!D35</f>
        <v>3.5162999999995392E-2</v>
      </c>
      <c r="D225" s="227">
        <f>'t5'!E35</f>
        <v>2.4356666666665916E-2</v>
      </c>
      <c r="E225" s="227">
        <f>'t5'!F35</f>
        <v>2.7123000000004005E-2</v>
      </c>
      <c r="F225" s="227">
        <f>'t5'!G35</f>
        <v>4.3103333333334604E-2</v>
      </c>
      <c r="G225" s="227">
        <f>'t5'!H35</f>
        <v>3.7969666666668012E-2</v>
      </c>
      <c r="H225" s="227">
        <f>'t5'!I35</f>
        <v>2.5337666666661818E-2</v>
      </c>
      <c r="I225" s="227">
        <f>'t5'!J35</f>
        <v>2.9237333333337112E-2</v>
      </c>
      <c r="J225" s="227">
        <f>'t5'!K35</f>
        <v>2.27636666666724E-2</v>
      </c>
      <c r="K225" s="421"/>
      <c r="L225" s="416"/>
    </row>
    <row r="226" spans="1:12" s="292" customFormat="1" ht="15.2" hidden="1" customHeight="1" x14ac:dyDescent="0.35">
      <c r="A226" s="228" t="s">
        <v>51</v>
      </c>
      <c r="B226" s="227">
        <f>'t5'!C36</f>
        <v>3.1353333333332678E-2</v>
      </c>
      <c r="C226" s="227">
        <f>'t5'!D36</f>
        <v>2.5686999999992466E-2</v>
      </c>
      <c r="D226" s="227">
        <f>'t5'!E36</f>
        <v>2.2153333333331915E-2</v>
      </c>
      <c r="E226" s="227">
        <f>'t5'!F36</f>
        <v>3.3747000000004412E-2</v>
      </c>
      <c r="F226" s="227">
        <f>'t5'!G36</f>
        <v>2.9876666666666551E-2</v>
      </c>
      <c r="G226" s="227">
        <f>'t5'!H36</f>
        <v>2.4490333333333503E-2</v>
      </c>
      <c r="H226" s="227">
        <f>'t5'!I36</f>
        <v>2.8972333333339151E-2</v>
      </c>
      <c r="I226" s="227">
        <f>'t5'!J36</f>
        <v>2.2282666666659345E-2</v>
      </c>
      <c r="J226" s="227">
        <f>'t5'!K36</f>
        <v>1.6936333333338105E-2</v>
      </c>
      <c r="K226" s="421"/>
      <c r="L226" s="416"/>
    </row>
    <row r="227" spans="1:12" s="292" customFormat="1" ht="15.2" hidden="1" customHeight="1" x14ac:dyDescent="0.35">
      <c r="A227" s="229" t="s">
        <v>44</v>
      </c>
      <c r="B227" s="227">
        <f>'t5'!C37</f>
        <v>3.0405000000001792E-2</v>
      </c>
      <c r="C227" s="227">
        <f>'t5'!D37</f>
        <v>3.0424999999993929E-2</v>
      </c>
      <c r="D227" s="227">
        <f>'t5'!E37</f>
        <v>2.3254999999998915E-2</v>
      </c>
      <c r="E227" s="227">
        <f>'t5'!F37</f>
        <v>3.0435000000004209E-2</v>
      </c>
      <c r="F227" s="227">
        <f>'t5'!G37</f>
        <v>3.6490000000000578E-2</v>
      </c>
      <c r="G227" s="227">
        <f>'t5'!H37</f>
        <v>3.1230000000000757E-2</v>
      </c>
      <c r="H227" s="227">
        <f>'t5'!I37</f>
        <v>2.7155000000000484E-2</v>
      </c>
      <c r="I227" s="227">
        <f>'t5'!J37</f>
        <v>2.5759999999998229E-2</v>
      </c>
      <c r="J227" s="227">
        <f>'t5'!K37</f>
        <v>1.9850000000005252E-2</v>
      </c>
      <c r="K227" s="421"/>
      <c r="L227" s="416"/>
    </row>
    <row r="228" spans="1:12" s="292" customFormat="1" ht="15.2" hidden="1" customHeight="1" x14ac:dyDescent="0.35">
      <c r="A228" s="230" t="s">
        <v>43</v>
      </c>
      <c r="B228" s="227">
        <f>'t5'!C38</f>
        <v>0.42052666666666472</v>
      </c>
      <c r="C228" s="227">
        <f>'t5'!D38</f>
        <v>-0.43289966666666935</v>
      </c>
      <c r="D228" s="227">
        <f>'t5'!E38</f>
        <v>0.21169666666666487</v>
      </c>
      <c r="E228" s="227">
        <f>'t5'!F38</f>
        <v>-0.41452966666666757</v>
      </c>
      <c r="F228" s="227">
        <f>'t5'!G38</f>
        <v>0</v>
      </c>
      <c r="G228" s="227">
        <f>'t5'!H38</f>
        <v>-0.48125633333333351</v>
      </c>
      <c r="H228" s="227">
        <f>'t5'!I38</f>
        <v>-0.19594433333333328</v>
      </c>
      <c r="I228" s="227">
        <f>'t5'!J38</f>
        <v>-4.7424000000002131E-2</v>
      </c>
      <c r="J228" s="227">
        <f>'t5'!K38</f>
        <v>-0.29094033333333424</v>
      </c>
      <c r="K228" s="139"/>
      <c r="L228" s="139"/>
    </row>
    <row r="229" spans="1:12" s="292" customFormat="1" ht="15.2" hidden="1" customHeight="1" x14ac:dyDescent="0.35">
      <c r="A229" s="231" t="s">
        <v>95</v>
      </c>
      <c r="B229" s="232">
        <f>'t5'!C40</f>
        <v>4.568494333333331</v>
      </c>
      <c r="C229" s="139"/>
      <c r="D229" s="139"/>
      <c r="E229" s="139"/>
      <c r="F229" s="139"/>
      <c r="G229" s="139"/>
      <c r="H229" s="139"/>
      <c r="I229" s="139"/>
      <c r="J229" s="139"/>
      <c r="K229" s="139"/>
      <c r="L229" s="139"/>
    </row>
    <row r="230" spans="1:12" s="292" customFormat="1" ht="15.2" hidden="1" customHeight="1" x14ac:dyDescent="0.35">
      <c r="A230" s="233" t="s">
        <v>47</v>
      </c>
      <c r="B230" s="232">
        <f>'t5'!C41</f>
        <v>-35.431505666666666</v>
      </c>
      <c r="C230" s="139"/>
      <c r="D230" s="139"/>
      <c r="E230" s="139"/>
      <c r="F230" s="139"/>
      <c r="G230" s="139"/>
      <c r="H230" s="139"/>
      <c r="I230" s="139"/>
      <c r="J230" s="139"/>
      <c r="K230" s="139"/>
      <c r="L230" s="139"/>
    </row>
    <row r="231" spans="1:12" s="292" customFormat="1" ht="15.2" hidden="1" customHeight="1" x14ac:dyDescent="0.35">
      <c r="A231" s="298" t="s">
        <v>259</v>
      </c>
      <c r="B231" s="234">
        <f>'t5'!C46</f>
        <v>0.29273049864533757</v>
      </c>
      <c r="C231" s="139"/>
      <c r="D231" s="139"/>
      <c r="E231" s="139"/>
      <c r="F231" s="139"/>
      <c r="G231" s="139"/>
      <c r="H231" s="139"/>
      <c r="I231" s="139"/>
      <c r="J231" s="139"/>
      <c r="K231" s="139"/>
      <c r="L231" s="139"/>
    </row>
    <row r="232" spans="1:12" s="292" customFormat="1" ht="15.2" hidden="1" customHeight="1" x14ac:dyDescent="0.35">
      <c r="A232" s="233" t="s">
        <v>48</v>
      </c>
      <c r="B232" s="232">
        <f>'t5'!C42</f>
        <v>0.90178299999999822</v>
      </c>
      <c r="C232" s="139"/>
      <c r="D232" s="139"/>
      <c r="E232" s="139"/>
      <c r="F232" s="139"/>
      <c r="G232" s="139"/>
      <c r="H232" s="139"/>
      <c r="I232" s="139"/>
      <c r="J232" s="139"/>
      <c r="K232" s="139"/>
      <c r="L232" s="139"/>
    </row>
    <row r="233" spans="1:12" s="292" customFormat="1" ht="15.2" hidden="1" customHeight="1" x14ac:dyDescent="0.35">
      <c r="A233" s="241" t="s">
        <v>49</v>
      </c>
      <c r="B233" s="240">
        <f>'t5'!C43</f>
        <v>0.42052666666666472</v>
      </c>
      <c r="C233" s="140"/>
      <c r="D233" s="139"/>
      <c r="E233" s="139"/>
      <c r="F233" s="139"/>
      <c r="G233" s="139"/>
      <c r="H233" s="139"/>
      <c r="I233" s="139"/>
      <c r="J233" s="139"/>
      <c r="K233" s="139"/>
      <c r="L233" s="139"/>
    </row>
    <row r="234" spans="1:12" s="292" customFormat="1" hidden="1" x14ac:dyDescent="0.2">
      <c r="A234" s="242"/>
      <c r="B234" s="240">
        <f>'t5'!C44</f>
        <v>-0.48125633333333351</v>
      </c>
      <c r="C234" s="139"/>
      <c r="D234" s="139"/>
      <c r="E234" s="139"/>
      <c r="F234" s="139"/>
      <c r="G234" s="139"/>
      <c r="H234" s="139"/>
      <c r="I234" s="139"/>
      <c r="J234" s="139"/>
      <c r="K234" s="139"/>
      <c r="L234" s="139"/>
    </row>
    <row r="235" spans="1:12" s="292" customFormat="1" ht="18.75" hidden="1" x14ac:dyDescent="0.35">
      <c r="A235" s="242" t="s">
        <v>50</v>
      </c>
      <c r="B235" s="232">
        <f>'t5'!C45</f>
        <v>2.8333888888889349E-2</v>
      </c>
    </row>
    <row r="236" spans="1:12" s="292" customFormat="1" ht="33" hidden="1" customHeight="1" x14ac:dyDescent="0.2">
      <c r="A236" s="417" t="s">
        <v>374</v>
      </c>
      <c r="B236" s="417"/>
      <c r="C236" s="417"/>
      <c r="D236" s="417"/>
      <c r="E236" s="417"/>
      <c r="F236" s="417"/>
      <c r="G236" s="417"/>
      <c r="H236" s="417"/>
      <c r="I236" s="417"/>
      <c r="J236" s="417"/>
      <c r="K236" s="417"/>
      <c r="L236" s="417"/>
    </row>
    <row r="237" spans="1:12" s="292" customFormat="1" ht="25.5" hidden="1" customHeight="1" thickBot="1" x14ac:dyDescent="0.25">
      <c r="A237" s="418" t="str">
        <f>"Тзад =  "&amp;'t6'!C39&amp;" °С"</f>
        <v>Тзад =  25 °С</v>
      </c>
      <c r="B237" s="418"/>
      <c r="C237" s="418"/>
      <c r="D237" s="418"/>
      <c r="E237" s="418"/>
      <c r="F237" s="418"/>
      <c r="G237" s="418"/>
      <c r="H237" s="418"/>
      <c r="I237" s="418"/>
      <c r="J237" s="418"/>
      <c r="K237" s="418"/>
      <c r="L237" s="418"/>
    </row>
    <row r="238" spans="1:12" s="292" customFormat="1" ht="29.25" hidden="1" thickBot="1" x14ac:dyDescent="0.25">
      <c r="A238" s="239" t="s">
        <v>89</v>
      </c>
      <c r="B238" s="419" t="s">
        <v>94</v>
      </c>
      <c r="C238" s="419"/>
      <c r="D238" s="419"/>
      <c r="E238" s="419"/>
      <c r="F238" s="419"/>
      <c r="G238" s="419"/>
      <c r="H238" s="419"/>
      <c r="I238" s="419"/>
      <c r="J238" s="419"/>
      <c r="K238" s="420" t="s">
        <v>91</v>
      </c>
      <c r="L238" s="420"/>
    </row>
    <row r="239" spans="1:12" s="292" customFormat="1" ht="15.2" hidden="1" customHeight="1" x14ac:dyDescent="0.2">
      <c r="A239" s="236"/>
      <c r="B239" s="235">
        <v>1</v>
      </c>
      <c r="C239" s="235">
        <v>2</v>
      </c>
      <c r="D239" s="235">
        <v>3</v>
      </c>
      <c r="E239" s="235">
        <v>4</v>
      </c>
      <c r="F239" s="235">
        <v>5</v>
      </c>
      <c r="G239" s="235">
        <v>6</v>
      </c>
      <c r="H239" s="235">
        <v>7</v>
      </c>
      <c r="I239" s="235">
        <v>8</v>
      </c>
      <c r="J239" s="235">
        <v>9</v>
      </c>
      <c r="K239" s="237" t="s">
        <v>92</v>
      </c>
      <c r="L239" s="238" t="s">
        <v>93</v>
      </c>
    </row>
    <row r="240" spans="1:12" s="292" customFormat="1" ht="15.2" hidden="1" customHeight="1" x14ac:dyDescent="0.2">
      <c r="A240" s="226">
        <v>1</v>
      </c>
      <c r="B240" s="227">
        <f>'t6'!C3</f>
        <v>25.13158</v>
      </c>
      <c r="C240" s="227">
        <f>'t6'!D3</f>
        <v>24.253600000000006</v>
      </c>
      <c r="D240" s="227">
        <f>'t6'!E3</f>
        <v>24.89479</v>
      </c>
      <c r="E240" s="227">
        <f>'t6'!F3</f>
        <v>24.256969999999995</v>
      </c>
      <c r="F240" s="227">
        <f>'t6'!G3</f>
        <v>24.677800000000005</v>
      </c>
      <c r="G240" s="227">
        <f>'t6'!H3</f>
        <v>24.1995</v>
      </c>
      <c r="H240" s="227">
        <f>'t6'!I3</f>
        <v>24.499120000000005</v>
      </c>
      <c r="I240" s="227">
        <f>'t6'!J3</f>
        <v>24.635540000000006</v>
      </c>
      <c r="J240" s="227">
        <f>'t6'!K3</f>
        <v>24.402159999999995</v>
      </c>
      <c r="K240" s="227">
        <f>'t6'!L3</f>
        <v>24.550117777777775</v>
      </c>
      <c r="L240" s="227">
        <f>'t6'!M3</f>
        <v>0.29847398512276063</v>
      </c>
    </row>
    <row r="241" spans="1:12" s="292" customFormat="1" ht="15.2" hidden="1" customHeight="1" x14ac:dyDescent="0.2">
      <c r="A241" s="226">
        <v>2</v>
      </c>
      <c r="B241" s="227">
        <f>'t6'!C4</f>
        <v>25.139309999999995</v>
      </c>
      <c r="C241" s="227">
        <f>'t6'!D4</f>
        <v>24.27073</v>
      </c>
      <c r="D241" s="227">
        <f>'t6'!E4</f>
        <v>24.90428</v>
      </c>
      <c r="E241" s="227">
        <f>'t6'!F4</f>
        <v>24.272720000000007</v>
      </c>
      <c r="F241" s="227">
        <f>'t6'!G4</f>
        <v>24.699889999999996</v>
      </c>
      <c r="G241" s="227">
        <f>'t6'!H4</f>
        <v>24.217330000000004</v>
      </c>
      <c r="H241" s="227">
        <f>'t6'!I4</f>
        <v>24.513459999999995</v>
      </c>
      <c r="I241" s="227">
        <f>'t6'!J4</f>
        <v>24.651079999999993</v>
      </c>
      <c r="J241" s="227">
        <f>'t6'!K4</f>
        <v>24.410449999999997</v>
      </c>
      <c r="K241" s="227">
        <f>'t6'!L4</f>
        <v>24.564361111111108</v>
      </c>
      <c r="L241" s="227">
        <f>'t6'!M4</f>
        <v>0.29627000329820674</v>
      </c>
    </row>
    <row r="242" spans="1:12" s="292" customFormat="1" ht="15.2" hidden="1" customHeight="1" x14ac:dyDescent="0.2">
      <c r="A242" s="226">
        <v>3</v>
      </c>
      <c r="B242" s="227">
        <f>'t6'!C5</f>
        <v>25.132829999999998</v>
      </c>
      <c r="C242" s="227">
        <f>'t6'!D5</f>
        <v>24.264439999999993</v>
      </c>
      <c r="D242" s="227">
        <f>'t6'!E5</f>
        <v>24.918030000000002</v>
      </c>
      <c r="E242" s="227">
        <f>'t6'!F5</f>
        <v>24.286150000000006</v>
      </c>
      <c r="F242" s="227">
        <f>'t6'!G5</f>
        <v>24.709720000000004</v>
      </c>
      <c r="G242" s="227">
        <f>'t6'!H5</f>
        <v>24.219620000000006</v>
      </c>
      <c r="H242" s="227">
        <f>'t6'!I5</f>
        <v>24.518749999999997</v>
      </c>
      <c r="I242" s="227">
        <f>'t6'!J5</f>
        <v>24.659400000000005</v>
      </c>
      <c r="J242" s="227">
        <f>'t6'!K5</f>
        <v>24.407790000000006</v>
      </c>
      <c r="K242" s="227">
        <f>'t6'!L5</f>
        <v>24.56852555555556</v>
      </c>
      <c r="L242" s="227">
        <f>'t6'!M5</f>
        <v>0.29646800266212325</v>
      </c>
    </row>
    <row r="243" spans="1:12" s="292" customFormat="1" ht="15.2" hidden="1" customHeight="1" x14ac:dyDescent="0.2">
      <c r="A243" s="226">
        <v>4</v>
      </c>
      <c r="B243" s="227">
        <f>'t6'!C6</f>
        <v>25.124690000000001</v>
      </c>
      <c r="C243" s="227">
        <f>'t6'!D6</f>
        <v>24.252579999999995</v>
      </c>
      <c r="D243" s="227">
        <f>'t6'!E6</f>
        <v>24.916460000000001</v>
      </c>
      <c r="E243" s="227">
        <f>'t6'!F6</f>
        <v>24.28125</v>
      </c>
      <c r="F243" s="227">
        <f>'t6'!G6</f>
        <v>24.691739999999996</v>
      </c>
      <c r="G243" s="227">
        <f>'t6'!H6</f>
        <v>24.206649999999996</v>
      </c>
      <c r="H243" s="227">
        <f>'t6'!I6</f>
        <v>24.500990000000002</v>
      </c>
      <c r="I243" s="227">
        <f>'t6'!J6</f>
        <v>24.653149999999997</v>
      </c>
      <c r="J243" s="227">
        <f>'t6'!K6</f>
        <v>24.403400000000005</v>
      </c>
      <c r="K243" s="227">
        <f>'t6'!L6</f>
        <v>24.558989999999998</v>
      </c>
      <c r="L243" s="227">
        <f>'t6'!M6</f>
        <v>0.2975888809153408</v>
      </c>
    </row>
    <row r="244" spans="1:12" s="292" customFormat="1" ht="15.2" hidden="1" customHeight="1" x14ac:dyDescent="0.2">
      <c r="A244" s="226">
        <v>5</v>
      </c>
      <c r="B244" s="227">
        <f>'t6'!C7</f>
        <v>25.124499999999998</v>
      </c>
      <c r="C244" s="227">
        <f>'t6'!D7</f>
        <v>24.246660000000006</v>
      </c>
      <c r="D244" s="227">
        <f>'t6'!E7</f>
        <v>24.909790000000001</v>
      </c>
      <c r="E244" s="227">
        <f>'t6'!F7</f>
        <v>24.274609999999996</v>
      </c>
      <c r="F244" s="227">
        <f>'t6'!G7</f>
        <v>24.675370000000001</v>
      </c>
      <c r="G244" s="227">
        <f>'t6'!H7</f>
        <v>24.200069999999997</v>
      </c>
      <c r="H244" s="227">
        <f>'t6'!I7</f>
        <v>24.486890000000002</v>
      </c>
      <c r="I244" s="227">
        <f>'t6'!J7</f>
        <v>24.640349999999998</v>
      </c>
      <c r="J244" s="227">
        <f>'t6'!K7</f>
        <v>24.397369999999995</v>
      </c>
      <c r="K244" s="227">
        <f>'t6'!L7</f>
        <v>24.550623333333334</v>
      </c>
      <c r="L244" s="227">
        <f>'t6'!M7</f>
        <v>0.29832140724765671</v>
      </c>
    </row>
    <row r="245" spans="1:12" s="292" customFormat="1" ht="15.2" hidden="1" customHeight="1" x14ac:dyDescent="0.2">
      <c r="A245" s="226">
        <v>6</v>
      </c>
      <c r="B245" s="227">
        <f>'t6'!C8</f>
        <v>25.127030000000005</v>
      </c>
      <c r="C245" s="227">
        <f>'t6'!D8</f>
        <v>24.251769999999993</v>
      </c>
      <c r="D245" s="227">
        <f>'t6'!E8</f>
        <v>24.905709999999999</v>
      </c>
      <c r="E245" s="227">
        <f>'t6'!F8</f>
        <v>24.27167</v>
      </c>
      <c r="F245" s="227">
        <f>'t6'!G8</f>
        <v>24.682100000000005</v>
      </c>
      <c r="G245" s="227">
        <f>'t6'!H8</f>
        <v>24.203900000000004</v>
      </c>
      <c r="H245" s="227">
        <f>'t6'!I8</f>
        <v>24.491780000000006</v>
      </c>
      <c r="I245" s="227">
        <f>'t6'!J8</f>
        <v>24.641329999999996</v>
      </c>
      <c r="J245" s="227">
        <f>'t6'!K8</f>
        <v>24.400069999999999</v>
      </c>
      <c r="K245" s="227">
        <f>'t6'!L8</f>
        <v>24.552817777777776</v>
      </c>
      <c r="L245" s="227">
        <f>'t6'!M8</f>
        <v>0.29763434877856448</v>
      </c>
    </row>
    <row r="246" spans="1:12" s="292" customFormat="1" ht="15.2" hidden="1" customHeight="1" x14ac:dyDescent="0.2">
      <c r="A246" s="226">
        <v>7</v>
      </c>
      <c r="B246" s="227">
        <f>'t6'!C9</f>
        <v>25.119370000000004</v>
      </c>
      <c r="C246" s="227">
        <f>'t6'!D9</f>
        <v>24.24973</v>
      </c>
      <c r="D246" s="227">
        <f>'t6'!E9</f>
        <v>24.909959999999998</v>
      </c>
      <c r="E246" s="227">
        <f>'t6'!F9</f>
        <v>24.274109999999993</v>
      </c>
      <c r="F246" s="227">
        <f>'t6'!G9</f>
        <v>24.690460000000002</v>
      </c>
      <c r="G246" s="227">
        <f>'t6'!H9</f>
        <v>24.206329999999994</v>
      </c>
      <c r="H246" s="227">
        <f>'t6'!I9</f>
        <v>24.500290000000007</v>
      </c>
      <c r="I246" s="227">
        <f>'t6'!J9</f>
        <v>24.642470000000003</v>
      </c>
      <c r="J246" s="227">
        <f>'t6'!K9</f>
        <v>24.40222</v>
      </c>
      <c r="K246" s="227">
        <f>'t6'!L9</f>
        <v>24.554993333333332</v>
      </c>
      <c r="L246" s="227">
        <f>'t6'!M9</f>
        <v>0.29636785644420782</v>
      </c>
    </row>
    <row r="247" spans="1:12" s="292" customFormat="1" ht="15.2" hidden="1" customHeight="1" x14ac:dyDescent="0.2">
      <c r="A247" s="226">
        <v>8</v>
      </c>
      <c r="B247" s="227">
        <f>'t6'!C10</f>
        <v>25.118790000000004</v>
      </c>
      <c r="C247" s="227">
        <f>'t6'!D10</f>
        <v>24.257890000000003</v>
      </c>
      <c r="D247" s="227">
        <f>'t6'!E10</f>
        <v>24.908879999999996</v>
      </c>
      <c r="E247" s="227">
        <f>'t6'!F10</f>
        <v>24.275310000000005</v>
      </c>
      <c r="F247" s="227">
        <f>'t6'!G10</f>
        <v>24.696119999999993</v>
      </c>
      <c r="G247" s="227">
        <f>'t6'!H10</f>
        <v>24.207120000000003</v>
      </c>
      <c r="H247" s="227">
        <f>'t6'!I10</f>
        <v>24.506879999999995</v>
      </c>
      <c r="I247" s="227">
        <f>'t6'!J10</f>
        <v>24.647289999999998</v>
      </c>
      <c r="J247" s="227">
        <f>'t6'!K10</f>
        <v>24.401399999999995</v>
      </c>
      <c r="K247" s="227">
        <f>'t6'!L10</f>
        <v>24.55774222222222</v>
      </c>
      <c r="L247" s="227">
        <f>'t6'!M10</f>
        <v>0.29531239127321701</v>
      </c>
    </row>
    <row r="248" spans="1:12" s="292" customFormat="1" ht="15.2" hidden="1" customHeight="1" x14ac:dyDescent="0.2">
      <c r="A248" s="226">
        <v>9</v>
      </c>
      <c r="B248" s="227">
        <f>'t6'!C11</f>
        <v>25.116829999999993</v>
      </c>
      <c r="C248" s="227">
        <f>'t6'!D11</f>
        <v>24.264600000000002</v>
      </c>
      <c r="D248" s="227">
        <f>'t6'!E11</f>
        <v>24.910629999999998</v>
      </c>
      <c r="E248" s="227">
        <f>'t6'!F11</f>
        <v>24.278729999999996</v>
      </c>
      <c r="F248" s="227">
        <f>'t6'!G11</f>
        <v>24.693920000000006</v>
      </c>
      <c r="G248" s="227">
        <f>'t6'!H11</f>
        <v>24.205029999999994</v>
      </c>
      <c r="H248" s="227">
        <f>'t6'!I11</f>
        <v>24.500590000000003</v>
      </c>
      <c r="I248" s="227">
        <f>'t6'!J11</f>
        <v>24.649760000000001</v>
      </c>
      <c r="J248" s="227">
        <f>'t6'!K11</f>
        <v>24.404499999999999</v>
      </c>
      <c r="K248" s="227">
        <f>'t6'!L11</f>
        <v>24.558287777777778</v>
      </c>
      <c r="L248" s="227">
        <f>'t6'!M11</f>
        <v>0.29421336859790753</v>
      </c>
    </row>
    <row r="249" spans="1:12" s="292" customFormat="1" ht="15.2" hidden="1" customHeight="1" x14ac:dyDescent="0.2">
      <c r="A249" s="226">
        <v>10</v>
      </c>
      <c r="B249" s="227">
        <f>'t6'!C12</f>
        <v>25.130129999999994</v>
      </c>
      <c r="C249" s="227">
        <f>'t6'!D12</f>
        <v>24.274609999999996</v>
      </c>
      <c r="D249" s="227">
        <f>'t6'!E12</f>
        <v>24.911389999999997</v>
      </c>
      <c r="E249" s="227">
        <f>'t6'!F12</f>
        <v>24.291210000000007</v>
      </c>
      <c r="F249" s="227">
        <f>'t6'!G12</f>
        <v>24.710220000000007</v>
      </c>
      <c r="G249" s="227">
        <f>'t6'!H12</f>
        <v>24.228740000000002</v>
      </c>
      <c r="H249" s="227">
        <f>'t6'!I12</f>
        <v>24.519900000000007</v>
      </c>
      <c r="I249" s="227">
        <f>'t6'!J12</f>
        <v>24.658860000000004</v>
      </c>
      <c r="J249" s="227">
        <f>'t6'!K12</f>
        <v>24.4178</v>
      </c>
      <c r="K249" s="227">
        <f>'t6'!L12</f>
        <v>24.571428888888889</v>
      </c>
      <c r="L249" s="227">
        <f>'t6'!M12</f>
        <v>0.29153701409538607</v>
      </c>
    </row>
    <row r="250" spans="1:12" s="292" customFormat="1" ht="15.2" hidden="1" customHeight="1" x14ac:dyDescent="0.2">
      <c r="A250" s="226">
        <v>11</v>
      </c>
      <c r="B250" s="227">
        <f>'t6'!C13</f>
        <v>25.146349999999998</v>
      </c>
      <c r="C250" s="227">
        <f>'t6'!D13</f>
        <v>24.278030000000001</v>
      </c>
      <c r="D250" s="227">
        <f>'t6'!E13</f>
        <v>24.923280000000005</v>
      </c>
      <c r="E250" s="227">
        <f>'t6'!F13</f>
        <v>24.30292</v>
      </c>
      <c r="F250" s="227">
        <f>'t6'!G13</f>
        <v>24.717969999999994</v>
      </c>
      <c r="G250" s="227">
        <f>'t6'!H13</f>
        <v>24.235529999999997</v>
      </c>
      <c r="H250" s="227">
        <f>'t6'!I13</f>
        <v>24.518140000000002</v>
      </c>
      <c r="I250" s="227">
        <f>'t6'!J13</f>
        <v>24.667180000000002</v>
      </c>
      <c r="J250" s="227">
        <f>'t6'!K13</f>
        <v>24.420320000000004</v>
      </c>
      <c r="K250" s="227">
        <f>'t6'!L13</f>
        <v>24.578857777777781</v>
      </c>
      <c r="L250" s="227">
        <f>'t6'!M13</f>
        <v>0.29461103591676707</v>
      </c>
    </row>
    <row r="251" spans="1:12" s="292" customFormat="1" ht="15.2" hidden="1" customHeight="1" x14ac:dyDescent="0.2">
      <c r="A251" s="226">
        <v>12</v>
      </c>
      <c r="B251" s="227">
        <f>'t6'!C14</f>
        <v>25.143979999999999</v>
      </c>
      <c r="C251" s="227">
        <f>'t6'!D14</f>
        <v>24.274280000000005</v>
      </c>
      <c r="D251" s="227">
        <f>'t6'!E14</f>
        <v>24.928280000000001</v>
      </c>
      <c r="E251" s="227">
        <f>'t6'!F14</f>
        <v>24.302549999999997</v>
      </c>
      <c r="F251" s="227">
        <f>'t6'!G14</f>
        <v>24.711780000000005</v>
      </c>
      <c r="G251" s="227">
        <f>'t6'!H14</f>
        <v>24.23236</v>
      </c>
      <c r="H251" s="227">
        <f>'t6'!I14</f>
        <v>24.52261</v>
      </c>
      <c r="I251" s="227">
        <f>'t6'!J14</f>
        <v>24.664699999999996</v>
      </c>
      <c r="J251" s="227">
        <f>'t6'!K14</f>
        <v>24.41583</v>
      </c>
      <c r="K251" s="227">
        <f>'t6'!L14</f>
        <v>24.577374444444441</v>
      </c>
      <c r="L251" s="227">
        <f>'t6'!M14</f>
        <v>0.29540793016178335</v>
      </c>
    </row>
    <row r="252" spans="1:12" s="292" customFormat="1" ht="15.2" hidden="1" customHeight="1" x14ac:dyDescent="0.2">
      <c r="A252" s="226">
        <v>13</v>
      </c>
      <c r="B252" s="227">
        <f>'t6'!C15</f>
        <v>25.138490000000004</v>
      </c>
      <c r="C252" s="227">
        <f>'t6'!D15</f>
        <v>24.282049999999998</v>
      </c>
      <c r="D252" s="227">
        <f>'t6'!E15</f>
        <v>24.922349999999994</v>
      </c>
      <c r="E252" s="227">
        <f>'t6'!F15</f>
        <v>24.295019999999994</v>
      </c>
      <c r="F252" s="227">
        <f>'t6'!G15</f>
        <v>24.702789999999993</v>
      </c>
      <c r="G252" s="227">
        <f>'t6'!H15</f>
        <v>24.226479999999995</v>
      </c>
      <c r="H252" s="227">
        <f>'t6'!I15</f>
        <v>24.506429999999995</v>
      </c>
      <c r="I252" s="227">
        <f>'t6'!J15</f>
        <v>24.662019999999998</v>
      </c>
      <c r="J252" s="227">
        <f>'t6'!K15</f>
        <v>24.418090000000007</v>
      </c>
      <c r="K252" s="227">
        <f>'t6'!L15</f>
        <v>24.57263555555555</v>
      </c>
      <c r="L252" s="227">
        <f>'t6'!M15</f>
        <v>0.29382964414818247</v>
      </c>
    </row>
    <row r="253" spans="1:12" s="292" customFormat="1" ht="15.2" hidden="1" customHeight="1" x14ac:dyDescent="0.2">
      <c r="A253" s="226">
        <v>14</v>
      </c>
      <c r="B253" s="227">
        <f>'t6'!C16</f>
        <v>25.155230000000003</v>
      </c>
      <c r="C253" s="227">
        <f>'t6'!D16</f>
        <v>24.293319999999994</v>
      </c>
      <c r="D253" s="227">
        <f>'t6'!E16</f>
        <v>24.927700000000002</v>
      </c>
      <c r="E253" s="227">
        <f>'t6'!F16</f>
        <v>24.301069999999996</v>
      </c>
      <c r="F253" s="227">
        <f>'t6'!G16</f>
        <v>24.723939999999999</v>
      </c>
      <c r="G253" s="227">
        <f>'t6'!H16</f>
        <v>24.239879999999999</v>
      </c>
      <c r="H253" s="227">
        <f>'t6'!I16</f>
        <v>24.517899999999997</v>
      </c>
      <c r="I253" s="227">
        <f>'t6'!J16</f>
        <v>24.67456</v>
      </c>
      <c r="J253" s="227">
        <f>'t6'!K16</f>
        <v>24.429699999999997</v>
      </c>
      <c r="K253" s="227">
        <f>'t6'!L16</f>
        <v>24.584811111111108</v>
      </c>
      <c r="L253" s="227">
        <f>'t6'!M16</f>
        <v>0.29502397655650153</v>
      </c>
    </row>
    <row r="254" spans="1:12" s="292" customFormat="1" ht="15.2" hidden="1" customHeight="1" x14ac:dyDescent="0.2">
      <c r="A254" s="226">
        <v>15</v>
      </c>
      <c r="B254" s="227">
        <f>'t6'!C17</f>
        <v>25.146789999999996</v>
      </c>
      <c r="C254" s="227">
        <f>'t6'!D17</f>
        <v>24.282229999999998</v>
      </c>
      <c r="D254" s="227">
        <f>'t6'!E17</f>
        <v>24.93477</v>
      </c>
      <c r="E254" s="227">
        <f>'t6'!F17</f>
        <v>24.313419999999994</v>
      </c>
      <c r="F254" s="227">
        <f>'t6'!G17</f>
        <v>24.726240000000004</v>
      </c>
      <c r="G254" s="227">
        <f>'t6'!H17</f>
        <v>24.240750000000006</v>
      </c>
      <c r="H254" s="227">
        <f>'t6'!I17</f>
        <v>24.521699999999996</v>
      </c>
      <c r="I254" s="227">
        <f>'t6'!J17</f>
        <v>24.671620000000004</v>
      </c>
      <c r="J254" s="227">
        <f>'t6'!K17</f>
        <v>24.426410000000004</v>
      </c>
      <c r="K254" s="227">
        <f>'t6'!L17</f>
        <v>24.584881111111116</v>
      </c>
      <c r="L254" s="227">
        <f>'t6'!M17</f>
        <v>0.29410689698529796</v>
      </c>
    </row>
    <row r="255" spans="1:12" s="292" customFormat="1" ht="15.2" hidden="1" customHeight="1" x14ac:dyDescent="0.2">
      <c r="A255" s="226">
        <v>16</v>
      </c>
      <c r="B255" s="227">
        <f>'t6'!C18</f>
        <v>25.139889999999994</v>
      </c>
      <c r="C255" s="227">
        <f>'t6'!D18</f>
        <v>24.285520000000005</v>
      </c>
      <c r="D255" s="227">
        <f>'t6'!E18</f>
        <v>24.924729999999997</v>
      </c>
      <c r="E255" s="227">
        <f>'t6'!F18</f>
        <v>24.304860000000005</v>
      </c>
      <c r="F255" s="227">
        <f>'t6'!G18</f>
        <v>24.707080000000005</v>
      </c>
      <c r="G255" s="227">
        <f>'t6'!H18</f>
        <v>24.231170000000006</v>
      </c>
      <c r="H255" s="227">
        <f>'t6'!I18</f>
        <v>24.520290000000003</v>
      </c>
      <c r="I255" s="227">
        <f>'t6'!J18</f>
        <v>24.666210000000007</v>
      </c>
      <c r="J255" s="227">
        <f>'t6'!K18</f>
        <v>24.422439999999995</v>
      </c>
      <c r="K255" s="227">
        <f>'t6'!L18</f>
        <v>24.578021111111113</v>
      </c>
      <c r="L255" s="227">
        <f>'t6'!M18</f>
        <v>0.29218622830290075</v>
      </c>
    </row>
    <row r="256" spans="1:12" s="292" customFormat="1" ht="15.2" hidden="1" customHeight="1" x14ac:dyDescent="0.2">
      <c r="A256" s="226">
        <v>17</v>
      </c>
      <c r="B256" s="227">
        <f>'t6'!C19</f>
        <v>25.137969999999996</v>
      </c>
      <c r="C256" s="227">
        <f>'t6'!D19</f>
        <v>24.290790000000001</v>
      </c>
      <c r="D256" s="227">
        <f>'t6'!E19</f>
        <v>24.928690000000003</v>
      </c>
      <c r="E256" s="227">
        <f>'t6'!F19</f>
        <v>24.306380000000004</v>
      </c>
      <c r="F256" s="227">
        <f>'t6'!G19</f>
        <v>24.715069999999997</v>
      </c>
      <c r="G256" s="227">
        <f>'t6'!H19</f>
        <v>24.237409999999997</v>
      </c>
      <c r="H256" s="227">
        <f>'t6'!I19</f>
        <v>24.529790000000006</v>
      </c>
      <c r="I256" s="227">
        <f>'t6'!J19</f>
        <v>24.669709999999995</v>
      </c>
      <c r="J256" s="227">
        <f>'t6'!K19</f>
        <v>24.427779999999998</v>
      </c>
      <c r="K256" s="227">
        <f>'t6'!L19</f>
        <v>24.582621111111109</v>
      </c>
      <c r="L256" s="227">
        <f>'t6'!M19</f>
        <v>0.29073000133550475</v>
      </c>
    </row>
    <row r="257" spans="1:12" s="292" customFormat="1" ht="15.2" hidden="1" customHeight="1" x14ac:dyDescent="0.2">
      <c r="A257" s="226">
        <v>18</v>
      </c>
      <c r="B257" s="227">
        <f>'t6'!C20</f>
        <v>25.132800000000003</v>
      </c>
      <c r="C257" s="227">
        <f>'t6'!D20</f>
        <v>24.284289999999999</v>
      </c>
      <c r="D257" s="227">
        <f>'t6'!E20</f>
        <v>24.927890000000005</v>
      </c>
      <c r="E257" s="227">
        <f>'t6'!F20</f>
        <v>24.303820000000002</v>
      </c>
      <c r="F257" s="227">
        <f>'t6'!G20</f>
        <v>24.713130000000007</v>
      </c>
      <c r="G257" s="227">
        <f>'t6'!H20</f>
        <v>24.233029999999999</v>
      </c>
      <c r="H257" s="227">
        <f>'t6'!I20</f>
        <v>24.512950000000004</v>
      </c>
      <c r="I257" s="227">
        <f>'t6'!J20</f>
        <v>24.661389999999997</v>
      </c>
      <c r="J257" s="227">
        <f>'t6'!K20</f>
        <v>24.421189999999996</v>
      </c>
      <c r="K257" s="227">
        <f>'t6'!L20</f>
        <v>24.576721111111109</v>
      </c>
      <c r="L257" s="227">
        <f>'t6'!M20</f>
        <v>0.2914886613172874</v>
      </c>
    </row>
    <row r="258" spans="1:12" s="292" customFormat="1" ht="15.2" hidden="1" customHeight="1" x14ac:dyDescent="0.2">
      <c r="A258" s="226">
        <v>19</v>
      </c>
      <c r="B258" s="227">
        <f>'t6'!C21</f>
        <v>25.114149999999995</v>
      </c>
      <c r="C258" s="227">
        <f>'t6'!D21</f>
        <v>24.268739999999994</v>
      </c>
      <c r="D258" s="227">
        <f>'t6'!E21</f>
        <v>24.922690000000003</v>
      </c>
      <c r="E258" s="227">
        <f>'t6'!F21</f>
        <v>24.297899999999998</v>
      </c>
      <c r="F258" s="227">
        <f>'t6'!G21</f>
        <v>24.711349999999996</v>
      </c>
      <c r="G258" s="227">
        <f>'t6'!H21</f>
        <v>24.230220000000003</v>
      </c>
      <c r="H258" s="227">
        <f>'t6'!I21</f>
        <v>24.503399999999999</v>
      </c>
      <c r="I258" s="227">
        <f>'t6'!J21</f>
        <v>24.656229999999994</v>
      </c>
      <c r="J258" s="227">
        <f>'t6'!K21</f>
        <v>24.413070000000005</v>
      </c>
      <c r="K258" s="227">
        <f>'t6'!L21</f>
        <v>24.568638888888888</v>
      </c>
      <c r="L258" s="227">
        <f>'t6'!M21</f>
        <v>0.2900569391015963</v>
      </c>
    </row>
    <row r="259" spans="1:12" s="292" customFormat="1" ht="15.2" hidden="1" customHeight="1" x14ac:dyDescent="0.2">
      <c r="A259" s="226">
        <v>20</v>
      </c>
      <c r="B259" s="227">
        <f>'t6'!C22</f>
        <v>25.099469999999997</v>
      </c>
      <c r="C259" s="227">
        <f>'t6'!D22</f>
        <v>24.260639999999995</v>
      </c>
      <c r="D259" s="227">
        <f>'t6'!E22</f>
        <v>24.909499999999994</v>
      </c>
      <c r="E259" s="227">
        <f>'t6'!F22</f>
        <v>24.283320000000003</v>
      </c>
      <c r="F259" s="227">
        <f>'t6'!G22</f>
        <v>24.691109999999995</v>
      </c>
      <c r="G259" s="227">
        <f>'t6'!H22</f>
        <v>24.212800000000001</v>
      </c>
      <c r="H259" s="227">
        <f>'t6'!I22</f>
        <v>24.485990000000001</v>
      </c>
      <c r="I259" s="227">
        <f>'t6'!J22</f>
        <v>24.648499999999999</v>
      </c>
      <c r="J259" s="227">
        <f>'t6'!K22</f>
        <v>24.402479999999997</v>
      </c>
      <c r="K259" s="227">
        <f>'t6'!L22</f>
        <v>24.55486777777778</v>
      </c>
      <c r="L259" s="227">
        <f>'t6'!M22</f>
        <v>0.28962988990847283</v>
      </c>
    </row>
    <row r="260" spans="1:12" s="292" customFormat="1" ht="15.2" hidden="1" customHeight="1" x14ac:dyDescent="0.2">
      <c r="A260" s="226">
        <v>21</v>
      </c>
      <c r="B260" s="227">
        <f>'t6'!C23</f>
        <v>25.09442</v>
      </c>
      <c r="C260" s="227">
        <f>'t6'!D23</f>
        <v>24.262739999999994</v>
      </c>
      <c r="D260" s="227">
        <f>'t6'!E23</f>
        <v>24.901629999999997</v>
      </c>
      <c r="E260" s="227">
        <f>'t6'!F23</f>
        <v>24.280869999999993</v>
      </c>
      <c r="F260" s="227">
        <f>'t6'!G23</f>
        <v>24.689239999999998</v>
      </c>
      <c r="G260" s="227">
        <f>'t6'!H23</f>
        <v>24.211020000000005</v>
      </c>
      <c r="H260" s="227">
        <f>'t6'!I23</f>
        <v>24.480329999999995</v>
      </c>
      <c r="I260" s="227">
        <f>'t6'!J23</f>
        <v>24.646010000000004</v>
      </c>
      <c r="J260" s="227">
        <f>'t6'!K23</f>
        <v>24.40061</v>
      </c>
      <c r="K260" s="227">
        <f>'t6'!L23</f>
        <v>24.551874444444437</v>
      </c>
      <c r="L260" s="227">
        <f>'t6'!M23</f>
        <v>0.28783460818521467</v>
      </c>
    </row>
    <row r="261" spans="1:12" s="292" customFormat="1" ht="15.2" hidden="1" customHeight="1" x14ac:dyDescent="0.2">
      <c r="A261" s="226">
        <v>22</v>
      </c>
      <c r="B261" s="227">
        <f>'t6'!C24</f>
        <v>25.114590000000007</v>
      </c>
      <c r="C261" s="227">
        <f>'t6'!D24</f>
        <v>24.282290000000003</v>
      </c>
      <c r="D261" s="227">
        <f>'t6'!E24</f>
        <v>24.903670000000005</v>
      </c>
      <c r="E261" s="227">
        <f>'t6'!F24</f>
        <v>24.285480000000007</v>
      </c>
      <c r="F261" s="227">
        <f>'t6'!G24</f>
        <v>24.703460000000007</v>
      </c>
      <c r="G261" s="227">
        <f>'t6'!H24</f>
        <v>24.222520000000003</v>
      </c>
      <c r="H261" s="227">
        <f>'t6'!I24</f>
        <v>24.508420000000001</v>
      </c>
      <c r="I261" s="227">
        <f>'t6'!J24</f>
        <v>24.658280000000005</v>
      </c>
      <c r="J261" s="227">
        <f>'t6'!K24</f>
        <v>24.412430000000001</v>
      </c>
      <c r="K261" s="227">
        <f>'t6'!L24</f>
        <v>24.565682222222225</v>
      </c>
      <c r="L261" s="227">
        <f>'t6'!M24</f>
        <v>0.28798968043925954</v>
      </c>
    </row>
    <row r="262" spans="1:12" s="292" customFormat="1" ht="15.2" hidden="1" customHeight="1" x14ac:dyDescent="0.2">
      <c r="A262" s="226">
        <v>23</v>
      </c>
      <c r="B262" s="227">
        <f>'t6'!C25</f>
        <v>25.131519999999995</v>
      </c>
      <c r="C262" s="227">
        <f>'t6'!D25</f>
        <v>24.300460000000001</v>
      </c>
      <c r="D262" s="227">
        <f>'t6'!E25</f>
        <v>24.917739999999995</v>
      </c>
      <c r="E262" s="227">
        <f>'t6'!F25</f>
        <v>24.299469999999999</v>
      </c>
      <c r="F262" s="227">
        <f>'t6'!G25</f>
        <v>24.728300000000004</v>
      </c>
      <c r="G262" s="227">
        <f>'t6'!H25</f>
        <v>24.245090000000005</v>
      </c>
      <c r="H262" s="227">
        <f>'t6'!I25</f>
        <v>24.523150000000001</v>
      </c>
      <c r="I262" s="227">
        <f>'t6'!J25</f>
        <v>24.671030000000002</v>
      </c>
      <c r="J262" s="227">
        <f>'t6'!K25</f>
        <v>24.426640000000006</v>
      </c>
      <c r="K262" s="227">
        <f>'t6'!L25</f>
        <v>24.582599999999999</v>
      </c>
      <c r="L262" s="227">
        <f>'t6'!M25</f>
        <v>0.28755999211758443</v>
      </c>
    </row>
    <row r="263" spans="1:12" s="292" customFormat="1" ht="15.2" hidden="1" customHeight="1" x14ac:dyDescent="0.2">
      <c r="A263" s="226">
        <v>24</v>
      </c>
      <c r="B263" s="227">
        <f>'t6'!C26</f>
        <v>25.141300000000001</v>
      </c>
      <c r="C263" s="227">
        <f>'t6'!D26</f>
        <v>24.307509999999994</v>
      </c>
      <c r="D263" s="227">
        <f>'t6'!E26</f>
        <v>24.934569999999994</v>
      </c>
      <c r="E263" s="227">
        <f>'t6'!F26</f>
        <v>24.317599999999999</v>
      </c>
      <c r="F263" s="227">
        <f>'t6'!G26</f>
        <v>24.748350000000002</v>
      </c>
      <c r="G263" s="227">
        <f>'t6'!H26</f>
        <v>24.261960000000002</v>
      </c>
      <c r="H263" s="227">
        <f>'t6'!I26</f>
        <v>24.534639999999996</v>
      </c>
      <c r="I263" s="227">
        <f>'t6'!J26</f>
        <v>24.687060000000002</v>
      </c>
      <c r="J263" s="227">
        <f>'t6'!K26</f>
        <v>24.437070000000006</v>
      </c>
      <c r="K263" s="227">
        <f>'t6'!L26</f>
        <v>24.596673333333332</v>
      </c>
      <c r="L263" s="227">
        <f>'t6'!M26</f>
        <v>0.28767644958258992</v>
      </c>
    </row>
    <row r="264" spans="1:12" s="292" customFormat="1" ht="15.2" hidden="1" customHeight="1" x14ac:dyDescent="0.2">
      <c r="A264" s="226">
        <v>25</v>
      </c>
      <c r="B264" s="227">
        <f>'t6'!C27</f>
        <v>25.133210000000005</v>
      </c>
      <c r="C264" s="227">
        <f>'t6'!D27</f>
        <v>24.289289999999994</v>
      </c>
      <c r="D264" s="227">
        <f>'t6'!E27</f>
        <v>24.941299999999998</v>
      </c>
      <c r="E264" s="227">
        <f>'t6'!F27</f>
        <v>24.317840000000004</v>
      </c>
      <c r="F264" s="227">
        <f>'t6'!G27</f>
        <v>24.733429999999998</v>
      </c>
      <c r="G264" s="227">
        <f>'t6'!H27</f>
        <v>24.251099999999994</v>
      </c>
      <c r="H264" s="227">
        <f>'t6'!I27</f>
        <v>24.52852</v>
      </c>
      <c r="I264" s="227">
        <f>'t6'!J27</f>
        <v>24.676869999999994</v>
      </c>
      <c r="J264" s="227">
        <f>'t6'!K27</f>
        <v>24.428100000000001</v>
      </c>
      <c r="K264" s="227">
        <f>'t6'!L27</f>
        <v>24.588851111111111</v>
      </c>
      <c r="L264" s="227">
        <f>'t6'!M27</f>
        <v>0.28981558436911364</v>
      </c>
    </row>
    <row r="265" spans="1:12" s="292" customFormat="1" ht="15.2" hidden="1" customHeight="1" x14ac:dyDescent="0.2">
      <c r="A265" s="226">
        <v>26</v>
      </c>
      <c r="B265" s="227">
        <f>'t6'!C28</f>
        <v>25.126499999999993</v>
      </c>
      <c r="C265" s="227">
        <f>'t6'!D28</f>
        <v>24.26849</v>
      </c>
      <c r="D265" s="227">
        <f>'t6'!E28</f>
        <v>24.927400000000006</v>
      </c>
      <c r="E265" s="227">
        <f>'t6'!F28</f>
        <v>24.30068</v>
      </c>
      <c r="F265" s="227">
        <f>'t6'!G28</f>
        <v>24.709919999999997</v>
      </c>
      <c r="G265" s="227">
        <f>'t6'!H28</f>
        <v>24.230220000000003</v>
      </c>
      <c r="H265" s="227">
        <f>'t6'!I28</f>
        <v>24.512100000000004</v>
      </c>
      <c r="I265" s="227">
        <f>'t6'!J28</f>
        <v>24.660780000000003</v>
      </c>
      <c r="J265" s="227">
        <f>'t6'!K28</f>
        <v>24.418059999999997</v>
      </c>
      <c r="K265" s="227">
        <f>'t6'!L28</f>
        <v>24.57268333333333</v>
      </c>
      <c r="L265" s="227">
        <f>'t6'!M28</f>
        <v>0.29259585073385108</v>
      </c>
    </row>
    <row r="266" spans="1:12" s="292" customFormat="1" ht="15.2" hidden="1" customHeight="1" x14ac:dyDescent="0.2">
      <c r="A266" s="226">
        <v>27</v>
      </c>
      <c r="B266" s="227">
        <f>'t6'!C29</f>
        <v>25.108819999999994</v>
      </c>
      <c r="C266" s="227">
        <f>'t6'!D29</f>
        <v>24.260339999999999</v>
      </c>
      <c r="D266" s="227">
        <f>'t6'!E29</f>
        <v>24.916719999999998</v>
      </c>
      <c r="E266" s="227">
        <f>'t6'!F29</f>
        <v>24.286559999999994</v>
      </c>
      <c r="F266" s="227">
        <f>'t6'!G29</f>
        <v>24.693449999999999</v>
      </c>
      <c r="G266" s="227">
        <f>'t6'!H29</f>
        <v>24.21687</v>
      </c>
      <c r="H266" s="227">
        <f>'t6'!I29</f>
        <v>24.497119999999995</v>
      </c>
      <c r="I266" s="227">
        <f>'t6'!J29</f>
        <v>24.650999999999996</v>
      </c>
      <c r="J266" s="227">
        <f>'t6'!K29</f>
        <v>24.410510000000002</v>
      </c>
      <c r="K266" s="227">
        <f>'t6'!L29</f>
        <v>24.560154444444443</v>
      </c>
      <c r="L266" s="227">
        <f>'t6'!M29</f>
        <v>0.29119431069347201</v>
      </c>
    </row>
    <row r="267" spans="1:12" s="292" customFormat="1" ht="15.2" hidden="1" customHeight="1" x14ac:dyDescent="0.2">
      <c r="A267" s="226">
        <v>28</v>
      </c>
      <c r="B267" s="227">
        <f>'t6'!C30</f>
        <v>25.104489999999998</v>
      </c>
      <c r="C267" s="227">
        <f>'t6'!D30</f>
        <v>24.268969999999996</v>
      </c>
      <c r="D267" s="227">
        <f>'t6'!E30</f>
        <v>24.911389999999997</v>
      </c>
      <c r="E267" s="227">
        <f>'t6'!F30</f>
        <v>24.283230000000003</v>
      </c>
      <c r="F267" s="227">
        <f>'t6'!G30</f>
        <v>24.695160000000001</v>
      </c>
      <c r="G267" s="227">
        <f>'t6'!H30</f>
        <v>24.217439999999996</v>
      </c>
      <c r="H267" s="227">
        <f>'t6'!I30</f>
        <v>24.504819999999995</v>
      </c>
      <c r="I267" s="227">
        <f>'t6'!J30</f>
        <v>24.653649999999999</v>
      </c>
      <c r="J267" s="227">
        <f>'t6'!K30</f>
        <v>24.413899999999998</v>
      </c>
      <c r="K267" s="227">
        <f>'t6'!L30</f>
        <v>24.561449999999997</v>
      </c>
      <c r="L267" s="227">
        <f>'t6'!M30</f>
        <v>0.2886754054874322</v>
      </c>
    </row>
    <row r="268" spans="1:12" s="292" customFormat="1" ht="15.2" hidden="1" customHeight="1" x14ac:dyDescent="0.2">
      <c r="A268" s="226">
        <v>29</v>
      </c>
      <c r="B268" s="227">
        <f>'t6'!C31</f>
        <v>25.094989999999996</v>
      </c>
      <c r="C268" s="227">
        <f>'t6'!D31</f>
        <v>24.26567</v>
      </c>
      <c r="D268" s="227">
        <f>'t6'!E31</f>
        <v>24.909589999999994</v>
      </c>
      <c r="E268" s="227">
        <f>'t6'!F31</f>
        <v>24.287949999999995</v>
      </c>
      <c r="F268" s="227">
        <f>'t6'!G31</f>
        <v>24.703689999999995</v>
      </c>
      <c r="G268" s="227">
        <f>'t6'!H31</f>
        <v>24.223590000000002</v>
      </c>
      <c r="H268" s="227">
        <f>'t6'!I31</f>
        <v>24.503619999999998</v>
      </c>
      <c r="I268" s="227">
        <f>'t6'!J31</f>
        <v>24.656019999999998</v>
      </c>
      <c r="J268" s="227">
        <f>'t6'!K31</f>
        <v>24.416960000000003</v>
      </c>
      <c r="K268" s="227">
        <f>'t6'!L31</f>
        <v>24.562453333333337</v>
      </c>
      <c r="L268" s="227">
        <f>'t6'!M31</f>
        <v>0.285908326527537</v>
      </c>
    </row>
    <row r="269" spans="1:12" s="292" customFormat="1" ht="15.2" hidden="1" customHeight="1" x14ac:dyDescent="0.2">
      <c r="A269" s="226">
        <v>30</v>
      </c>
      <c r="B269" s="227">
        <f>'t6'!C32</f>
        <v>25.103179999999995</v>
      </c>
      <c r="C269" s="227">
        <f>'t6'!D32</f>
        <v>24.278149999999997</v>
      </c>
      <c r="D269" s="227">
        <f>'t6'!E32</f>
        <v>24.904489999999996</v>
      </c>
      <c r="E269" s="227">
        <f>'t6'!F32</f>
        <v>24.287840000000003</v>
      </c>
      <c r="F269" s="227">
        <f>'t6'!G32</f>
        <v>24.704599999999999</v>
      </c>
      <c r="G269" s="227">
        <f>'t6'!H32</f>
        <v>24.225980000000007</v>
      </c>
      <c r="H269" s="227">
        <f>'t6'!I32</f>
        <v>24.508499999999998</v>
      </c>
      <c r="I269" s="227">
        <f>'t6'!J32</f>
        <v>24.652630000000002</v>
      </c>
      <c r="J269" s="227">
        <f>'t6'!K32</f>
        <v>24.420439999999999</v>
      </c>
      <c r="K269" s="227">
        <f>'t6'!L32</f>
        <v>24.565089999999998</v>
      </c>
      <c r="L269" s="227">
        <f>'t6'!M32</f>
        <v>0.28483587254573028</v>
      </c>
    </row>
    <row r="270" spans="1:12" s="292" customFormat="1" ht="15.2" hidden="1" customHeight="1" x14ac:dyDescent="0.35">
      <c r="A270" s="228" t="s">
        <v>40</v>
      </c>
      <c r="B270" s="227">
        <f>'t6'!C33</f>
        <v>25.125773333333331</v>
      </c>
      <c r="C270" s="227">
        <f>'t6'!D33</f>
        <v>24.272347000000003</v>
      </c>
      <c r="D270" s="227">
        <f>'t6'!E33</f>
        <v>24.916943333333329</v>
      </c>
      <c r="E270" s="227">
        <f>'t6'!F33</f>
        <v>24.290716999999997</v>
      </c>
      <c r="F270" s="227">
        <f>'t6'!G33</f>
        <v>24.70524666666666</v>
      </c>
      <c r="G270" s="227">
        <f>'t6'!H33</f>
        <v>24.22399033333334</v>
      </c>
      <c r="H270" s="227">
        <f>'t6'!I33</f>
        <v>24.509302333333331</v>
      </c>
      <c r="I270" s="227">
        <f>'t6'!J33</f>
        <v>24.657822666666668</v>
      </c>
      <c r="J270" s="227">
        <f>'t6'!K33</f>
        <v>24.414306333333339</v>
      </c>
      <c r="K270" s="137"/>
      <c r="L270" s="137"/>
    </row>
    <row r="271" spans="1:12" s="292" customFormat="1" ht="15.2" hidden="1" customHeight="1" x14ac:dyDescent="0.35">
      <c r="A271" s="228" t="s">
        <v>39</v>
      </c>
      <c r="B271" s="227">
        <f>'t6'!C34</f>
        <v>1.5860574040333725E-2</v>
      </c>
      <c r="C271" s="227">
        <f>'t6'!D34</f>
        <v>1.5170173180729328E-2</v>
      </c>
      <c r="D271" s="227">
        <f>'t6'!E34</f>
        <v>1.1131499250126643E-2</v>
      </c>
      <c r="E271" s="227">
        <f>'t6'!F34</f>
        <v>1.4553187543169912E-2</v>
      </c>
      <c r="F271" s="227">
        <f>'t6'!G34</f>
        <v>1.6305740366168459E-2</v>
      </c>
      <c r="G271" s="227">
        <f>'t6'!H34</f>
        <v>1.5348389379852497E-2</v>
      </c>
      <c r="H271" s="227">
        <f>'t6'!I34</f>
        <v>1.3215685045514002E-2</v>
      </c>
      <c r="I271" s="227">
        <f>'t6'!J34</f>
        <v>1.1730107681612445E-2</v>
      </c>
      <c r="J271" s="227">
        <f>'t6'!K34</f>
        <v>1.0379625068160071E-2</v>
      </c>
      <c r="K271" s="294"/>
      <c r="L271" s="294"/>
    </row>
    <row r="272" spans="1:12" s="292" customFormat="1" ht="15.2" hidden="1" customHeight="1" x14ac:dyDescent="0.35">
      <c r="A272" s="228" t="s">
        <v>52</v>
      </c>
      <c r="B272" s="227">
        <f>'t6'!C35</f>
        <v>2.9456666666671794E-2</v>
      </c>
      <c r="C272" s="227">
        <f>'t6'!D35</f>
        <v>3.5162999999990063E-2</v>
      </c>
      <c r="D272" s="227">
        <f>'t6'!E35</f>
        <v>2.4356666666669469E-2</v>
      </c>
      <c r="E272" s="227">
        <f>'t6'!F35</f>
        <v>2.712300000000667E-2</v>
      </c>
      <c r="F272" s="227">
        <f>'t6'!G35</f>
        <v>4.3103333333341709E-2</v>
      </c>
      <c r="G272" s="227">
        <f>'t6'!H35</f>
        <v>3.7969666666661794E-2</v>
      </c>
      <c r="H272" s="227">
        <f>'t6'!I35</f>
        <v>2.533766666666537E-2</v>
      </c>
      <c r="I272" s="227">
        <f>'t6'!J35</f>
        <v>2.9237333333334448E-2</v>
      </c>
      <c r="J272" s="227">
        <f>'t6'!K35</f>
        <v>2.2763666666666182E-2</v>
      </c>
      <c r="K272" s="421"/>
      <c r="L272" s="416"/>
    </row>
    <row r="273" spans="1:12" s="292" customFormat="1" ht="15.2" hidden="1" customHeight="1" x14ac:dyDescent="0.35">
      <c r="A273" s="228" t="s">
        <v>51</v>
      </c>
      <c r="B273" s="227">
        <f>'t6'!C36</f>
        <v>3.135333333333179E-2</v>
      </c>
      <c r="C273" s="227">
        <f>'t6'!D36</f>
        <v>2.5686999999997795E-2</v>
      </c>
      <c r="D273" s="227">
        <f>'t6'!E36</f>
        <v>2.2153333333328362E-2</v>
      </c>
      <c r="E273" s="227">
        <f>'t6'!F36</f>
        <v>3.3747000000001748E-2</v>
      </c>
      <c r="F273" s="227">
        <f>'t6'!G36</f>
        <v>2.9876666666659446E-2</v>
      </c>
      <c r="G273" s="227">
        <f>'t6'!H36</f>
        <v>2.449033333333972E-2</v>
      </c>
      <c r="H273" s="227">
        <f>'t6'!I36</f>
        <v>2.8972333333335598E-2</v>
      </c>
      <c r="I273" s="227">
        <f>'t6'!J36</f>
        <v>2.228266666666201E-2</v>
      </c>
      <c r="J273" s="227">
        <f>'t6'!K36</f>
        <v>1.6936333333344322E-2</v>
      </c>
      <c r="K273" s="421"/>
      <c r="L273" s="416"/>
    </row>
    <row r="274" spans="1:12" s="292" customFormat="1" ht="15.2" hidden="1" customHeight="1" x14ac:dyDescent="0.35">
      <c r="A274" s="229" t="s">
        <v>44</v>
      </c>
      <c r="B274" s="227">
        <f>'t6'!C37</f>
        <v>3.0405000000001792E-2</v>
      </c>
      <c r="C274" s="227">
        <f>'t6'!D37</f>
        <v>3.0424999999993929E-2</v>
      </c>
      <c r="D274" s="227">
        <f>'t6'!E37</f>
        <v>2.3254999999998915E-2</v>
      </c>
      <c r="E274" s="227">
        <f>'t6'!F37</f>
        <v>3.0435000000004209E-2</v>
      </c>
      <c r="F274" s="227">
        <f>'t6'!G37</f>
        <v>3.6490000000000578E-2</v>
      </c>
      <c r="G274" s="227">
        <f>'t6'!H37</f>
        <v>3.1230000000000757E-2</v>
      </c>
      <c r="H274" s="227">
        <f>'t6'!I37</f>
        <v>2.7155000000000484E-2</v>
      </c>
      <c r="I274" s="227">
        <f>'t6'!J37</f>
        <v>2.5759999999998229E-2</v>
      </c>
      <c r="J274" s="227">
        <f>'t6'!K37</f>
        <v>1.9850000000005252E-2</v>
      </c>
      <c r="K274" s="421"/>
      <c r="L274" s="416"/>
    </row>
    <row r="275" spans="1:12" s="292" customFormat="1" ht="15.2" hidden="1" customHeight="1" x14ac:dyDescent="0.35">
      <c r="A275" s="230" t="s">
        <v>43</v>
      </c>
      <c r="B275" s="227">
        <f>'t6'!C38</f>
        <v>0.42052666666667093</v>
      </c>
      <c r="C275" s="227">
        <f>'t6'!D38</f>
        <v>-0.43289966666665691</v>
      </c>
      <c r="D275" s="227">
        <f>'t6'!E38</f>
        <v>0.21169666666666842</v>
      </c>
      <c r="E275" s="227">
        <f>'t6'!F38</f>
        <v>-0.41452966666666313</v>
      </c>
      <c r="F275" s="227">
        <f>'t6'!G38</f>
        <v>0</v>
      </c>
      <c r="G275" s="227">
        <f>'t6'!H38</f>
        <v>-0.48125633333332019</v>
      </c>
      <c r="H275" s="227">
        <f>'t6'!I38</f>
        <v>-0.19594433333332972</v>
      </c>
      <c r="I275" s="227">
        <f>'t6'!J38</f>
        <v>-4.7423999999992361E-2</v>
      </c>
      <c r="J275" s="227">
        <f>'t6'!K38</f>
        <v>-0.29094033333332092</v>
      </c>
      <c r="K275" s="139"/>
      <c r="L275" s="139"/>
    </row>
    <row r="276" spans="1:12" s="292" customFormat="1" ht="15.2" hidden="1" customHeight="1" x14ac:dyDescent="0.35">
      <c r="A276" s="231" t="s">
        <v>95</v>
      </c>
      <c r="B276" s="232">
        <f>'t6'!C40</f>
        <v>24.568494333333334</v>
      </c>
      <c r="C276" s="139"/>
      <c r="D276" s="139"/>
      <c r="E276" s="139"/>
      <c r="F276" s="139"/>
      <c r="G276" s="139"/>
      <c r="H276" s="139"/>
      <c r="I276" s="139"/>
      <c r="J276" s="139"/>
      <c r="K276" s="139"/>
      <c r="L276" s="139"/>
    </row>
    <row r="277" spans="1:12" s="292" customFormat="1" ht="15.2" hidden="1" customHeight="1" x14ac:dyDescent="0.35">
      <c r="A277" s="233" t="s">
        <v>47</v>
      </c>
      <c r="B277" s="232">
        <f>'t6'!C41</f>
        <v>-0.43150566666666634</v>
      </c>
      <c r="C277" s="139"/>
      <c r="D277" s="139"/>
      <c r="E277" s="139"/>
      <c r="F277" s="139"/>
      <c r="G277" s="139"/>
      <c r="H277" s="139"/>
      <c r="I277" s="139"/>
      <c r="J277" s="139"/>
      <c r="K277" s="139"/>
      <c r="L277" s="139"/>
    </row>
    <row r="278" spans="1:12" s="292" customFormat="1" ht="15.2" hidden="1" customHeight="1" x14ac:dyDescent="0.35">
      <c r="A278" s="298" t="s">
        <v>259</v>
      </c>
      <c r="B278" s="234">
        <f>'t6'!C46</f>
        <v>0.29273049864533757</v>
      </c>
      <c r="C278" s="139"/>
      <c r="D278" s="139"/>
      <c r="E278" s="139"/>
      <c r="F278" s="139"/>
      <c r="G278" s="139"/>
      <c r="H278" s="139"/>
      <c r="I278" s="139"/>
      <c r="J278" s="139"/>
      <c r="K278" s="139"/>
      <c r="L278" s="139"/>
    </row>
    <row r="279" spans="1:12" s="292" customFormat="1" ht="15.2" hidden="1" customHeight="1" x14ac:dyDescent="0.35">
      <c r="A279" s="233" t="s">
        <v>48</v>
      </c>
      <c r="B279" s="232">
        <f>'t6'!C42</f>
        <v>0.90178299999999112</v>
      </c>
      <c r="C279" s="139"/>
      <c r="D279" s="139"/>
      <c r="E279" s="139"/>
      <c r="F279" s="139"/>
      <c r="G279" s="139"/>
      <c r="H279" s="139"/>
      <c r="I279" s="139"/>
      <c r="J279" s="139"/>
      <c r="K279" s="139"/>
      <c r="L279" s="139"/>
    </row>
    <row r="280" spans="1:12" s="292" customFormat="1" ht="15.2" hidden="1" customHeight="1" x14ac:dyDescent="0.35">
      <c r="A280" s="241" t="s">
        <v>49</v>
      </c>
      <c r="B280" s="240">
        <f>'t6'!C43</f>
        <v>0.42052666666667093</v>
      </c>
      <c r="C280" s="140"/>
      <c r="D280" s="139"/>
      <c r="E280" s="139"/>
      <c r="F280" s="139"/>
      <c r="G280" s="139"/>
      <c r="H280" s="139"/>
      <c r="I280" s="139"/>
      <c r="J280" s="139"/>
      <c r="K280" s="139"/>
      <c r="L280" s="139"/>
    </row>
    <row r="281" spans="1:12" s="292" customFormat="1" hidden="1" x14ac:dyDescent="0.2">
      <c r="A281" s="242"/>
      <c r="B281" s="240">
        <f>'t6'!C44</f>
        <v>-0.48125633333332019</v>
      </c>
      <c r="C281" s="139"/>
      <c r="D281" s="139"/>
      <c r="E281" s="139"/>
      <c r="F281" s="139"/>
      <c r="G281" s="139"/>
      <c r="H281" s="139"/>
      <c r="I281" s="139"/>
      <c r="J281" s="139"/>
      <c r="K281" s="139"/>
      <c r="L281" s="139"/>
    </row>
    <row r="282" spans="1:12" s="292" customFormat="1" ht="18.75" hidden="1" x14ac:dyDescent="0.35">
      <c r="A282" s="242" t="s">
        <v>50</v>
      </c>
      <c r="B282" s="232">
        <f>'t6'!C45</f>
        <v>2.8333888888889349E-2</v>
      </c>
    </row>
    <row r="283" spans="1:12" s="292" customFormat="1" ht="33" hidden="1" customHeight="1" x14ac:dyDescent="0.2">
      <c r="A283" s="417" t="s">
        <v>373</v>
      </c>
      <c r="B283" s="417"/>
      <c r="C283" s="417"/>
      <c r="D283" s="417"/>
      <c r="E283" s="417"/>
      <c r="F283" s="417"/>
      <c r="G283" s="417"/>
      <c r="H283" s="417"/>
      <c r="I283" s="417"/>
      <c r="J283" s="417"/>
      <c r="K283" s="417"/>
      <c r="L283" s="417"/>
    </row>
    <row r="284" spans="1:12" s="292" customFormat="1" ht="25.5" hidden="1" customHeight="1" thickBot="1" x14ac:dyDescent="0.25">
      <c r="A284" s="418" t="str">
        <f>"Тзад =  "&amp;'t7'!C39&amp;" °С"</f>
        <v>Тзад =  45 °С</v>
      </c>
      <c r="B284" s="418"/>
      <c r="C284" s="418"/>
      <c r="D284" s="418"/>
      <c r="E284" s="418"/>
      <c r="F284" s="418"/>
      <c r="G284" s="418"/>
      <c r="H284" s="418"/>
      <c r="I284" s="418"/>
      <c r="J284" s="418"/>
      <c r="K284" s="418"/>
      <c r="L284" s="418"/>
    </row>
    <row r="285" spans="1:12" s="292" customFormat="1" ht="29.25" hidden="1" thickBot="1" x14ac:dyDescent="0.25">
      <c r="A285" s="239" t="s">
        <v>89</v>
      </c>
      <c r="B285" s="419" t="s">
        <v>94</v>
      </c>
      <c r="C285" s="419"/>
      <c r="D285" s="419"/>
      <c r="E285" s="419"/>
      <c r="F285" s="419"/>
      <c r="G285" s="419"/>
      <c r="H285" s="419"/>
      <c r="I285" s="419"/>
      <c r="J285" s="419"/>
      <c r="K285" s="420" t="s">
        <v>91</v>
      </c>
      <c r="L285" s="420"/>
    </row>
    <row r="286" spans="1:12" s="292" customFormat="1" ht="15.2" hidden="1" customHeight="1" x14ac:dyDescent="0.2">
      <c r="A286" s="236"/>
      <c r="B286" s="235">
        <v>1</v>
      </c>
      <c r="C286" s="235">
        <v>2</v>
      </c>
      <c r="D286" s="235">
        <v>3</v>
      </c>
      <c r="E286" s="235">
        <v>4</v>
      </c>
      <c r="F286" s="235">
        <v>5</v>
      </c>
      <c r="G286" s="235">
        <v>6</v>
      </c>
      <c r="H286" s="235">
        <v>7</v>
      </c>
      <c r="I286" s="235">
        <v>8</v>
      </c>
      <c r="J286" s="235">
        <v>9</v>
      </c>
      <c r="K286" s="237" t="s">
        <v>92</v>
      </c>
      <c r="L286" s="238" t="s">
        <v>93</v>
      </c>
    </row>
    <row r="287" spans="1:12" s="292" customFormat="1" ht="15.2" hidden="1" customHeight="1" x14ac:dyDescent="0.2">
      <c r="A287" s="226">
        <v>1</v>
      </c>
      <c r="B287" s="227">
        <f>'t7'!C3</f>
        <v>45.13158</v>
      </c>
      <c r="C287" s="227">
        <f>'t7'!D3</f>
        <v>44.253600000000006</v>
      </c>
      <c r="D287" s="227">
        <f>'t7'!E3</f>
        <v>44.89479</v>
      </c>
      <c r="E287" s="227">
        <f>'t7'!F3</f>
        <v>44.256969999999995</v>
      </c>
      <c r="F287" s="227">
        <f>'t7'!G3</f>
        <v>44.677800000000005</v>
      </c>
      <c r="G287" s="227">
        <f>'t7'!H3</f>
        <v>44.1995</v>
      </c>
      <c r="H287" s="227">
        <f>'t7'!I3</f>
        <v>44.499120000000005</v>
      </c>
      <c r="I287" s="227">
        <f>'t7'!J3</f>
        <v>44.635540000000006</v>
      </c>
      <c r="J287" s="227">
        <f>'t7'!K3</f>
        <v>44.402159999999995</v>
      </c>
      <c r="K287" s="227">
        <f>'t7'!L3</f>
        <v>44.550117777777778</v>
      </c>
      <c r="L287" s="227">
        <f>'t7'!M3</f>
        <v>0.29847398512276063</v>
      </c>
    </row>
    <row r="288" spans="1:12" s="292" customFormat="1" ht="15.2" hidden="1" customHeight="1" x14ac:dyDescent="0.2">
      <c r="A288" s="226">
        <v>2</v>
      </c>
      <c r="B288" s="227">
        <f>'t7'!C4</f>
        <v>45.139309999999995</v>
      </c>
      <c r="C288" s="227">
        <f>'t7'!D4</f>
        <v>44.27073</v>
      </c>
      <c r="D288" s="227">
        <f>'t7'!E4</f>
        <v>44.90428</v>
      </c>
      <c r="E288" s="227">
        <f>'t7'!F4</f>
        <v>44.272720000000007</v>
      </c>
      <c r="F288" s="227">
        <f>'t7'!G4</f>
        <v>44.699889999999996</v>
      </c>
      <c r="G288" s="227">
        <f>'t7'!H4</f>
        <v>44.217330000000004</v>
      </c>
      <c r="H288" s="227">
        <f>'t7'!I4</f>
        <v>44.513459999999995</v>
      </c>
      <c r="I288" s="227">
        <f>'t7'!J4</f>
        <v>44.651079999999993</v>
      </c>
      <c r="J288" s="227">
        <f>'t7'!K4</f>
        <v>44.410449999999997</v>
      </c>
      <c r="K288" s="227">
        <f>'t7'!L4</f>
        <v>44.564361111111111</v>
      </c>
      <c r="L288" s="227">
        <f>'t7'!M4</f>
        <v>0.2962700032982068</v>
      </c>
    </row>
    <row r="289" spans="1:12" s="292" customFormat="1" ht="15.2" hidden="1" customHeight="1" x14ac:dyDescent="0.2">
      <c r="A289" s="226">
        <v>3</v>
      </c>
      <c r="B289" s="227">
        <f>'t7'!C5</f>
        <v>45.132829999999998</v>
      </c>
      <c r="C289" s="227">
        <f>'t7'!D5</f>
        <v>44.264439999999993</v>
      </c>
      <c r="D289" s="227">
        <f>'t7'!E5</f>
        <v>44.918030000000002</v>
      </c>
      <c r="E289" s="227">
        <f>'t7'!F5</f>
        <v>44.286150000000006</v>
      </c>
      <c r="F289" s="227">
        <f>'t7'!G5</f>
        <v>44.709720000000004</v>
      </c>
      <c r="G289" s="227">
        <f>'t7'!H5</f>
        <v>44.219620000000006</v>
      </c>
      <c r="H289" s="227">
        <f>'t7'!I5</f>
        <v>44.518749999999997</v>
      </c>
      <c r="I289" s="227">
        <f>'t7'!J5</f>
        <v>44.659400000000005</v>
      </c>
      <c r="J289" s="227">
        <f>'t7'!K5</f>
        <v>44.407790000000006</v>
      </c>
      <c r="K289" s="227">
        <f>'t7'!L5</f>
        <v>44.568525555555567</v>
      </c>
      <c r="L289" s="227">
        <f>'t7'!M5</f>
        <v>0.29646800266212325</v>
      </c>
    </row>
    <row r="290" spans="1:12" s="292" customFormat="1" ht="15.2" hidden="1" customHeight="1" x14ac:dyDescent="0.2">
      <c r="A290" s="226">
        <v>4</v>
      </c>
      <c r="B290" s="227">
        <f>'t7'!C6</f>
        <v>45.124690000000001</v>
      </c>
      <c r="C290" s="227">
        <f>'t7'!D6</f>
        <v>44.252579999999995</v>
      </c>
      <c r="D290" s="227">
        <f>'t7'!E6</f>
        <v>44.916460000000001</v>
      </c>
      <c r="E290" s="227">
        <f>'t7'!F6</f>
        <v>44.28125</v>
      </c>
      <c r="F290" s="227">
        <f>'t7'!G6</f>
        <v>44.691739999999996</v>
      </c>
      <c r="G290" s="227">
        <f>'t7'!H6</f>
        <v>44.206649999999996</v>
      </c>
      <c r="H290" s="227">
        <f>'t7'!I6</f>
        <v>44.500990000000002</v>
      </c>
      <c r="I290" s="227">
        <f>'t7'!J6</f>
        <v>44.653149999999997</v>
      </c>
      <c r="J290" s="227">
        <f>'t7'!K6</f>
        <v>44.403400000000005</v>
      </c>
      <c r="K290" s="227">
        <f>'t7'!L6</f>
        <v>44.558989999999994</v>
      </c>
      <c r="L290" s="227">
        <f>'t7'!M6</f>
        <v>0.29758888091534086</v>
      </c>
    </row>
    <row r="291" spans="1:12" s="292" customFormat="1" ht="15.2" hidden="1" customHeight="1" x14ac:dyDescent="0.2">
      <c r="A291" s="226">
        <v>5</v>
      </c>
      <c r="B291" s="227">
        <f>'t7'!C7</f>
        <v>45.124499999999998</v>
      </c>
      <c r="C291" s="227">
        <f>'t7'!D7</f>
        <v>44.246660000000006</v>
      </c>
      <c r="D291" s="227">
        <f>'t7'!E7</f>
        <v>44.909790000000001</v>
      </c>
      <c r="E291" s="227">
        <f>'t7'!F7</f>
        <v>44.274609999999996</v>
      </c>
      <c r="F291" s="227">
        <f>'t7'!G7</f>
        <v>44.675370000000001</v>
      </c>
      <c r="G291" s="227">
        <f>'t7'!H7</f>
        <v>44.200069999999997</v>
      </c>
      <c r="H291" s="227">
        <f>'t7'!I7</f>
        <v>44.486890000000002</v>
      </c>
      <c r="I291" s="227">
        <f>'t7'!J7</f>
        <v>44.640349999999998</v>
      </c>
      <c r="J291" s="227">
        <f>'t7'!K7</f>
        <v>44.397369999999995</v>
      </c>
      <c r="K291" s="227">
        <f>'t7'!L7</f>
        <v>44.550623333333334</v>
      </c>
      <c r="L291" s="227">
        <f>'t7'!M7</f>
        <v>0.29832140724765671</v>
      </c>
    </row>
    <row r="292" spans="1:12" s="292" customFormat="1" ht="15.2" hidden="1" customHeight="1" x14ac:dyDescent="0.2">
      <c r="A292" s="226">
        <v>6</v>
      </c>
      <c r="B292" s="227">
        <f>'t7'!C8</f>
        <v>45.127030000000005</v>
      </c>
      <c r="C292" s="227">
        <f>'t7'!D8</f>
        <v>44.251769999999993</v>
      </c>
      <c r="D292" s="227">
        <f>'t7'!E8</f>
        <v>44.905709999999999</v>
      </c>
      <c r="E292" s="227">
        <f>'t7'!F8</f>
        <v>44.27167</v>
      </c>
      <c r="F292" s="227">
        <f>'t7'!G8</f>
        <v>44.682100000000005</v>
      </c>
      <c r="G292" s="227">
        <f>'t7'!H8</f>
        <v>44.203900000000004</v>
      </c>
      <c r="H292" s="227">
        <f>'t7'!I8</f>
        <v>44.491780000000006</v>
      </c>
      <c r="I292" s="227">
        <f>'t7'!J8</f>
        <v>44.641329999999996</v>
      </c>
      <c r="J292" s="227">
        <f>'t7'!K8</f>
        <v>44.400069999999999</v>
      </c>
      <c r="K292" s="227">
        <f>'t7'!L8</f>
        <v>44.552817777777783</v>
      </c>
      <c r="L292" s="227">
        <f>'t7'!M8</f>
        <v>0.29763434877856448</v>
      </c>
    </row>
    <row r="293" spans="1:12" s="292" customFormat="1" ht="15.2" hidden="1" customHeight="1" x14ac:dyDescent="0.2">
      <c r="A293" s="226">
        <v>7</v>
      </c>
      <c r="B293" s="227">
        <f>'t7'!C9</f>
        <v>45.119370000000004</v>
      </c>
      <c r="C293" s="227">
        <f>'t7'!D9</f>
        <v>44.24973</v>
      </c>
      <c r="D293" s="227">
        <f>'t7'!E9</f>
        <v>44.909959999999998</v>
      </c>
      <c r="E293" s="227">
        <f>'t7'!F9</f>
        <v>44.274109999999993</v>
      </c>
      <c r="F293" s="227">
        <f>'t7'!G9</f>
        <v>44.690460000000002</v>
      </c>
      <c r="G293" s="227">
        <f>'t7'!H9</f>
        <v>44.206329999999994</v>
      </c>
      <c r="H293" s="227">
        <f>'t7'!I9</f>
        <v>44.500290000000007</v>
      </c>
      <c r="I293" s="227">
        <f>'t7'!J9</f>
        <v>44.642470000000003</v>
      </c>
      <c r="J293" s="227">
        <f>'t7'!K9</f>
        <v>44.40222</v>
      </c>
      <c r="K293" s="227">
        <f>'t7'!L9</f>
        <v>44.554993333333336</v>
      </c>
      <c r="L293" s="227">
        <f>'t7'!M9</f>
        <v>0.29636785644420782</v>
      </c>
    </row>
    <row r="294" spans="1:12" s="292" customFormat="1" ht="15.2" hidden="1" customHeight="1" x14ac:dyDescent="0.2">
      <c r="A294" s="226">
        <v>8</v>
      </c>
      <c r="B294" s="227">
        <f>'t7'!C10</f>
        <v>45.118790000000004</v>
      </c>
      <c r="C294" s="227">
        <f>'t7'!D10</f>
        <v>44.257890000000003</v>
      </c>
      <c r="D294" s="227">
        <f>'t7'!E10</f>
        <v>44.908879999999996</v>
      </c>
      <c r="E294" s="227">
        <f>'t7'!F10</f>
        <v>44.275310000000005</v>
      </c>
      <c r="F294" s="227">
        <f>'t7'!G10</f>
        <v>44.696119999999993</v>
      </c>
      <c r="G294" s="227">
        <f>'t7'!H10</f>
        <v>44.207120000000003</v>
      </c>
      <c r="H294" s="227">
        <f>'t7'!I10</f>
        <v>44.506879999999995</v>
      </c>
      <c r="I294" s="227">
        <f>'t7'!J10</f>
        <v>44.647289999999998</v>
      </c>
      <c r="J294" s="227">
        <f>'t7'!K10</f>
        <v>44.401399999999995</v>
      </c>
      <c r="K294" s="227">
        <f>'t7'!L10</f>
        <v>44.557742222222224</v>
      </c>
      <c r="L294" s="227">
        <f>'t7'!M10</f>
        <v>0.29531239127321701</v>
      </c>
    </row>
    <row r="295" spans="1:12" s="292" customFormat="1" ht="15.2" hidden="1" customHeight="1" x14ac:dyDescent="0.2">
      <c r="A295" s="226">
        <v>9</v>
      </c>
      <c r="B295" s="227">
        <f>'t7'!C11</f>
        <v>45.116829999999993</v>
      </c>
      <c r="C295" s="227">
        <f>'t7'!D11</f>
        <v>44.264600000000002</v>
      </c>
      <c r="D295" s="227">
        <f>'t7'!E11</f>
        <v>44.910629999999998</v>
      </c>
      <c r="E295" s="227">
        <f>'t7'!F11</f>
        <v>44.278729999999996</v>
      </c>
      <c r="F295" s="227">
        <f>'t7'!G11</f>
        <v>44.693920000000006</v>
      </c>
      <c r="G295" s="227">
        <f>'t7'!H11</f>
        <v>44.205029999999994</v>
      </c>
      <c r="H295" s="227">
        <f>'t7'!I11</f>
        <v>44.500590000000003</v>
      </c>
      <c r="I295" s="227">
        <f>'t7'!J11</f>
        <v>44.649760000000001</v>
      </c>
      <c r="J295" s="227">
        <f>'t7'!K11</f>
        <v>44.404499999999999</v>
      </c>
      <c r="K295" s="227">
        <f>'t7'!L11</f>
        <v>44.558287777777778</v>
      </c>
      <c r="L295" s="227">
        <f>'t7'!M11</f>
        <v>0.29421336859790753</v>
      </c>
    </row>
    <row r="296" spans="1:12" s="292" customFormat="1" ht="15.2" hidden="1" customHeight="1" x14ac:dyDescent="0.2">
      <c r="A296" s="226">
        <v>10</v>
      </c>
      <c r="B296" s="227">
        <f>'t7'!C12</f>
        <v>45.130129999999994</v>
      </c>
      <c r="C296" s="227">
        <f>'t7'!D12</f>
        <v>44.274609999999996</v>
      </c>
      <c r="D296" s="227">
        <f>'t7'!E12</f>
        <v>44.911389999999997</v>
      </c>
      <c r="E296" s="227">
        <f>'t7'!F12</f>
        <v>44.291210000000007</v>
      </c>
      <c r="F296" s="227">
        <f>'t7'!G12</f>
        <v>44.710220000000007</v>
      </c>
      <c r="G296" s="227">
        <f>'t7'!H12</f>
        <v>44.228740000000002</v>
      </c>
      <c r="H296" s="227">
        <f>'t7'!I12</f>
        <v>44.519900000000007</v>
      </c>
      <c r="I296" s="227">
        <f>'t7'!J12</f>
        <v>44.658860000000004</v>
      </c>
      <c r="J296" s="227">
        <f>'t7'!K12</f>
        <v>44.4178</v>
      </c>
      <c r="K296" s="227">
        <f>'t7'!L12</f>
        <v>44.571428888888896</v>
      </c>
      <c r="L296" s="227">
        <f>'t7'!M12</f>
        <v>0.29153701409538607</v>
      </c>
    </row>
    <row r="297" spans="1:12" s="292" customFormat="1" ht="15.2" hidden="1" customHeight="1" x14ac:dyDescent="0.2">
      <c r="A297" s="226">
        <v>11</v>
      </c>
      <c r="B297" s="227">
        <f>'t7'!C13</f>
        <v>45.146349999999998</v>
      </c>
      <c r="C297" s="227">
        <f>'t7'!D13</f>
        <v>44.278030000000001</v>
      </c>
      <c r="D297" s="227">
        <f>'t7'!E13</f>
        <v>44.923280000000005</v>
      </c>
      <c r="E297" s="227">
        <f>'t7'!F13</f>
        <v>44.30292</v>
      </c>
      <c r="F297" s="227">
        <f>'t7'!G13</f>
        <v>44.717969999999994</v>
      </c>
      <c r="G297" s="227">
        <f>'t7'!H13</f>
        <v>44.235529999999997</v>
      </c>
      <c r="H297" s="227">
        <f>'t7'!I13</f>
        <v>44.518140000000002</v>
      </c>
      <c r="I297" s="227">
        <f>'t7'!J13</f>
        <v>44.667180000000002</v>
      </c>
      <c r="J297" s="227">
        <f>'t7'!K13</f>
        <v>44.420320000000004</v>
      </c>
      <c r="K297" s="227">
        <f>'t7'!L13</f>
        <v>44.578857777777777</v>
      </c>
      <c r="L297" s="227">
        <f>'t7'!M13</f>
        <v>0.29461103591676707</v>
      </c>
    </row>
    <row r="298" spans="1:12" s="292" customFormat="1" ht="15.2" hidden="1" customHeight="1" x14ac:dyDescent="0.2">
      <c r="A298" s="226">
        <v>12</v>
      </c>
      <c r="B298" s="227">
        <f>'t7'!C14</f>
        <v>45.143979999999999</v>
      </c>
      <c r="C298" s="227">
        <f>'t7'!D14</f>
        <v>44.274280000000005</v>
      </c>
      <c r="D298" s="227">
        <f>'t7'!E14</f>
        <v>44.928280000000001</v>
      </c>
      <c r="E298" s="227">
        <f>'t7'!F14</f>
        <v>44.302549999999997</v>
      </c>
      <c r="F298" s="227">
        <f>'t7'!G14</f>
        <v>44.711780000000005</v>
      </c>
      <c r="G298" s="227">
        <f>'t7'!H14</f>
        <v>44.23236</v>
      </c>
      <c r="H298" s="227">
        <f>'t7'!I14</f>
        <v>44.52261</v>
      </c>
      <c r="I298" s="227">
        <f>'t7'!J14</f>
        <v>44.664699999999996</v>
      </c>
      <c r="J298" s="227">
        <f>'t7'!K14</f>
        <v>44.41583</v>
      </c>
      <c r="K298" s="227">
        <f>'t7'!L14</f>
        <v>44.577374444444445</v>
      </c>
      <c r="L298" s="227">
        <f>'t7'!M14</f>
        <v>0.29540793016178335</v>
      </c>
    </row>
    <row r="299" spans="1:12" s="292" customFormat="1" ht="15.2" hidden="1" customHeight="1" x14ac:dyDescent="0.2">
      <c r="A299" s="226">
        <v>13</v>
      </c>
      <c r="B299" s="227">
        <f>'t7'!C15</f>
        <v>45.138490000000004</v>
      </c>
      <c r="C299" s="227">
        <f>'t7'!D15</f>
        <v>44.282049999999998</v>
      </c>
      <c r="D299" s="227">
        <f>'t7'!E15</f>
        <v>44.922349999999994</v>
      </c>
      <c r="E299" s="227">
        <f>'t7'!F15</f>
        <v>44.295019999999994</v>
      </c>
      <c r="F299" s="227">
        <f>'t7'!G15</f>
        <v>44.702789999999993</v>
      </c>
      <c r="G299" s="227">
        <f>'t7'!H15</f>
        <v>44.226479999999995</v>
      </c>
      <c r="H299" s="227">
        <f>'t7'!I15</f>
        <v>44.506429999999995</v>
      </c>
      <c r="I299" s="227">
        <f>'t7'!J15</f>
        <v>44.662019999999998</v>
      </c>
      <c r="J299" s="227">
        <f>'t7'!K15</f>
        <v>44.418090000000007</v>
      </c>
      <c r="K299" s="227">
        <f>'t7'!L15</f>
        <v>44.572635555555557</v>
      </c>
      <c r="L299" s="227">
        <f>'t7'!M15</f>
        <v>0.29382964414818247</v>
      </c>
    </row>
    <row r="300" spans="1:12" s="292" customFormat="1" ht="15.2" hidden="1" customHeight="1" x14ac:dyDescent="0.2">
      <c r="A300" s="226">
        <v>14</v>
      </c>
      <c r="B300" s="227">
        <f>'t7'!C16</f>
        <v>45.155230000000003</v>
      </c>
      <c r="C300" s="227">
        <f>'t7'!D16</f>
        <v>44.293319999999994</v>
      </c>
      <c r="D300" s="227">
        <f>'t7'!E16</f>
        <v>44.927700000000002</v>
      </c>
      <c r="E300" s="227">
        <f>'t7'!F16</f>
        <v>44.301069999999996</v>
      </c>
      <c r="F300" s="227">
        <f>'t7'!G16</f>
        <v>44.723939999999999</v>
      </c>
      <c r="G300" s="227">
        <f>'t7'!H16</f>
        <v>44.239879999999999</v>
      </c>
      <c r="H300" s="227">
        <f>'t7'!I16</f>
        <v>44.517899999999997</v>
      </c>
      <c r="I300" s="227">
        <f>'t7'!J16</f>
        <v>44.67456</v>
      </c>
      <c r="J300" s="227">
        <f>'t7'!K16</f>
        <v>44.429699999999997</v>
      </c>
      <c r="K300" s="227">
        <f>'t7'!L16</f>
        <v>44.584811111111108</v>
      </c>
      <c r="L300" s="227">
        <f>'t7'!M16</f>
        <v>0.29502397655650153</v>
      </c>
    </row>
    <row r="301" spans="1:12" s="292" customFormat="1" ht="15.2" hidden="1" customHeight="1" x14ac:dyDescent="0.2">
      <c r="A301" s="226">
        <v>15</v>
      </c>
      <c r="B301" s="227">
        <f>'t7'!C17</f>
        <v>45.146789999999996</v>
      </c>
      <c r="C301" s="227">
        <f>'t7'!D17</f>
        <v>44.282229999999998</v>
      </c>
      <c r="D301" s="227">
        <f>'t7'!E17</f>
        <v>44.93477</v>
      </c>
      <c r="E301" s="227">
        <f>'t7'!F17</f>
        <v>44.313419999999994</v>
      </c>
      <c r="F301" s="227">
        <f>'t7'!G17</f>
        <v>44.726240000000004</v>
      </c>
      <c r="G301" s="227">
        <f>'t7'!H17</f>
        <v>44.240750000000006</v>
      </c>
      <c r="H301" s="227">
        <f>'t7'!I17</f>
        <v>44.521699999999996</v>
      </c>
      <c r="I301" s="227">
        <f>'t7'!J17</f>
        <v>44.671620000000004</v>
      </c>
      <c r="J301" s="227">
        <f>'t7'!K17</f>
        <v>44.426410000000004</v>
      </c>
      <c r="K301" s="227">
        <f>'t7'!L17</f>
        <v>44.584881111111116</v>
      </c>
      <c r="L301" s="227">
        <f>'t7'!M17</f>
        <v>0.29410689698529796</v>
      </c>
    </row>
    <row r="302" spans="1:12" s="292" customFormat="1" ht="15.2" hidden="1" customHeight="1" x14ac:dyDescent="0.2">
      <c r="A302" s="226">
        <v>16</v>
      </c>
      <c r="B302" s="227">
        <f>'t7'!C18</f>
        <v>45.139889999999994</v>
      </c>
      <c r="C302" s="227">
        <f>'t7'!D18</f>
        <v>44.285520000000005</v>
      </c>
      <c r="D302" s="227">
        <f>'t7'!E18</f>
        <v>44.924729999999997</v>
      </c>
      <c r="E302" s="227">
        <f>'t7'!F18</f>
        <v>44.304860000000005</v>
      </c>
      <c r="F302" s="227">
        <f>'t7'!G18</f>
        <v>44.707080000000005</v>
      </c>
      <c r="G302" s="227">
        <f>'t7'!H18</f>
        <v>44.231170000000006</v>
      </c>
      <c r="H302" s="227">
        <f>'t7'!I18</f>
        <v>44.520290000000003</v>
      </c>
      <c r="I302" s="227">
        <f>'t7'!J18</f>
        <v>44.666210000000007</v>
      </c>
      <c r="J302" s="227">
        <f>'t7'!K18</f>
        <v>44.422439999999995</v>
      </c>
      <c r="K302" s="227">
        <f>'t7'!L18</f>
        <v>44.578021111111113</v>
      </c>
      <c r="L302" s="227">
        <f>'t7'!M18</f>
        <v>0.29218622830290075</v>
      </c>
    </row>
    <row r="303" spans="1:12" s="292" customFormat="1" ht="15.2" hidden="1" customHeight="1" x14ac:dyDescent="0.2">
      <c r="A303" s="226">
        <v>17</v>
      </c>
      <c r="B303" s="227">
        <f>'t7'!C19</f>
        <v>45.137969999999996</v>
      </c>
      <c r="C303" s="227">
        <f>'t7'!D19</f>
        <v>44.290790000000001</v>
      </c>
      <c r="D303" s="227">
        <f>'t7'!E19</f>
        <v>44.928690000000003</v>
      </c>
      <c r="E303" s="227">
        <f>'t7'!F19</f>
        <v>44.306380000000004</v>
      </c>
      <c r="F303" s="227">
        <f>'t7'!G19</f>
        <v>44.715069999999997</v>
      </c>
      <c r="G303" s="227">
        <f>'t7'!H19</f>
        <v>44.237409999999997</v>
      </c>
      <c r="H303" s="227">
        <f>'t7'!I19</f>
        <v>44.529790000000006</v>
      </c>
      <c r="I303" s="227">
        <f>'t7'!J19</f>
        <v>44.669709999999995</v>
      </c>
      <c r="J303" s="227">
        <f>'t7'!K19</f>
        <v>44.427779999999998</v>
      </c>
      <c r="K303" s="227">
        <f>'t7'!L19</f>
        <v>44.582621111111109</v>
      </c>
      <c r="L303" s="227">
        <f>'t7'!M19</f>
        <v>0.29073000133550475</v>
      </c>
    </row>
    <row r="304" spans="1:12" s="292" customFormat="1" ht="15.2" hidden="1" customHeight="1" x14ac:dyDescent="0.2">
      <c r="A304" s="226">
        <v>18</v>
      </c>
      <c r="B304" s="227">
        <f>'t7'!C20</f>
        <v>45.132800000000003</v>
      </c>
      <c r="C304" s="227">
        <f>'t7'!D20</f>
        <v>44.284289999999999</v>
      </c>
      <c r="D304" s="227">
        <f>'t7'!E20</f>
        <v>44.927890000000005</v>
      </c>
      <c r="E304" s="227">
        <f>'t7'!F20</f>
        <v>44.303820000000002</v>
      </c>
      <c r="F304" s="227">
        <f>'t7'!G20</f>
        <v>44.713130000000007</v>
      </c>
      <c r="G304" s="227">
        <f>'t7'!H20</f>
        <v>44.233029999999999</v>
      </c>
      <c r="H304" s="227">
        <f>'t7'!I20</f>
        <v>44.512950000000004</v>
      </c>
      <c r="I304" s="227">
        <f>'t7'!J20</f>
        <v>44.661389999999997</v>
      </c>
      <c r="J304" s="227">
        <f>'t7'!K20</f>
        <v>44.421189999999996</v>
      </c>
      <c r="K304" s="227">
        <f>'t7'!L20</f>
        <v>44.576721111111105</v>
      </c>
      <c r="L304" s="227">
        <f>'t7'!M20</f>
        <v>0.2914886613172874</v>
      </c>
    </row>
    <row r="305" spans="1:12" s="292" customFormat="1" ht="15.2" hidden="1" customHeight="1" x14ac:dyDescent="0.2">
      <c r="A305" s="226">
        <v>19</v>
      </c>
      <c r="B305" s="227">
        <f>'t7'!C21</f>
        <v>45.114149999999995</v>
      </c>
      <c r="C305" s="227">
        <f>'t7'!D21</f>
        <v>44.268739999999994</v>
      </c>
      <c r="D305" s="227">
        <f>'t7'!E21</f>
        <v>44.922690000000003</v>
      </c>
      <c r="E305" s="227">
        <f>'t7'!F21</f>
        <v>44.297899999999998</v>
      </c>
      <c r="F305" s="227">
        <f>'t7'!G21</f>
        <v>44.711349999999996</v>
      </c>
      <c r="G305" s="227">
        <f>'t7'!H21</f>
        <v>44.230220000000003</v>
      </c>
      <c r="H305" s="227">
        <f>'t7'!I21</f>
        <v>44.503399999999999</v>
      </c>
      <c r="I305" s="227">
        <f>'t7'!J21</f>
        <v>44.656229999999994</v>
      </c>
      <c r="J305" s="227">
        <f>'t7'!K21</f>
        <v>44.413070000000005</v>
      </c>
      <c r="K305" s="227">
        <f>'t7'!L21</f>
        <v>44.568638888888884</v>
      </c>
      <c r="L305" s="227">
        <f>'t7'!M21</f>
        <v>0.2900569391015963</v>
      </c>
    </row>
    <row r="306" spans="1:12" s="292" customFormat="1" ht="15.2" hidden="1" customHeight="1" x14ac:dyDescent="0.2">
      <c r="A306" s="226">
        <v>20</v>
      </c>
      <c r="B306" s="227">
        <f>'t7'!C22</f>
        <v>45.099469999999997</v>
      </c>
      <c r="C306" s="227">
        <f>'t7'!D22</f>
        <v>44.260639999999995</v>
      </c>
      <c r="D306" s="227">
        <f>'t7'!E22</f>
        <v>44.909499999999994</v>
      </c>
      <c r="E306" s="227">
        <f>'t7'!F22</f>
        <v>44.283320000000003</v>
      </c>
      <c r="F306" s="227">
        <f>'t7'!G22</f>
        <v>44.691109999999995</v>
      </c>
      <c r="G306" s="227">
        <f>'t7'!H22</f>
        <v>44.212800000000001</v>
      </c>
      <c r="H306" s="227">
        <f>'t7'!I22</f>
        <v>44.485990000000001</v>
      </c>
      <c r="I306" s="227">
        <f>'t7'!J22</f>
        <v>44.648499999999999</v>
      </c>
      <c r="J306" s="227">
        <f>'t7'!K22</f>
        <v>44.402479999999997</v>
      </c>
      <c r="K306" s="227">
        <f>'t7'!L22</f>
        <v>44.554867777777787</v>
      </c>
      <c r="L306" s="227">
        <f>'t7'!M22</f>
        <v>0.28962988990847288</v>
      </c>
    </row>
    <row r="307" spans="1:12" s="292" customFormat="1" ht="15.2" hidden="1" customHeight="1" x14ac:dyDescent="0.2">
      <c r="A307" s="226">
        <v>21</v>
      </c>
      <c r="B307" s="227">
        <f>'t7'!C23</f>
        <v>45.09442</v>
      </c>
      <c r="C307" s="227">
        <f>'t7'!D23</f>
        <v>44.262739999999994</v>
      </c>
      <c r="D307" s="227">
        <f>'t7'!E23</f>
        <v>44.901629999999997</v>
      </c>
      <c r="E307" s="227">
        <f>'t7'!F23</f>
        <v>44.280869999999993</v>
      </c>
      <c r="F307" s="227">
        <f>'t7'!G23</f>
        <v>44.689239999999998</v>
      </c>
      <c r="G307" s="227">
        <f>'t7'!H23</f>
        <v>44.211020000000005</v>
      </c>
      <c r="H307" s="227">
        <f>'t7'!I23</f>
        <v>44.480329999999995</v>
      </c>
      <c r="I307" s="227">
        <f>'t7'!J23</f>
        <v>44.646010000000004</v>
      </c>
      <c r="J307" s="227">
        <f>'t7'!K23</f>
        <v>44.40061</v>
      </c>
      <c r="K307" s="227">
        <f>'t7'!L23</f>
        <v>44.551874444444444</v>
      </c>
      <c r="L307" s="227">
        <f>'t7'!M23</f>
        <v>0.28783460818521472</v>
      </c>
    </row>
    <row r="308" spans="1:12" s="292" customFormat="1" ht="15.2" hidden="1" customHeight="1" x14ac:dyDescent="0.2">
      <c r="A308" s="226">
        <v>22</v>
      </c>
      <c r="B308" s="227">
        <f>'t7'!C24</f>
        <v>45.114590000000007</v>
      </c>
      <c r="C308" s="227">
        <f>'t7'!D24</f>
        <v>44.282290000000003</v>
      </c>
      <c r="D308" s="227">
        <f>'t7'!E24</f>
        <v>44.903670000000005</v>
      </c>
      <c r="E308" s="227">
        <f>'t7'!F24</f>
        <v>44.285480000000007</v>
      </c>
      <c r="F308" s="227">
        <f>'t7'!G24</f>
        <v>44.703460000000007</v>
      </c>
      <c r="G308" s="227">
        <f>'t7'!H24</f>
        <v>44.222520000000003</v>
      </c>
      <c r="H308" s="227">
        <f>'t7'!I24</f>
        <v>44.508420000000001</v>
      </c>
      <c r="I308" s="227">
        <f>'t7'!J24</f>
        <v>44.658280000000005</v>
      </c>
      <c r="J308" s="227">
        <f>'t7'!K24</f>
        <v>44.412430000000001</v>
      </c>
      <c r="K308" s="227">
        <f>'t7'!L24</f>
        <v>44.565682222222222</v>
      </c>
      <c r="L308" s="227">
        <f>'t7'!M24</f>
        <v>0.28798968043925949</v>
      </c>
    </row>
    <row r="309" spans="1:12" s="292" customFormat="1" ht="15.2" hidden="1" customHeight="1" x14ac:dyDescent="0.2">
      <c r="A309" s="226">
        <v>23</v>
      </c>
      <c r="B309" s="227">
        <f>'t7'!C25</f>
        <v>45.131519999999995</v>
      </c>
      <c r="C309" s="227">
        <f>'t7'!D25</f>
        <v>44.300460000000001</v>
      </c>
      <c r="D309" s="227">
        <f>'t7'!E25</f>
        <v>44.917739999999995</v>
      </c>
      <c r="E309" s="227">
        <f>'t7'!F25</f>
        <v>44.299469999999999</v>
      </c>
      <c r="F309" s="227">
        <f>'t7'!G25</f>
        <v>44.728300000000004</v>
      </c>
      <c r="G309" s="227">
        <f>'t7'!H25</f>
        <v>44.245090000000005</v>
      </c>
      <c r="H309" s="227">
        <f>'t7'!I25</f>
        <v>44.523150000000001</v>
      </c>
      <c r="I309" s="227">
        <f>'t7'!J25</f>
        <v>44.671030000000002</v>
      </c>
      <c r="J309" s="227">
        <f>'t7'!K25</f>
        <v>44.426640000000006</v>
      </c>
      <c r="K309" s="227">
        <f>'t7'!L25</f>
        <v>44.582599999999992</v>
      </c>
      <c r="L309" s="227">
        <f>'t7'!M25</f>
        <v>0.28755999211758443</v>
      </c>
    </row>
    <row r="310" spans="1:12" s="292" customFormat="1" ht="15.2" hidden="1" customHeight="1" x14ac:dyDescent="0.2">
      <c r="A310" s="226">
        <v>24</v>
      </c>
      <c r="B310" s="227">
        <f>'t7'!C26</f>
        <v>45.141300000000001</v>
      </c>
      <c r="C310" s="227">
        <f>'t7'!D26</f>
        <v>44.307509999999994</v>
      </c>
      <c r="D310" s="227">
        <f>'t7'!E26</f>
        <v>44.934569999999994</v>
      </c>
      <c r="E310" s="227">
        <f>'t7'!F26</f>
        <v>44.317599999999999</v>
      </c>
      <c r="F310" s="227">
        <f>'t7'!G26</f>
        <v>44.748350000000002</v>
      </c>
      <c r="G310" s="227">
        <f>'t7'!H26</f>
        <v>44.261960000000002</v>
      </c>
      <c r="H310" s="227">
        <f>'t7'!I26</f>
        <v>44.534639999999996</v>
      </c>
      <c r="I310" s="227">
        <f>'t7'!J26</f>
        <v>44.687060000000002</v>
      </c>
      <c r="J310" s="227">
        <f>'t7'!K26</f>
        <v>44.437070000000006</v>
      </c>
      <c r="K310" s="227">
        <f>'t7'!L26</f>
        <v>44.596673333333321</v>
      </c>
      <c r="L310" s="227">
        <f>'t7'!M26</f>
        <v>0.28767644958258998</v>
      </c>
    </row>
    <row r="311" spans="1:12" s="292" customFormat="1" ht="15.2" hidden="1" customHeight="1" x14ac:dyDescent="0.2">
      <c r="A311" s="226">
        <v>25</v>
      </c>
      <c r="B311" s="227">
        <f>'t7'!C27</f>
        <v>45.133210000000005</v>
      </c>
      <c r="C311" s="227">
        <f>'t7'!D27</f>
        <v>44.289289999999994</v>
      </c>
      <c r="D311" s="227">
        <f>'t7'!E27</f>
        <v>44.941299999999998</v>
      </c>
      <c r="E311" s="227">
        <f>'t7'!F27</f>
        <v>44.317840000000004</v>
      </c>
      <c r="F311" s="227">
        <f>'t7'!G27</f>
        <v>44.733429999999998</v>
      </c>
      <c r="G311" s="227">
        <f>'t7'!H27</f>
        <v>44.251099999999994</v>
      </c>
      <c r="H311" s="227">
        <f>'t7'!I27</f>
        <v>44.52852</v>
      </c>
      <c r="I311" s="227">
        <f>'t7'!J27</f>
        <v>44.676869999999994</v>
      </c>
      <c r="J311" s="227">
        <f>'t7'!K27</f>
        <v>44.428100000000001</v>
      </c>
      <c r="K311" s="227">
        <f>'t7'!L27</f>
        <v>44.588851111111111</v>
      </c>
      <c r="L311" s="227">
        <f>'t7'!M27</f>
        <v>0.28981558436911364</v>
      </c>
    </row>
    <row r="312" spans="1:12" s="292" customFormat="1" ht="15.2" hidden="1" customHeight="1" x14ac:dyDescent="0.2">
      <c r="A312" s="226">
        <v>26</v>
      </c>
      <c r="B312" s="227">
        <f>'t7'!C28</f>
        <v>45.126499999999993</v>
      </c>
      <c r="C312" s="227">
        <f>'t7'!D28</f>
        <v>44.26849</v>
      </c>
      <c r="D312" s="227">
        <f>'t7'!E28</f>
        <v>44.927400000000006</v>
      </c>
      <c r="E312" s="227">
        <f>'t7'!F28</f>
        <v>44.30068</v>
      </c>
      <c r="F312" s="227">
        <f>'t7'!G28</f>
        <v>44.709919999999997</v>
      </c>
      <c r="G312" s="227">
        <f>'t7'!H28</f>
        <v>44.230220000000003</v>
      </c>
      <c r="H312" s="227">
        <f>'t7'!I28</f>
        <v>44.512100000000004</v>
      </c>
      <c r="I312" s="227">
        <f>'t7'!J28</f>
        <v>44.660780000000003</v>
      </c>
      <c r="J312" s="227">
        <f>'t7'!K28</f>
        <v>44.418059999999997</v>
      </c>
      <c r="K312" s="227">
        <f>'t7'!L28</f>
        <v>44.572683333333345</v>
      </c>
      <c r="L312" s="227">
        <f>'t7'!M28</f>
        <v>0.29259585073385108</v>
      </c>
    </row>
    <row r="313" spans="1:12" s="292" customFormat="1" ht="15.2" hidden="1" customHeight="1" x14ac:dyDescent="0.2">
      <c r="A313" s="226">
        <v>27</v>
      </c>
      <c r="B313" s="227">
        <f>'t7'!C29</f>
        <v>45.108819999999994</v>
      </c>
      <c r="C313" s="227">
        <f>'t7'!D29</f>
        <v>44.260339999999999</v>
      </c>
      <c r="D313" s="227">
        <f>'t7'!E29</f>
        <v>44.916719999999998</v>
      </c>
      <c r="E313" s="227">
        <f>'t7'!F29</f>
        <v>44.286559999999994</v>
      </c>
      <c r="F313" s="227">
        <f>'t7'!G29</f>
        <v>44.693449999999999</v>
      </c>
      <c r="G313" s="227">
        <f>'t7'!H29</f>
        <v>44.21687</v>
      </c>
      <c r="H313" s="227">
        <f>'t7'!I29</f>
        <v>44.497119999999995</v>
      </c>
      <c r="I313" s="227">
        <f>'t7'!J29</f>
        <v>44.650999999999996</v>
      </c>
      <c r="J313" s="227">
        <f>'t7'!K29</f>
        <v>44.410510000000002</v>
      </c>
      <c r="K313" s="227">
        <f>'t7'!L29</f>
        <v>44.560154444444443</v>
      </c>
      <c r="L313" s="227">
        <f>'t7'!M29</f>
        <v>0.29119431069347201</v>
      </c>
    </row>
    <row r="314" spans="1:12" s="292" customFormat="1" ht="15.2" hidden="1" customHeight="1" x14ac:dyDescent="0.2">
      <c r="A314" s="226">
        <v>28</v>
      </c>
      <c r="B314" s="227">
        <f>'t7'!C30</f>
        <v>45.104489999999998</v>
      </c>
      <c r="C314" s="227">
        <f>'t7'!D30</f>
        <v>44.268969999999996</v>
      </c>
      <c r="D314" s="227">
        <f>'t7'!E30</f>
        <v>44.911389999999997</v>
      </c>
      <c r="E314" s="227">
        <f>'t7'!F30</f>
        <v>44.283230000000003</v>
      </c>
      <c r="F314" s="227">
        <f>'t7'!G30</f>
        <v>44.695160000000001</v>
      </c>
      <c r="G314" s="227">
        <f>'t7'!H30</f>
        <v>44.217439999999996</v>
      </c>
      <c r="H314" s="227">
        <f>'t7'!I30</f>
        <v>44.504819999999995</v>
      </c>
      <c r="I314" s="227">
        <f>'t7'!J30</f>
        <v>44.653649999999999</v>
      </c>
      <c r="J314" s="227">
        <f>'t7'!K30</f>
        <v>44.413899999999998</v>
      </c>
      <c r="K314" s="227">
        <f>'t7'!L30</f>
        <v>44.561450000000001</v>
      </c>
      <c r="L314" s="227">
        <f>'t7'!M30</f>
        <v>0.28867540548743226</v>
      </c>
    </row>
    <row r="315" spans="1:12" s="292" customFormat="1" ht="15.2" hidden="1" customHeight="1" x14ac:dyDescent="0.2">
      <c r="A315" s="226">
        <v>29</v>
      </c>
      <c r="B315" s="227">
        <f>'t7'!C31</f>
        <v>45.094989999999996</v>
      </c>
      <c r="C315" s="227">
        <f>'t7'!D31</f>
        <v>44.26567</v>
      </c>
      <c r="D315" s="227">
        <f>'t7'!E31</f>
        <v>44.909589999999994</v>
      </c>
      <c r="E315" s="227">
        <f>'t7'!F31</f>
        <v>44.287949999999995</v>
      </c>
      <c r="F315" s="227">
        <f>'t7'!G31</f>
        <v>44.703689999999995</v>
      </c>
      <c r="G315" s="227">
        <f>'t7'!H31</f>
        <v>44.223590000000002</v>
      </c>
      <c r="H315" s="227">
        <f>'t7'!I31</f>
        <v>44.503619999999998</v>
      </c>
      <c r="I315" s="227">
        <f>'t7'!J31</f>
        <v>44.656019999999998</v>
      </c>
      <c r="J315" s="227">
        <f>'t7'!K31</f>
        <v>44.416960000000003</v>
      </c>
      <c r="K315" s="227">
        <f>'t7'!L31</f>
        <v>44.56245333333333</v>
      </c>
      <c r="L315" s="227">
        <f>'t7'!M31</f>
        <v>0.285908326527537</v>
      </c>
    </row>
    <row r="316" spans="1:12" s="292" customFormat="1" ht="15.2" hidden="1" customHeight="1" x14ac:dyDescent="0.2">
      <c r="A316" s="226">
        <v>30</v>
      </c>
      <c r="B316" s="227">
        <f>'t7'!C32</f>
        <v>45.103179999999995</v>
      </c>
      <c r="C316" s="227">
        <f>'t7'!D32</f>
        <v>44.278149999999997</v>
      </c>
      <c r="D316" s="227">
        <f>'t7'!E32</f>
        <v>44.904489999999996</v>
      </c>
      <c r="E316" s="227">
        <f>'t7'!F32</f>
        <v>44.287840000000003</v>
      </c>
      <c r="F316" s="227">
        <f>'t7'!G32</f>
        <v>44.704599999999999</v>
      </c>
      <c r="G316" s="227">
        <f>'t7'!H32</f>
        <v>44.225980000000007</v>
      </c>
      <c r="H316" s="227">
        <f>'t7'!I32</f>
        <v>44.508499999999998</v>
      </c>
      <c r="I316" s="227">
        <f>'t7'!J32</f>
        <v>44.652630000000002</v>
      </c>
      <c r="J316" s="227">
        <f>'t7'!K32</f>
        <v>44.420439999999999</v>
      </c>
      <c r="K316" s="227">
        <f>'t7'!L32</f>
        <v>44.565089999999998</v>
      </c>
      <c r="L316" s="227">
        <f>'t7'!M32</f>
        <v>0.28483587254573028</v>
      </c>
    </row>
    <row r="317" spans="1:12" s="292" customFormat="1" ht="15.2" hidden="1" customHeight="1" x14ac:dyDescent="0.35">
      <c r="A317" s="228" t="s">
        <v>40</v>
      </c>
      <c r="B317" s="227">
        <f>'t7'!C33</f>
        <v>45.125773333333335</v>
      </c>
      <c r="C317" s="227">
        <f>'t7'!D33</f>
        <v>44.272346999999996</v>
      </c>
      <c r="D317" s="227">
        <f>'t7'!E33</f>
        <v>44.916943333333315</v>
      </c>
      <c r="E317" s="227">
        <f>'t7'!F33</f>
        <v>44.290716999999994</v>
      </c>
      <c r="F317" s="227">
        <f>'t7'!G33</f>
        <v>44.705246666666667</v>
      </c>
      <c r="G317" s="227">
        <f>'t7'!H33</f>
        <v>44.223990333333326</v>
      </c>
      <c r="H317" s="227">
        <f>'t7'!I33</f>
        <v>44.509302333333338</v>
      </c>
      <c r="I317" s="227">
        <f>'t7'!J33</f>
        <v>44.657822666666668</v>
      </c>
      <c r="J317" s="227">
        <f>'t7'!K33</f>
        <v>44.414306333333343</v>
      </c>
      <c r="K317" s="137"/>
      <c r="L317" s="137"/>
    </row>
    <row r="318" spans="1:12" s="292" customFormat="1" ht="15.2" hidden="1" customHeight="1" x14ac:dyDescent="0.35">
      <c r="A318" s="228" t="s">
        <v>39</v>
      </c>
      <c r="B318" s="227">
        <f>'t7'!C34</f>
        <v>1.5860574040333721E-2</v>
      </c>
      <c r="C318" s="227">
        <f>'t7'!D34</f>
        <v>1.5170173180729326E-2</v>
      </c>
      <c r="D318" s="227">
        <f>'t7'!E34</f>
        <v>1.1131499250126643E-2</v>
      </c>
      <c r="E318" s="227">
        <f>'t7'!F34</f>
        <v>1.4553187543169914E-2</v>
      </c>
      <c r="F318" s="227">
        <f>'t7'!G34</f>
        <v>1.6305740366168459E-2</v>
      </c>
      <c r="G318" s="227">
        <f>'t7'!H34</f>
        <v>1.5348389379852497E-2</v>
      </c>
      <c r="H318" s="227">
        <f>'t7'!I34</f>
        <v>1.3215685045514E-2</v>
      </c>
      <c r="I318" s="227">
        <f>'t7'!J34</f>
        <v>1.1730107681612445E-2</v>
      </c>
      <c r="J318" s="227">
        <f>'t7'!K34</f>
        <v>1.0379625068160073E-2</v>
      </c>
      <c r="K318" s="294"/>
      <c r="L318" s="294"/>
    </row>
    <row r="319" spans="1:12" s="292" customFormat="1" ht="15.2" hidden="1" customHeight="1" x14ac:dyDescent="0.35">
      <c r="A319" s="228" t="s">
        <v>52</v>
      </c>
      <c r="B319" s="227">
        <f>'t7'!C35</f>
        <v>2.9456666666668241E-2</v>
      </c>
      <c r="C319" s="227">
        <f>'t7'!D35</f>
        <v>3.5162999999997169E-2</v>
      </c>
      <c r="D319" s="227">
        <f>'t7'!E35</f>
        <v>2.435666666668368E-2</v>
      </c>
      <c r="E319" s="227">
        <f>'t7'!F35</f>
        <v>2.7123000000010222E-2</v>
      </c>
      <c r="F319" s="227">
        <f>'t7'!G35</f>
        <v>4.3103333333334604E-2</v>
      </c>
      <c r="G319" s="227">
        <f>'t7'!H35</f>
        <v>3.7969666666676005E-2</v>
      </c>
      <c r="H319" s="227">
        <f>'t7'!I35</f>
        <v>2.5337666666658265E-2</v>
      </c>
      <c r="I319" s="227">
        <f>'t7'!J35</f>
        <v>2.9237333333334448E-2</v>
      </c>
      <c r="J319" s="227">
        <f>'t7'!K35</f>
        <v>2.276366666666263E-2</v>
      </c>
      <c r="K319" s="421"/>
      <c r="L319" s="416"/>
    </row>
    <row r="320" spans="1:12" s="292" customFormat="1" ht="15.2" hidden="1" customHeight="1" x14ac:dyDescent="0.35">
      <c r="A320" s="228" t="s">
        <v>51</v>
      </c>
      <c r="B320" s="227">
        <f>'t7'!C36</f>
        <v>3.1353333333335343E-2</v>
      </c>
      <c r="C320" s="227">
        <f>'t7'!D36</f>
        <v>2.568699999999069E-2</v>
      </c>
      <c r="D320" s="227">
        <f>'t7'!E36</f>
        <v>2.2153333333314151E-2</v>
      </c>
      <c r="E320" s="227">
        <f>'t7'!F36</f>
        <v>3.3746999999998195E-2</v>
      </c>
      <c r="F320" s="227">
        <f>'t7'!G36</f>
        <v>2.9876666666666551E-2</v>
      </c>
      <c r="G320" s="227">
        <f>'t7'!H36</f>
        <v>2.4490333333325509E-2</v>
      </c>
      <c r="H320" s="227">
        <f>'t7'!I36</f>
        <v>2.8972333333342704E-2</v>
      </c>
      <c r="I320" s="227">
        <f>'t7'!J36</f>
        <v>2.228266666666201E-2</v>
      </c>
      <c r="J320" s="227">
        <f>'t7'!K36</f>
        <v>1.6936333333347875E-2</v>
      </c>
      <c r="K320" s="421"/>
      <c r="L320" s="416"/>
    </row>
    <row r="321" spans="1:12" s="292" customFormat="1" ht="15.2" hidden="1" customHeight="1" x14ac:dyDescent="0.35">
      <c r="A321" s="229" t="s">
        <v>44</v>
      </c>
      <c r="B321" s="227">
        <f>'t7'!C37</f>
        <v>3.0405000000001792E-2</v>
      </c>
      <c r="C321" s="227">
        <f>'t7'!D37</f>
        <v>3.0424999999993929E-2</v>
      </c>
      <c r="D321" s="227">
        <f>'t7'!E37</f>
        <v>2.3254999999998915E-2</v>
      </c>
      <c r="E321" s="227">
        <f>'t7'!F37</f>
        <v>3.0435000000004209E-2</v>
      </c>
      <c r="F321" s="227">
        <f>'t7'!G37</f>
        <v>3.6490000000000578E-2</v>
      </c>
      <c r="G321" s="227">
        <f>'t7'!H37</f>
        <v>3.1230000000000757E-2</v>
      </c>
      <c r="H321" s="227">
        <f>'t7'!I37</f>
        <v>2.7155000000000484E-2</v>
      </c>
      <c r="I321" s="227">
        <f>'t7'!J37</f>
        <v>2.5759999999998229E-2</v>
      </c>
      <c r="J321" s="227">
        <f>'t7'!K37</f>
        <v>1.9850000000005252E-2</v>
      </c>
      <c r="K321" s="421"/>
      <c r="L321" s="416"/>
    </row>
    <row r="322" spans="1:12" s="292" customFormat="1" ht="15.2" hidden="1" customHeight="1" x14ac:dyDescent="0.35">
      <c r="A322" s="230" t="s">
        <v>43</v>
      </c>
      <c r="B322" s="227">
        <f>'t7'!C38</f>
        <v>0.42052666666666738</v>
      </c>
      <c r="C322" s="227">
        <f>'t7'!D38</f>
        <v>-0.43289966666667112</v>
      </c>
      <c r="D322" s="227">
        <f>'t7'!E38</f>
        <v>0.2116966666666471</v>
      </c>
      <c r="E322" s="227">
        <f>'t7'!F38</f>
        <v>-0.41452966666667379</v>
      </c>
      <c r="F322" s="227">
        <f>'t7'!G38</f>
        <v>0</v>
      </c>
      <c r="G322" s="227">
        <f>'t7'!H38</f>
        <v>-0.4812563333333415</v>
      </c>
      <c r="H322" s="227">
        <f>'t7'!I38</f>
        <v>-0.19594433333332972</v>
      </c>
      <c r="I322" s="227">
        <f>'t7'!J38</f>
        <v>-4.7423999999999467E-2</v>
      </c>
      <c r="J322" s="227">
        <f>'t7'!K38</f>
        <v>-0.29094033333332447</v>
      </c>
      <c r="K322" s="139"/>
      <c r="L322" s="139"/>
    </row>
    <row r="323" spans="1:12" s="292" customFormat="1" ht="15.2" hidden="1" customHeight="1" x14ac:dyDescent="0.35">
      <c r="A323" s="231" t="s">
        <v>95</v>
      </c>
      <c r="B323" s="232">
        <f>'t7'!C40</f>
        <v>44.568494333333348</v>
      </c>
      <c r="C323" s="139"/>
      <c r="D323" s="139"/>
      <c r="E323" s="139"/>
      <c r="F323" s="139"/>
      <c r="G323" s="139"/>
      <c r="H323" s="139"/>
      <c r="I323" s="139"/>
      <c r="J323" s="139"/>
      <c r="K323" s="139"/>
      <c r="L323" s="139"/>
    </row>
    <row r="324" spans="1:12" s="292" customFormat="1" ht="15.2" hidden="1" customHeight="1" x14ac:dyDescent="0.35">
      <c r="A324" s="233" t="s">
        <v>47</v>
      </c>
      <c r="B324" s="232">
        <f>'t7'!C41</f>
        <v>-0.43150566666665213</v>
      </c>
      <c r="C324" s="139"/>
      <c r="D324" s="139"/>
      <c r="E324" s="139"/>
      <c r="F324" s="139"/>
      <c r="G324" s="139"/>
      <c r="H324" s="139"/>
      <c r="I324" s="139"/>
      <c r="J324" s="139"/>
      <c r="K324" s="139"/>
      <c r="L324" s="139"/>
    </row>
    <row r="325" spans="1:12" s="292" customFormat="1" ht="15.2" hidden="1" customHeight="1" x14ac:dyDescent="0.35">
      <c r="A325" s="298" t="s">
        <v>259</v>
      </c>
      <c r="B325" s="234">
        <f>'t7'!C46</f>
        <v>0.29273049864533746</v>
      </c>
      <c r="C325" s="139"/>
      <c r="D325" s="139"/>
      <c r="E325" s="139"/>
      <c r="F325" s="139"/>
      <c r="G325" s="139"/>
      <c r="H325" s="139"/>
      <c r="I325" s="139"/>
      <c r="J325" s="139"/>
      <c r="K325" s="139"/>
      <c r="L325" s="139"/>
    </row>
    <row r="326" spans="1:12" s="292" customFormat="1" ht="15.2" hidden="1" customHeight="1" x14ac:dyDescent="0.35">
      <c r="A326" s="233" t="s">
        <v>48</v>
      </c>
      <c r="B326" s="232">
        <f>'t7'!C42</f>
        <v>0.90178300000000888</v>
      </c>
      <c r="C326" s="139"/>
      <c r="D326" s="139"/>
      <c r="E326" s="139"/>
      <c r="F326" s="139"/>
      <c r="G326" s="139"/>
      <c r="H326" s="139"/>
      <c r="I326" s="139"/>
      <c r="J326" s="139"/>
      <c r="K326" s="139"/>
      <c r="L326" s="139"/>
    </row>
    <row r="327" spans="1:12" s="292" customFormat="1" ht="15.2" hidden="1" customHeight="1" x14ac:dyDescent="0.35">
      <c r="A327" s="241" t="s">
        <v>49</v>
      </c>
      <c r="B327" s="240">
        <f>'t7'!C43</f>
        <v>0.42052666666666738</v>
      </c>
      <c r="C327" s="140"/>
      <c r="D327" s="139"/>
      <c r="E327" s="139"/>
      <c r="F327" s="139"/>
      <c r="G327" s="139"/>
      <c r="H327" s="139"/>
      <c r="I327" s="139"/>
      <c r="J327" s="139"/>
      <c r="K327" s="139"/>
      <c r="L327" s="139"/>
    </row>
    <row r="328" spans="1:12" s="292" customFormat="1" hidden="1" x14ac:dyDescent="0.2">
      <c r="A328" s="242"/>
      <c r="B328" s="240">
        <f>'t7'!C44</f>
        <v>-0.4812563333333415</v>
      </c>
      <c r="C328" s="139"/>
      <c r="D328" s="139"/>
      <c r="E328" s="139"/>
      <c r="F328" s="139"/>
      <c r="G328" s="139"/>
      <c r="H328" s="139"/>
      <c r="I328" s="139"/>
      <c r="J328" s="139"/>
      <c r="K328" s="139"/>
      <c r="L328" s="139"/>
    </row>
    <row r="329" spans="1:12" s="292" customFormat="1" ht="18.75" hidden="1" x14ac:dyDescent="0.35">
      <c r="A329" s="242" t="s">
        <v>50</v>
      </c>
      <c r="B329" s="232">
        <f>'t7'!C45</f>
        <v>2.8333888888889349E-2</v>
      </c>
    </row>
    <row r="330" spans="1:12" s="292" customFormat="1" ht="33.75" hidden="1" customHeight="1" x14ac:dyDescent="0.2">
      <c r="A330" s="417" t="s">
        <v>372</v>
      </c>
      <c r="B330" s="417"/>
      <c r="C330" s="417"/>
      <c r="D330" s="417"/>
      <c r="E330" s="417"/>
      <c r="F330" s="417"/>
      <c r="G330" s="417"/>
      <c r="H330" s="417"/>
      <c r="I330" s="417"/>
      <c r="J330" s="417"/>
      <c r="K330" s="417"/>
      <c r="L330" s="417"/>
    </row>
    <row r="331" spans="1:12" s="292" customFormat="1" ht="25.5" hidden="1" customHeight="1" thickBot="1" x14ac:dyDescent="0.25">
      <c r="A331" s="418" t="str">
        <f>"Тзад =  "&amp;'t8'!C39&amp;" °С"</f>
        <v>Тзад =  65 °С</v>
      </c>
      <c r="B331" s="418"/>
      <c r="C331" s="418"/>
      <c r="D331" s="418"/>
      <c r="E331" s="418"/>
      <c r="F331" s="418"/>
      <c r="G331" s="418"/>
      <c r="H331" s="418"/>
      <c r="I331" s="418"/>
      <c r="J331" s="418"/>
      <c r="K331" s="418"/>
      <c r="L331" s="418"/>
    </row>
    <row r="332" spans="1:12" s="292" customFormat="1" ht="29.25" hidden="1" thickBot="1" x14ac:dyDescent="0.25">
      <c r="A332" s="239" t="s">
        <v>89</v>
      </c>
      <c r="B332" s="419" t="s">
        <v>94</v>
      </c>
      <c r="C332" s="419"/>
      <c r="D332" s="419"/>
      <c r="E332" s="419"/>
      <c r="F332" s="419"/>
      <c r="G332" s="419"/>
      <c r="H332" s="419"/>
      <c r="I332" s="419"/>
      <c r="J332" s="419"/>
      <c r="K332" s="420" t="s">
        <v>91</v>
      </c>
      <c r="L332" s="420"/>
    </row>
    <row r="333" spans="1:12" s="292" customFormat="1" ht="15.2" hidden="1" customHeight="1" x14ac:dyDescent="0.2">
      <c r="A333" s="236"/>
      <c r="B333" s="235">
        <v>1</v>
      </c>
      <c r="C333" s="235">
        <v>2</v>
      </c>
      <c r="D333" s="235">
        <v>3</v>
      </c>
      <c r="E333" s="235">
        <v>4</v>
      </c>
      <c r="F333" s="235">
        <v>5</v>
      </c>
      <c r="G333" s="235">
        <v>6</v>
      </c>
      <c r="H333" s="235">
        <v>7</v>
      </c>
      <c r="I333" s="235">
        <v>8</v>
      </c>
      <c r="J333" s="235">
        <v>9</v>
      </c>
      <c r="K333" s="237" t="s">
        <v>92</v>
      </c>
      <c r="L333" s="238" t="s">
        <v>93</v>
      </c>
    </row>
    <row r="334" spans="1:12" s="292" customFormat="1" ht="15.2" hidden="1" customHeight="1" x14ac:dyDescent="0.2">
      <c r="A334" s="226">
        <v>1</v>
      </c>
      <c r="B334" s="227">
        <f>'t8'!C3</f>
        <v>65.13158</v>
      </c>
      <c r="C334" s="227">
        <f>'t8'!D3</f>
        <v>64.253600000000006</v>
      </c>
      <c r="D334" s="227">
        <f>'t8'!E3</f>
        <v>64.89479</v>
      </c>
      <c r="E334" s="227">
        <f>'t8'!F3</f>
        <v>64.256969999999995</v>
      </c>
      <c r="F334" s="227">
        <f>'t8'!G3</f>
        <v>64.677800000000005</v>
      </c>
      <c r="G334" s="227">
        <f>'t8'!H3</f>
        <v>64.1995</v>
      </c>
      <c r="H334" s="227">
        <f>'t8'!I3</f>
        <v>64.499120000000005</v>
      </c>
      <c r="I334" s="227">
        <f>'t8'!J3</f>
        <v>64.635540000000006</v>
      </c>
      <c r="J334" s="227">
        <f>'t8'!K3</f>
        <v>64.402159999999995</v>
      </c>
      <c r="K334" s="227">
        <f>'t8'!L3</f>
        <v>64.550117777777771</v>
      </c>
      <c r="L334" s="227">
        <f>'t8'!M3</f>
        <v>0.29847398512276063</v>
      </c>
    </row>
    <row r="335" spans="1:12" s="292" customFormat="1" ht="15.2" hidden="1" customHeight="1" x14ac:dyDescent="0.2">
      <c r="A335" s="226">
        <v>2</v>
      </c>
      <c r="B335" s="227">
        <f>'t8'!C4</f>
        <v>65.139309999999995</v>
      </c>
      <c r="C335" s="227">
        <f>'t8'!D4</f>
        <v>64.27073</v>
      </c>
      <c r="D335" s="227">
        <f>'t8'!E4</f>
        <v>64.90428</v>
      </c>
      <c r="E335" s="227">
        <f>'t8'!F4</f>
        <v>64.272720000000007</v>
      </c>
      <c r="F335" s="227">
        <f>'t8'!G4</f>
        <v>64.699889999999996</v>
      </c>
      <c r="G335" s="227">
        <f>'t8'!H4</f>
        <v>64.217330000000004</v>
      </c>
      <c r="H335" s="227">
        <f>'t8'!I4</f>
        <v>64.513459999999995</v>
      </c>
      <c r="I335" s="227">
        <f>'t8'!J4</f>
        <v>64.651079999999993</v>
      </c>
      <c r="J335" s="227">
        <f>'t8'!K4</f>
        <v>64.410449999999997</v>
      </c>
      <c r="K335" s="227">
        <f>'t8'!L4</f>
        <v>64.564361111111111</v>
      </c>
      <c r="L335" s="227">
        <f>'t8'!M4</f>
        <v>0.2962700032982068</v>
      </c>
    </row>
    <row r="336" spans="1:12" s="292" customFormat="1" ht="15.2" hidden="1" customHeight="1" x14ac:dyDescent="0.2">
      <c r="A336" s="226">
        <v>3</v>
      </c>
      <c r="B336" s="227">
        <f>'t8'!C5</f>
        <v>65.132829999999998</v>
      </c>
      <c r="C336" s="227">
        <f>'t8'!D5</f>
        <v>64.264439999999993</v>
      </c>
      <c r="D336" s="227">
        <f>'t8'!E5</f>
        <v>64.918030000000002</v>
      </c>
      <c r="E336" s="227">
        <f>'t8'!F5</f>
        <v>64.286150000000006</v>
      </c>
      <c r="F336" s="227">
        <f>'t8'!G5</f>
        <v>64.709720000000004</v>
      </c>
      <c r="G336" s="227">
        <f>'t8'!H5</f>
        <v>64.219620000000006</v>
      </c>
      <c r="H336" s="227">
        <f>'t8'!I5</f>
        <v>64.518749999999997</v>
      </c>
      <c r="I336" s="227">
        <f>'t8'!J5</f>
        <v>64.659400000000005</v>
      </c>
      <c r="J336" s="227">
        <f>'t8'!K5</f>
        <v>64.407790000000006</v>
      </c>
      <c r="K336" s="227">
        <f>'t8'!L5</f>
        <v>64.568525555555553</v>
      </c>
      <c r="L336" s="227">
        <f>'t8'!M5</f>
        <v>0.29646800266212325</v>
      </c>
    </row>
    <row r="337" spans="1:12" s="292" customFormat="1" ht="15.2" hidden="1" customHeight="1" x14ac:dyDescent="0.2">
      <c r="A337" s="226">
        <v>4</v>
      </c>
      <c r="B337" s="227">
        <f>'t8'!C6</f>
        <v>65.124690000000001</v>
      </c>
      <c r="C337" s="227">
        <f>'t8'!D6</f>
        <v>64.252579999999995</v>
      </c>
      <c r="D337" s="227">
        <f>'t8'!E6</f>
        <v>64.916460000000001</v>
      </c>
      <c r="E337" s="227">
        <f>'t8'!F6</f>
        <v>64.28125</v>
      </c>
      <c r="F337" s="227">
        <f>'t8'!G6</f>
        <v>64.691739999999996</v>
      </c>
      <c r="G337" s="227">
        <f>'t8'!H6</f>
        <v>64.206649999999996</v>
      </c>
      <c r="H337" s="227">
        <f>'t8'!I6</f>
        <v>64.500990000000002</v>
      </c>
      <c r="I337" s="227">
        <f>'t8'!J6</f>
        <v>64.653149999999997</v>
      </c>
      <c r="J337" s="227">
        <f>'t8'!K6</f>
        <v>64.403400000000005</v>
      </c>
      <c r="K337" s="227">
        <f>'t8'!L6</f>
        <v>64.558989999999994</v>
      </c>
      <c r="L337" s="227">
        <f>'t8'!M6</f>
        <v>0.29758888091534086</v>
      </c>
    </row>
    <row r="338" spans="1:12" s="292" customFormat="1" ht="15.2" hidden="1" customHeight="1" x14ac:dyDescent="0.2">
      <c r="A338" s="226">
        <v>5</v>
      </c>
      <c r="B338" s="227">
        <f>'t8'!C7</f>
        <v>65.124499999999998</v>
      </c>
      <c r="C338" s="227">
        <f>'t8'!D7</f>
        <v>64.246660000000006</v>
      </c>
      <c r="D338" s="227">
        <f>'t8'!E7</f>
        <v>64.909790000000001</v>
      </c>
      <c r="E338" s="227">
        <f>'t8'!F7</f>
        <v>64.274609999999996</v>
      </c>
      <c r="F338" s="227">
        <f>'t8'!G7</f>
        <v>64.675370000000001</v>
      </c>
      <c r="G338" s="227">
        <f>'t8'!H7</f>
        <v>64.200069999999997</v>
      </c>
      <c r="H338" s="227">
        <f>'t8'!I7</f>
        <v>64.486890000000002</v>
      </c>
      <c r="I338" s="227">
        <f>'t8'!J7</f>
        <v>64.640349999999998</v>
      </c>
      <c r="J338" s="227">
        <f>'t8'!K7</f>
        <v>64.397369999999995</v>
      </c>
      <c r="K338" s="227">
        <f>'t8'!L7</f>
        <v>64.550623333333334</v>
      </c>
      <c r="L338" s="227">
        <f>'t8'!M7</f>
        <v>0.29832140724765671</v>
      </c>
    </row>
    <row r="339" spans="1:12" s="292" customFormat="1" ht="15.2" hidden="1" customHeight="1" x14ac:dyDescent="0.2">
      <c r="A339" s="226">
        <v>6</v>
      </c>
      <c r="B339" s="227">
        <f>'t8'!C8</f>
        <v>65.127030000000005</v>
      </c>
      <c r="C339" s="227">
        <f>'t8'!D8</f>
        <v>64.251769999999993</v>
      </c>
      <c r="D339" s="227">
        <f>'t8'!E8</f>
        <v>64.905709999999999</v>
      </c>
      <c r="E339" s="227">
        <f>'t8'!F8</f>
        <v>64.27167</v>
      </c>
      <c r="F339" s="227">
        <f>'t8'!G8</f>
        <v>64.682100000000005</v>
      </c>
      <c r="G339" s="227">
        <f>'t8'!H8</f>
        <v>64.203900000000004</v>
      </c>
      <c r="H339" s="227">
        <f>'t8'!I8</f>
        <v>64.491780000000006</v>
      </c>
      <c r="I339" s="227">
        <f>'t8'!J8</f>
        <v>64.641329999999996</v>
      </c>
      <c r="J339" s="227">
        <f>'t8'!K8</f>
        <v>64.400069999999999</v>
      </c>
      <c r="K339" s="227">
        <f>'t8'!L8</f>
        <v>64.552817777777776</v>
      </c>
      <c r="L339" s="227">
        <f>'t8'!M8</f>
        <v>0.29763434877856448</v>
      </c>
    </row>
    <row r="340" spans="1:12" s="292" customFormat="1" ht="15.2" hidden="1" customHeight="1" x14ac:dyDescent="0.2">
      <c r="A340" s="226">
        <v>7</v>
      </c>
      <c r="B340" s="227">
        <f>'t8'!C9</f>
        <v>65.119370000000004</v>
      </c>
      <c r="C340" s="227">
        <f>'t8'!D9</f>
        <v>64.24973</v>
      </c>
      <c r="D340" s="227">
        <f>'t8'!E9</f>
        <v>64.909959999999998</v>
      </c>
      <c r="E340" s="227">
        <f>'t8'!F9</f>
        <v>64.274109999999993</v>
      </c>
      <c r="F340" s="227">
        <f>'t8'!G9</f>
        <v>64.690460000000002</v>
      </c>
      <c r="G340" s="227">
        <f>'t8'!H9</f>
        <v>64.206329999999994</v>
      </c>
      <c r="H340" s="227">
        <f>'t8'!I9</f>
        <v>64.500290000000007</v>
      </c>
      <c r="I340" s="227">
        <f>'t8'!J9</f>
        <v>64.642470000000003</v>
      </c>
      <c r="J340" s="227">
        <f>'t8'!K9</f>
        <v>64.40222</v>
      </c>
      <c r="K340" s="227">
        <f>'t8'!L9</f>
        <v>64.554993333333343</v>
      </c>
      <c r="L340" s="227">
        <f>'t8'!M9</f>
        <v>0.29636785644420782</v>
      </c>
    </row>
    <row r="341" spans="1:12" s="292" customFormat="1" ht="15.2" hidden="1" customHeight="1" x14ac:dyDescent="0.2">
      <c r="A341" s="226">
        <v>8</v>
      </c>
      <c r="B341" s="227">
        <f>'t8'!C10</f>
        <v>65.118790000000004</v>
      </c>
      <c r="C341" s="227">
        <f>'t8'!D10</f>
        <v>64.257890000000003</v>
      </c>
      <c r="D341" s="227">
        <f>'t8'!E10</f>
        <v>64.908879999999996</v>
      </c>
      <c r="E341" s="227">
        <f>'t8'!F10</f>
        <v>64.275310000000005</v>
      </c>
      <c r="F341" s="227">
        <f>'t8'!G10</f>
        <v>64.696119999999993</v>
      </c>
      <c r="G341" s="227">
        <f>'t8'!H10</f>
        <v>64.207120000000003</v>
      </c>
      <c r="H341" s="227">
        <f>'t8'!I10</f>
        <v>64.506879999999995</v>
      </c>
      <c r="I341" s="227">
        <f>'t8'!J10</f>
        <v>64.647289999999998</v>
      </c>
      <c r="J341" s="227">
        <f>'t8'!K10</f>
        <v>64.401399999999995</v>
      </c>
      <c r="K341" s="227">
        <f>'t8'!L10</f>
        <v>64.557742222222217</v>
      </c>
      <c r="L341" s="227">
        <f>'t8'!M10</f>
        <v>0.29531239127321696</v>
      </c>
    </row>
    <row r="342" spans="1:12" s="292" customFormat="1" ht="15.2" hidden="1" customHeight="1" x14ac:dyDescent="0.2">
      <c r="A342" s="226">
        <v>9</v>
      </c>
      <c r="B342" s="227">
        <f>'t8'!C11</f>
        <v>65.116829999999993</v>
      </c>
      <c r="C342" s="227">
        <f>'t8'!D11</f>
        <v>64.264600000000002</v>
      </c>
      <c r="D342" s="227">
        <f>'t8'!E11</f>
        <v>64.910629999999998</v>
      </c>
      <c r="E342" s="227">
        <f>'t8'!F11</f>
        <v>64.278729999999996</v>
      </c>
      <c r="F342" s="227">
        <f>'t8'!G11</f>
        <v>64.693920000000006</v>
      </c>
      <c r="G342" s="227">
        <f>'t8'!H11</f>
        <v>64.205029999999994</v>
      </c>
      <c r="H342" s="227">
        <f>'t8'!I11</f>
        <v>64.500590000000003</v>
      </c>
      <c r="I342" s="227">
        <f>'t8'!J11</f>
        <v>64.649760000000001</v>
      </c>
      <c r="J342" s="227">
        <f>'t8'!K11</f>
        <v>64.404499999999999</v>
      </c>
      <c r="K342" s="227">
        <f>'t8'!L11</f>
        <v>64.558287777777778</v>
      </c>
      <c r="L342" s="227">
        <f>'t8'!M11</f>
        <v>0.29421336859790753</v>
      </c>
    </row>
    <row r="343" spans="1:12" s="292" customFormat="1" ht="15.2" hidden="1" customHeight="1" x14ac:dyDescent="0.2">
      <c r="A343" s="226">
        <v>10</v>
      </c>
      <c r="B343" s="227">
        <f>'t8'!C12</f>
        <v>65.130129999999994</v>
      </c>
      <c r="C343" s="227">
        <f>'t8'!D12</f>
        <v>64.274609999999996</v>
      </c>
      <c r="D343" s="227">
        <f>'t8'!E12</f>
        <v>64.911389999999997</v>
      </c>
      <c r="E343" s="227">
        <f>'t8'!F12</f>
        <v>64.291210000000007</v>
      </c>
      <c r="F343" s="227">
        <f>'t8'!G12</f>
        <v>64.710220000000007</v>
      </c>
      <c r="G343" s="227">
        <f>'t8'!H12</f>
        <v>64.228740000000002</v>
      </c>
      <c r="H343" s="227">
        <f>'t8'!I12</f>
        <v>64.519900000000007</v>
      </c>
      <c r="I343" s="227">
        <f>'t8'!J12</f>
        <v>64.658860000000004</v>
      </c>
      <c r="J343" s="227">
        <f>'t8'!K12</f>
        <v>64.4178</v>
      </c>
      <c r="K343" s="227">
        <f>'t8'!L12</f>
        <v>64.571428888888875</v>
      </c>
      <c r="L343" s="227">
        <f>'t8'!M12</f>
        <v>0.29153701409538607</v>
      </c>
    </row>
    <row r="344" spans="1:12" s="292" customFormat="1" ht="15.2" hidden="1" customHeight="1" x14ac:dyDescent="0.2">
      <c r="A344" s="226">
        <v>11</v>
      </c>
      <c r="B344" s="227">
        <f>'t8'!C13</f>
        <v>65.146349999999998</v>
      </c>
      <c r="C344" s="227">
        <f>'t8'!D13</f>
        <v>64.278030000000001</v>
      </c>
      <c r="D344" s="227">
        <f>'t8'!E13</f>
        <v>64.923280000000005</v>
      </c>
      <c r="E344" s="227">
        <f>'t8'!F13</f>
        <v>64.30292</v>
      </c>
      <c r="F344" s="227">
        <f>'t8'!G13</f>
        <v>64.717969999999994</v>
      </c>
      <c r="G344" s="227">
        <f>'t8'!H13</f>
        <v>64.235529999999997</v>
      </c>
      <c r="H344" s="227">
        <f>'t8'!I13</f>
        <v>64.518140000000002</v>
      </c>
      <c r="I344" s="227">
        <f>'t8'!J13</f>
        <v>64.667180000000002</v>
      </c>
      <c r="J344" s="227">
        <f>'t8'!K13</f>
        <v>64.420320000000004</v>
      </c>
      <c r="K344" s="227">
        <f>'t8'!L13</f>
        <v>64.578857777777785</v>
      </c>
      <c r="L344" s="227">
        <f>'t8'!M13</f>
        <v>0.29461103591676707</v>
      </c>
    </row>
    <row r="345" spans="1:12" s="292" customFormat="1" ht="15.2" hidden="1" customHeight="1" x14ac:dyDescent="0.2">
      <c r="A345" s="226">
        <v>12</v>
      </c>
      <c r="B345" s="227">
        <f>'t8'!C14</f>
        <v>65.143979999999999</v>
      </c>
      <c r="C345" s="227">
        <f>'t8'!D14</f>
        <v>64.274280000000005</v>
      </c>
      <c r="D345" s="227">
        <f>'t8'!E14</f>
        <v>64.928280000000001</v>
      </c>
      <c r="E345" s="227">
        <f>'t8'!F14</f>
        <v>64.302549999999997</v>
      </c>
      <c r="F345" s="227">
        <f>'t8'!G14</f>
        <v>64.711780000000005</v>
      </c>
      <c r="G345" s="227">
        <f>'t8'!H14</f>
        <v>64.23236</v>
      </c>
      <c r="H345" s="227">
        <f>'t8'!I14</f>
        <v>64.52261</v>
      </c>
      <c r="I345" s="227">
        <f>'t8'!J14</f>
        <v>64.664699999999996</v>
      </c>
      <c r="J345" s="227">
        <f>'t8'!K14</f>
        <v>64.41583</v>
      </c>
      <c r="K345" s="227">
        <f>'t8'!L14</f>
        <v>64.577374444444445</v>
      </c>
      <c r="L345" s="227">
        <f>'t8'!M14</f>
        <v>0.29540793016178335</v>
      </c>
    </row>
    <row r="346" spans="1:12" s="292" customFormat="1" ht="15.2" hidden="1" customHeight="1" x14ac:dyDescent="0.2">
      <c r="A346" s="226">
        <v>13</v>
      </c>
      <c r="B346" s="227">
        <f>'t8'!C15</f>
        <v>65.138490000000004</v>
      </c>
      <c r="C346" s="227">
        <f>'t8'!D15</f>
        <v>64.282049999999998</v>
      </c>
      <c r="D346" s="227">
        <f>'t8'!E15</f>
        <v>64.922349999999994</v>
      </c>
      <c r="E346" s="227">
        <f>'t8'!F15</f>
        <v>64.295019999999994</v>
      </c>
      <c r="F346" s="227">
        <f>'t8'!G15</f>
        <v>64.702789999999993</v>
      </c>
      <c r="G346" s="227">
        <f>'t8'!H15</f>
        <v>64.226479999999995</v>
      </c>
      <c r="H346" s="227">
        <f>'t8'!I15</f>
        <v>64.506429999999995</v>
      </c>
      <c r="I346" s="227">
        <f>'t8'!J15</f>
        <v>64.662019999999998</v>
      </c>
      <c r="J346" s="227">
        <f>'t8'!K15</f>
        <v>64.418090000000007</v>
      </c>
      <c r="K346" s="227">
        <f>'t8'!L15</f>
        <v>64.572635555555564</v>
      </c>
      <c r="L346" s="227">
        <f>'t8'!M15</f>
        <v>0.29382964414818247</v>
      </c>
    </row>
    <row r="347" spans="1:12" s="292" customFormat="1" ht="15.2" hidden="1" customHeight="1" x14ac:dyDescent="0.2">
      <c r="A347" s="226">
        <v>14</v>
      </c>
      <c r="B347" s="227">
        <f>'t8'!C16</f>
        <v>65.155230000000003</v>
      </c>
      <c r="C347" s="227">
        <f>'t8'!D16</f>
        <v>64.293319999999994</v>
      </c>
      <c r="D347" s="227">
        <f>'t8'!E16</f>
        <v>64.927700000000002</v>
      </c>
      <c r="E347" s="227">
        <f>'t8'!F16</f>
        <v>64.301069999999996</v>
      </c>
      <c r="F347" s="227">
        <f>'t8'!G16</f>
        <v>64.723939999999999</v>
      </c>
      <c r="G347" s="227">
        <f>'t8'!H16</f>
        <v>64.239879999999999</v>
      </c>
      <c r="H347" s="227">
        <f>'t8'!I16</f>
        <v>64.517899999999997</v>
      </c>
      <c r="I347" s="227">
        <f>'t8'!J16</f>
        <v>64.67456</v>
      </c>
      <c r="J347" s="227">
        <f>'t8'!K16</f>
        <v>64.429699999999997</v>
      </c>
      <c r="K347" s="227">
        <f>'t8'!L16</f>
        <v>64.584811111111108</v>
      </c>
      <c r="L347" s="227">
        <f>'t8'!M16</f>
        <v>0.29502397655650153</v>
      </c>
    </row>
    <row r="348" spans="1:12" s="292" customFormat="1" ht="15.2" hidden="1" customHeight="1" x14ac:dyDescent="0.2">
      <c r="A348" s="226">
        <v>15</v>
      </c>
      <c r="B348" s="227">
        <f>'t8'!C17</f>
        <v>65.146789999999996</v>
      </c>
      <c r="C348" s="227">
        <f>'t8'!D17</f>
        <v>64.282229999999998</v>
      </c>
      <c r="D348" s="227">
        <f>'t8'!E17</f>
        <v>64.93477</v>
      </c>
      <c r="E348" s="227">
        <f>'t8'!F17</f>
        <v>64.313419999999994</v>
      </c>
      <c r="F348" s="227">
        <f>'t8'!G17</f>
        <v>64.726240000000004</v>
      </c>
      <c r="G348" s="227">
        <f>'t8'!H17</f>
        <v>64.240750000000006</v>
      </c>
      <c r="H348" s="227">
        <f>'t8'!I17</f>
        <v>64.521699999999996</v>
      </c>
      <c r="I348" s="227">
        <f>'t8'!J17</f>
        <v>64.671620000000004</v>
      </c>
      <c r="J348" s="227">
        <f>'t8'!K17</f>
        <v>64.426410000000004</v>
      </c>
      <c r="K348" s="227">
        <f>'t8'!L17</f>
        <v>64.584881111111116</v>
      </c>
      <c r="L348" s="227">
        <f>'t8'!M17</f>
        <v>0.29410689698529796</v>
      </c>
    </row>
    <row r="349" spans="1:12" s="292" customFormat="1" ht="15.2" hidden="1" customHeight="1" x14ac:dyDescent="0.2">
      <c r="A349" s="226">
        <v>16</v>
      </c>
      <c r="B349" s="227">
        <f>'t8'!C18</f>
        <v>65.139889999999994</v>
      </c>
      <c r="C349" s="227">
        <f>'t8'!D18</f>
        <v>64.285520000000005</v>
      </c>
      <c r="D349" s="227">
        <f>'t8'!E18</f>
        <v>64.924729999999997</v>
      </c>
      <c r="E349" s="227">
        <f>'t8'!F18</f>
        <v>64.304860000000005</v>
      </c>
      <c r="F349" s="227">
        <f>'t8'!G18</f>
        <v>64.707080000000005</v>
      </c>
      <c r="G349" s="227">
        <f>'t8'!H18</f>
        <v>64.231170000000006</v>
      </c>
      <c r="H349" s="227">
        <f>'t8'!I18</f>
        <v>64.520290000000003</v>
      </c>
      <c r="I349" s="227">
        <f>'t8'!J18</f>
        <v>64.666210000000007</v>
      </c>
      <c r="J349" s="227">
        <f>'t8'!K18</f>
        <v>64.422439999999995</v>
      </c>
      <c r="K349" s="227">
        <f>'t8'!L18</f>
        <v>64.578021111111113</v>
      </c>
      <c r="L349" s="227">
        <f>'t8'!M18</f>
        <v>0.29218622830290075</v>
      </c>
    </row>
    <row r="350" spans="1:12" s="292" customFormat="1" ht="15.2" hidden="1" customHeight="1" x14ac:dyDescent="0.2">
      <c r="A350" s="226">
        <v>17</v>
      </c>
      <c r="B350" s="227">
        <f>'t8'!C19</f>
        <v>65.137969999999996</v>
      </c>
      <c r="C350" s="227">
        <f>'t8'!D19</f>
        <v>64.290790000000001</v>
      </c>
      <c r="D350" s="227">
        <f>'t8'!E19</f>
        <v>64.928690000000003</v>
      </c>
      <c r="E350" s="227">
        <f>'t8'!F19</f>
        <v>64.306380000000004</v>
      </c>
      <c r="F350" s="227">
        <f>'t8'!G19</f>
        <v>64.715069999999997</v>
      </c>
      <c r="G350" s="227">
        <f>'t8'!H19</f>
        <v>64.237409999999997</v>
      </c>
      <c r="H350" s="227">
        <f>'t8'!I19</f>
        <v>64.529790000000006</v>
      </c>
      <c r="I350" s="227">
        <f>'t8'!J19</f>
        <v>64.669709999999995</v>
      </c>
      <c r="J350" s="227">
        <f>'t8'!K19</f>
        <v>64.427779999999998</v>
      </c>
      <c r="K350" s="227">
        <f>'t8'!L19</f>
        <v>64.582621111111109</v>
      </c>
      <c r="L350" s="227">
        <f>'t8'!M19</f>
        <v>0.29073000133550475</v>
      </c>
    </row>
    <row r="351" spans="1:12" s="292" customFormat="1" ht="15.2" hidden="1" customHeight="1" x14ac:dyDescent="0.2">
      <c r="A351" s="226">
        <v>18</v>
      </c>
      <c r="B351" s="227">
        <f>'t8'!C20</f>
        <v>65.132800000000003</v>
      </c>
      <c r="C351" s="227">
        <f>'t8'!D20</f>
        <v>64.284289999999999</v>
      </c>
      <c r="D351" s="227">
        <f>'t8'!E20</f>
        <v>64.927890000000005</v>
      </c>
      <c r="E351" s="227">
        <f>'t8'!F20</f>
        <v>64.303820000000002</v>
      </c>
      <c r="F351" s="227">
        <f>'t8'!G20</f>
        <v>64.713130000000007</v>
      </c>
      <c r="G351" s="227">
        <f>'t8'!H20</f>
        <v>64.233029999999999</v>
      </c>
      <c r="H351" s="227">
        <f>'t8'!I20</f>
        <v>64.512950000000004</v>
      </c>
      <c r="I351" s="227">
        <f>'t8'!J20</f>
        <v>64.661389999999997</v>
      </c>
      <c r="J351" s="227">
        <f>'t8'!K20</f>
        <v>64.421189999999996</v>
      </c>
      <c r="K351" s="227">
        <f>'t8'!L20</f>
        <v>64.576721111111112</v>
      </c>
      <c r="L351" s="227">
        <f>'t8'!M20</f>
        <v>0.2914886613172874</v>
      </c>
    </row>
    <row r="352" spans="1:12" s="292" customFormat="1" ht="15.2" hidden="1" customHeight="1" x14ac:dyDescent="0.2">
      <c r="A352" s="226">
        <v>19</v>
      </c>
      <c r="B352" s="227">
        <f>'t8'!C21</f>
        <v>65.114149999999995</v>
      </c>
      <c r="C352" s="227">
        <f>'t8'!D21</f>
        <v>64.268739999999994</v>
      </c>
      <c r="D352" s="227">
        <f>'t8'!E21</f>
        <v>64.922690000000003</v>
      </c>
      <c r="E352" s="227">
        <f>'t8'!F21</f>
        <v>64.297899999999998</v>
      </c>
      <c r="F352" s="227">
        <f>'t8'!G21</f>
        <v>64.711349999999996</v>
      </c>
      <c r="G352" s="227">
        <f>'t8'!H21</f>
        <v>64.230220000000003</v>
      </c>
      <c r="H352" s="227">
        <f>'t8'!I21</f>
        <v>64.503399999999999</v>
      </c>
      <c r="I352" s="227">
        <f>'t8'!J21</f>
        <v>64.656229999999994</v>
      </c>
      <c r="J352" s="227">
        <f>'t8'!K21</f>
        <v>64.413070000000005</v>
      </c>
      <c r="K352" s="227">
        <f>'t8'!L21</f>
        <v>64.56863888888887</v>
      </c>
      <c r="L352" s="227">
        <f>'t8'!M21</f>
        <v>0.2900569391015963</v>
      </c>
    </row>
    <row r="353" spans="1:12" s="292" customFormat="1" ht="15.2" hidden="1" customHeight="1" x14ac:dyDescent="0.2">
      <c r="A353" s="226">
        <v>20</v>
      </c>
      <c r="B353" s="227">
        <f>'t8'!C22</f>
        <v>65.099469999999997</v>
      </c>
      <c r="C353" s="227">
        <f>'t8'!D22</f>
        <v>64.260639999999995</v>
      </c>
      <c r="D353" s="227">
        <f>'t8'!E22</f>
        <v>64.909499999999994</v>
      </c>
      <c r="E353" s="227">
        <f>'t8'!F22</f>
        <v>64.283320000000003</v>
      </c>
      <c r="F353" s="227">
        <f>'t8'!G22</f>
        <v>64.691109999999995</v>
      </c>
      <c r="G353" s="227">
        <f>'t8'!H22</f>
        <v>64.212800000000001</v>
      </c>
      <c r="H353" s="227">
        <f>'t8'!I22</f>
        <v>64.485990000000001</v>
      </c>
      <c r="I353" s="227">
        <f>'t8'!J22</f>
        <v>64.648499999999999</v>
      </c>
      <c r="J353" s="227">
        <f>'t8'!K22</f>
        <v>64.402479999999997</v>
      </c>
      <c r="K353" s="227">
        <f>'t8'!L22</f>
        <v>64.554867777777773</v>
      </c>
      <c r="L353" s="227">
        <f>'t8'!M22</f>
        <v>0.28962988990847283</v>
      </c>
    </row>
    <row r="354" spans="1:12" s="292" customFormat="1" ht="15.2" hidden="1" customHeight="1" x14ac:dyDescent="0.2">
      <c r="A354" s="226">
        <v>21</v>
      </c>
      <c r="B354" s="227">
        <f>'t8'!C23</f>
        <v>65.09442</v>
      </c>
      <c r="C354" s="227">
        <f>'t8'!D23</f>
        <v>64.262739999999994</v>
      </c>
      <c r="D354" s="227">
        <f>'t8'!E23</f>
        <v>64.901629999999997</v>
      </c>
      <c r="E354" s="227">
        <f>'t8'!F23</f>
        <v>64.280869999999993</v>
      </c>
      <c r="F354" s="227">
        <f>'t8'!G23</f>
        <v>64.689239999999998</v>
      </c>
      <c r="G354" s="227">
        <f>'t8'!H23</f>
        <v>64.211020000000005</v>
      </c>
      <c r="H354" s="227">
        <f>'t8'!I23</f>
        <v>64.480329999999995</v>
      </c>
      <c r="I354" s="227">
        <f>'t8'!J23</f>
        <v>64.646010000000004</v>
      </c>
      <c r="J354" s="227">
        <f>'t8'!K23</f>
        <v>64.40061</v>
      </c>
      <c r="K354" s="227">
        <f>'t8'!L23</f>
        <v>64.551874444444437</v>
      </c>
      <c r="L354" s="227">
        <f>'t8'!M23</f>
        <v>0.28783460818521467</v>
      </c>
    </row>
    <row r="355" spans="1:12" s="292" customFormat="1" ht="15.2" hidden="1" customHeight="1" x14ac:dyDescent="0.2">
      <c r="A355" s="226">
        <v>22</v>
      </c>
      <c r="B355" s="227">
        <f>'t8'!C24</f>
        <v>65.114590000000007</v>
      </c>
      <c r="C355" s="227">
        <f>'t8'!D24</f>
        <v>64.282290000000003</v>
      </c>
      <c r="D355" s="227">
        <f>'t8'!E24</f>
        <v>64.903670000000005</v>
      </c>
      <c r="E355" s="227">
        <f>'t8'!F24</f>
        <v>64.285480000000007</v>
      </c>
      <c r="F355" s="227">
        <f>'t8'!G24</f>
        <v>64.703460000000007</v>
      </c>
      <c r="G355" s="227">
        <f>'t8'!H24</f>
        <v>64.222520000000003</v>
      </c>
      <c r="H355" s="227">
        <f>'t8'!I24</f>
        <v>64.508420000000001</v>
      </c>
      <c r="I355" s="227">
        <f>'t8'!J24</f>
        <v>64.658280000000005</v>
      </c>
      <c r="J355" s="227">
        <f>'t8'!K24</f>
        <v>64.412430000000001</v>
      </c>
      <c r="K355" s="227">
        <f>'t8'!L24</f>
        <v>64.565682222222222</v>
      </c>
      <c r="L355" s="227">
        <f>'t8'!M24</f>
        <v>0.28798968043925949</v>
      </c>
    </row>
    <row r="356" spans="1:12" s="292" customFormat="1" ht="15.2" hidden="1" customHeight="1" x14ac:dyDescent="0.2">
      <c r="A356" s="226">
        <v>23</v>
      </c>
      <c r="B356" s="227">
        <f>'t8'!C25</f>
        <v>65.131519999999995</v>
      </c>
      <c r="C356" s="227">
        <f>'t8'!D25</f>
        <v>64.300460000000001</v>
      </c>
      <c r="D356" s="227">
        <f>'t8'!E25</f>
        <v>64.917739999999995</v>
      </c>
      <c r="E356" s="227">
        <f>'t8'!F25</f>
        <v>64.299469999999999</v>
      </c>
      <c r="F356" s="227">
        <f>'t8'!G25</f>
        <v>64.728300000000004</v>
      </c>
      <c r="G356" s="227">
        <f>'t8'!H25</f>
        <v>64.245090000000005</v>
      </c>
      <c r="H356" s="227">
        <f>'t8'!I25</f>
        <v>64.523150000000001</v>
      </c>
      <c r="I356" s="227">
        <f>'t8'!J25</f>
        <v>64.671030000000002</v>
      </c>
      <c r="J356" s="227">
        <f>'t8'!K25</f>
        <v>64.426640000000006</v>
      </c>
      <c r="K356" s="227">
        <f>'t8'!L25</f>
        <v>64.582599999999999</v>
      </c>
      <c r="L356" s="227">
        <f>'t8'!M25</f>
        <v>0.28755999211758443</v>
      </c>
    </row>
    <row r="357" spans="1:12" s="292" customFormat="1" ht="15.2" hidden="1" customHeight="1" x14ac:dyDescent="0.2">
      <c r="A357" s="226">
        <v>24</v>
      </c>
      <c r="B357" s="227">
        <f>'t8'!C26</f>
        <v>65.141300000000001</v>
      </c>
      <c r="C357" s="227">
        <f>'t8'!D26</f>
        <v>64.307509999999994</v>
      </c>
      <c r="D357" s="227">
        <f>'t8'!E26</f>
        <v>64.934569999999994</v>
      </c>
      <c r="E357" s="227">
        <f>'t8'!F26</f>
        <v>64.317599999999999</v>
      </c>
      <c r="F357" s="227">
        <f>'t8'!G26</f>
        <v>64.748350000000002</v>
      </c>
      <c r="G357" s="227">
        <f>'t8'!H26</f>
        <v>64.261960000000002</v>
      </c>
      <c r="H357" s="227">
        <f>'t8'!I26</f>
        <v>64.534639999999996</v>
      </c>
      <c r="I357" s="227">
        <f>'t8'!J26</f>
        <v>64.687060000000002</v>
      </c>
      <c r="J357" s="227">
        <f>'t8'!K26</f>
        <v>64.437070000000006</v>
      </c>
      <c r="K357" s="227">
        <f>'t8'!L26</f>
        <v>64.596673333333328</v>
      </c>
      <c r="L357" s="227">
        <f>'t8'!M26</f>
        <v>0.28767644958258998</v>
      </c>
    </row>
    <row r="358" spans="1:12" s="292" customFormat="1" ht="15.2" hidden="1" customHeight="1" x14ac:dyDescent="0.2">
      <c r="A358" s="226">
        <v>25</v>
      </c>
      <c r="B358" s="227">
        <f>'t8'!C27</f>
        <v>65.133210000000005</v>
      </c>
      <c r="C358" s="227">
        <f>'t8'!D27</f>
        <v>64.289289999999994</v>
      </c>
      <c r="D358" s="227">
        <f>'t8'!E27</f>
        <v>64.941299999999998</v>
      </c>
      <c r="E358" s="227">
        <f>'t8'!F27</f>
        <v>64.317840000000004</v>
      </c>
      <c r="F358" s="227">
        <f>'t8'!G27</f>
        <v>64.733429999999998</v>
      </c>
      <c r="G358" s="227">
        <f>'t8'!H27</f>
        <v>64.251099999999994</v>
      </c>
      <c r="H358" s="227">
        <f>'t8'!I27</f>
        <v>64.52852</v>
      </c>
      <c r="I358" s="227">
        <f>'t8'!J27</f>
        <v>64.676869999999994</v>
      </c>
      <c r="J358" s="227">
        <f>'t8'!K27</f>
        <v>64.428100000000001</v>
      </c>
      <c r="K358" s="227">
        <f>'t8'!L27</f>
        <v>64.588851111111111</v>
      </c>
      <c r="L358" s="227">
        <f>'t8'!M27</f>
        <v>0.28981558436911364</v>
      </c>
    </row>
    <row r="359" spans="1:12" s="292" customFormat="1" ht="15.2" hidden="1" customHeight="1" x14ac:dyDescent="0.2">
      <c r="A359" s="226">
        <v>26</v>
      </c>
      <c r="B359" s="227">
        <f>'t8'!C28</f>
        <v>65.126499999999993</v>
      </c>
      <c r="C359" s="227">
        <f>'t8'!D28</f>
        <v>64.26849</v>
      </c>
      <c r="D359" s="227">
        <f>'t8'!E28</f>
        <v>64.927400000000006</v>
      </c>
      <c r="E359" s="227">
        <f>'t8'!F28</f>
        <v>64.30068</v>
      </c>
      <c r="F359" s="227">
        <f>'t8'!G28</f>
        <v>64.709919999999997</v>
      </c>
      <c r="G359" s="227">
        <f>'t8'!H28</f>
        <v>64.230220000000003</v>
      </c>
      <c r="H359" s="227">
        <f>'t8'!I28</f>
        <v>64.512100000000004</v>
      </c>
      <c r="I359" s="227">
        <f>'t8'!J28</f>
        <v>64.660780000000003</v>
      </c>
      <c r="J359" s="227">
        <f>'t8'!K28</f>
        <v>64.418059999999997</v>
      </c>
      <c r="K359" s="227">
        <f>'t8'!L28</f>
        <v>64.572683333333345</v>
      </c>
      <c r="L359" s="227">
        <f>'t8'!M28</f>
        <v>0.29259585073385108</v>
      </c>
    </row>
    <row r="360" spans="1:12" s="292" customFormat="1" ht="15.2" hidden="1" customHeight="1" x14ac:dyDescent="0.2">
      <c r="A360" s="226">
        <v>27</v>
      </c>
      <c r="B360" s="227">
        <f>'t8'!C29</f>
        <v>65.108819999999994</v>
      </c>
      <c r="C360" s="227">
        <f>'t8'!D29</f>
        <v>64.260339999999999</v>
      </c>
      <c r="D360" s="227">
        <f>'t8'!E29</f>
        <v>64.916719999999998</v>
      </c>
      <c r="E360" s="227">
        <f>'t8'!F29</f>
        <v>64.286559999999994</v>
      </c>
      <c r="F360" s="227">
        <f>'t8'!G29</f>
        <v>64.693449999999999</v>
      </c>
      <c r="G360" s="227">
        <f>'t8'!H29</f>
        <v>64.21687</v>
      </c>
      <c r="H360" s="227">
        <f>'t8'!I29</f>
        <v>64.497119999999995</v>
      </c>
      <c r="I360" s="227">
        <f>'t8'!J29</f>
        <v>64.650999999999996</v>
      </c>
      <c r="J360" s="227">
        <f>'t8'!K29</f>
        <v>64.410510000000002</v>
      </c>
      <c r="K360" s="227">
        <f>'t8'!L29</f>
        <v>64.560154444444436</v>
      </c>
      <c r="L360" s="227">
        <f>'t8'!M29</f>
        <v>0.29119431069347201</v>
      </c>
    </row>
    <row r="361" spans="1:12" s="292" customFormat="1" ht="15.2" hidden="1" customHeight="1" x14ac:dyDescent="0.2">
      <c r="A361" s="226">
        <v>28</v>
      </c>
      <c r="B361" s="227">
        <f>'t8'!C30</f>
        <v>65.104489999999998</v>
      </c>
      <c r="C361" s="227">
        <f>'t8'!D30</f>
        <v>64.268969999999996</v>
      </c>
      <c r="D361" s="227">
        <f>'t8'!E30</f>
        <v>64.911389999999997</v>
      </c>
      <c r="E361" s="227">
        <f>'t8'!F30</f>
        <v>64.283230000000003</v>
      </c>
      <c r="F361" s="227">
        <f>'t8'!G30</f>
        <v>64.695160000000001</v>
      </c>
      <c r="G361" s="227">
        <f>'t8'!H30</f>
        <v>64.217439999999996</v>
      </c>
      <c r="H361" s="227">
        <f>'t8'!I30</f>
        <v>64.504819999999995</v>
      </c>
      <c r="I361" s="227">
        <f>'t8'!J30</f>
        <v>64.653649999999999</v>
      </c>
      <c r="J361" s="227">
        <f>'t8'!K30</f>
        <v>64.413899999999998</v>
      </c>
      <c r="K361" s="227">
        <f>'t8'!L30</f>
        <v>64.561449999999994</v>
      </c>
      <c r="L361" s="227">
        <f>'t8'!M30</f>
        <v>0.28867540548743226</v>
      </c>
    </row>
    <row r="362" spans="1:12" s="292" customFormat="1" ht="15.2" hidden="1" customHeight="1" x14ac:dyDescent="0.2">
      <c r="A362" s="226">
        <v>29</v>
      </c>
      <c r="B362" s="227">
        <f>'t8'!C31</f>
        <v>65.094989999999996</v>
      </c>
      <c r="C362" s="227">
        <f>'t8'!D31</f>
        <v>64.26567</v>
      </c>
      <c r="D362" s="227">
        <f>'t8'!E31</f>
        <v>64.909589999999994</v>
      </c>
      <c r="E362" s="227">
        <f>'t8'!F31</f>
        <v>64.287949999999995</v>
      </c>
      <c r="F362" s="227">
        <f>'t8'!G31</f>
        <v>64.703689999999995</v>
      </c>
      <c r="G362" s="227">
        <f>'t8'!H31</f>
        <v>64.223590000000002</v>
      </c>
      <c r="H362" s="227">
        <f>'t8'!I31</f>
        <v>64.503619999999998</v>
      </c>
      <c r="I362" s="227">
        <f>'t8'!J31</f>
        <v>64.656019999999998</v>
      </c>
      <c r="J362" s="227">
        <f>'t8'!K31</f>
        <v>64.416960000000003</v>
      </c>
      <c r="K362" s="227">
        <f>'t8'!L31</f>
        <v>64.562453333333323</v>
      </c>
      <c r="L362" s="227">
        <f>'t8'!M31</f>
        <v>0.28590832652753706</v>
      </c>
    </row>
    <row r="363" spans="1:12" s="292" customFormat="1" ht="15.2" hidden="1" customHeight="1" x14ac:dyDescent="0.2">
      <c r="A363" s="226">
        <v>30</v>
      </c>
      <c r="B363" s="227">
        <f>'t8'!C32</f>
        <v>65.103179999999995</v>
      </c>
      <c r="C363" s="227">
        <f>'t8'!D32</f>
        <v>64.278149999999997</v>
      </c>
      <c r="D363" s="227">
        <f>'t8'!E32</f>
        <v>64.904489999999996</v>
      </c>
      <c r="E363" s="227">
        <f>'t8'!F32</f>
        <v>64.287840000000003</v>
      </c>
      <c r="F363" s="227">
        <f>'t8'!G32</f>
        <v>64.704599999999999</v>
      </c>
      <c r="G363" s="227">
        <f>'t8'!H32</f>
        <v>64.225980000000007</v>
      </c>
      <c r="H363" s="227">
        <f>'t8'!I32</f>
        <v>64.508499999999998</v>
      </c>
      <c r="I363" s="227">
        <f>'t8'!J32</f>
        <v>64.652630000000002</v>
      </c>
      <c r="J363" s="227">
        <f>'t8'!K32</f>
        <v>64.420439999999999</v>
      </c>
      <c r="K363" s="227">
        <f>'t8'!L32</f>
        <v>64.565089999999998</v>
      </c>
      <c r="L363" s="227">
        <f>'t8'!M32</f>
        <v>0.28483587254573028</v>
      </c>
    </row>
    <row r="364" spans="1:12" s="292" customFormat="1" ht="15.2" hidden="1" customHeight="1" x14ac:dyDescent="0.35">
      <c r="A364" s="228" t="s">
        <v>40</v>
      </c>
      <c r="B364" s="227">
        <f>'t8'!C33</f>
        <v>65.125773333333342</v>
      </c>
      <c r="C364" s="227">
        <f>'t8'!D33</f>
        <v>64.272346999999996</v>
      </c>
      <c r="D364" s="227">
        <f>'t8'!E33</f>
        <v>64.916943333333322</v>
      </c>
      <c r="E364" s="227">
        <f>'t8'!F33</f>
        <v>64.290717000000001</v>
      </c>
      <c r="F364" s="227">
        <f>'t8'!G33</f>
        <v>64.705246666666667</v>
      </c>
      <c r="G364" s="227">
        <f>'t8'!H33</f>
        <v>64.223990333333319</v>
      </c>
      <c r="H364" s="227">
        <f>'t8'!I33</f>
        <v>64.509302333333338</v>
      </c>
      <c r="I364" s="227">
        <f>'t8'!J33</f>
        <v>64.657822666666661</v>
      </c>
      <c r="J364" s="227">
        <f>'t8'!K33</f>
        <v>64.414306333333329</v>
      </c>
      <c r="K364" s="137"/>
      <c r="L364" s="137"/>
    </row>
    <row r="365" spans="1:12" s="292" customFormat="1" ht="15.2" hidden="1" customHeight="1" x14ac:dyDescent="0.35">
      <c r="A365" s="228" t="s">
        <v>39</v>
      </c>
      <c r="B365" s="227">
        <f>'t8'!C34</f>
        <v>1.5860574040333721E-2</v>
      </c>
      <c r="C365" s="227">
        <f>'t8'!D34</f>
        <v>1.5170173180729326E-2</v>
      </c>
      <c r="D365" s="227">
        <f>'t8'!E34</f>
        <v>1.1131499250126643E-2</v>
      </c>
      <c r="E365" s="227">
        <f>'t8'!F34</f>
        <v>1.4553187543169911E-2</v>
      </c>
      <c r="F365" s="227">
        <f>'t8'!G34</f>
        <v>1.6305740366168459E-2</v>
      </c>
      <c r="G365" s="227">
        <f>'t8'!H34</f>
        <v>1.5348389379852499E-2</v>
      </c>
      <c r="H365" s="227">
        <f>'t8'!I34</f>
        <v>1.3215685045514E-2</v>
      </c>
      <c r="I365" s="227">
        <f>'t8'!J34</f>
        <v>1.1730107681612444E-2</v>
      </c>
      <c r="J365" s="227">
        <f>'t8'!K34</f>
        <v>1.0379625068160071E-2</v>
      </c>
      <c r="K365" s="294"/>
      <c r="L365" s="294"/>
    </row>
    <row r="366" spans="1:12" s="292" customFormat="1" ht="15.2" hidden="1" customHeight="1" x14ac:dyDescent="0.35">
      <c r="A366" s="228" t="s">
        <v>52</v>
      </c>
      <c r="B366" s="227">
        <f>'t8'!C35</f>
        <v>2.9456666666661135E-2</v>
      </c>
      <c r="C366" s="227">
        <f>'t8'!D35</f>
        <v>3.5162999999997169E-2</v>
      </c>
      <c r="D366" s="227">
        <f>'t8'!E35</f>
        <v>2.4356666666676574E-2</v>
      </c>
      <c r="E366" s="227">
        <f>'t8'!F35</f>
        <v>2.7123000000003117E-2</v>
      </c>
      <c r="F366" s="227">
        <f>'t8'!G35</f>
        <v>4.3103333333334604E-2</v>
      </c>
      <c r="G366" s="227">
        <f>'t8'!H35</f>
        <v>3.7969666666683111E-2</v>
      </c>
      <c r="H366" s="227">
        <f>'t8'!I35</f>
        <v>2.5337666666658265E-2</v>
      </c>
      <c r="I366" s="227">
        <f>'t8'!J35</f>
        <v>2.9237333333341553E-2</v>
      </c>
      <c r="J366" s="227">
        <f>'t8'!K35</f>
        <v>2.2763666666676841E-2</v>
      </c>
      <c r="K366" s="416"/>
      <c r="L366" s="416"/>
    </row>
    <row r="367" spans="1:12" s="292" customFormat="1" ht="15.2" hidden="1" customHeight="1" x14ac:dyDescent="0.35">
      <c r="A367" s="228" t="s">
        <v>51</v>
      </c>
      <c r="B367" s="227">
        <f>'t8'!C36</f>
        <v>3.1353333333342448E-2</v>
      </c>
      <c r="C367" s="227">
        <f>'t8'!D36</f>
        <v>2.568699999999069E-2</v>
      </c>
      <c r="D367" s="227">
        <f>'t8'!E36</f>
        <v>2.2153333333321257E-2</v>
      </c>
      <c r="E367" s="227">
        <f>'t8'!F36</f>
        <v>3.3747000000005301E-2</v>
      </c>
      <c r="F367" s="227">
        <f>'t8'!G36</f>
        <v>2.9876666666666551E-2</v>
      </c>
      <c r="G367" s="227">
        <f>'t8'!H36</f>
        <v>2.4490333333318404E-2</v>
      </c>
      <c r="H367" s="227">
        <f>'t8'!I36</f>
        <v>2.8972333333342704E-2</v>
      </c>
      <c r="I367" s="227">
        <f>'t8'!J36</f>
        <v>2.2282666666654904E-2</v>
      </c>
      <c r="J367" s="227">
        <f>'t8'!K36</f>
        <v>1.6936333333333664E-2</v>
      </c>
      <c r="K367" s="416"/>
      <c r="L367" s="416"/>
    </row>
    <row r="368" spans="1:12" s="292" customFormat="1" ht="15.2" hidden="1" customHeight="1" x14ac:dyDescent="0.35">
      <c r="A368" s="229" t="s">
        <v>44</v>
      </c>
      <c r="B368" s="227">
        <f>'t8'!C37</f>
        <v>3.0405000000001792E-2</v>
      </c>
      <c r="C368" s="227">
        <f>'t8'!D37</f>
        <v>3.0424999999993929E-2</v>
      </c>
      <c r="D368" s="227">
        <f>'t8'!E37</f>
        <v>2.3254999999998915E-2</v>
      </c>
      <c r="E368" s="227">
        <f>'t8'!F37</f>
        <v>3.0435000000004209E-2</v>
      </c>
      <c r="F368" s="227">
        <f>'t8'!G37</f>
        <v>3.6490000000000578E-2</v>
      </c>
      <c r="G368" s="227">
        <f>'t8'!H37</f>
        <v>3.1230000000000757E-2</v>
      </c>
      <c r="H368" s="227">
        <f>'t8'!I37</f>
        <v>2.7155000000000484E-2</v>
      </c>
      <c r="I368" s="227">
        <f>'t8'!J37</f>
        <v>2.5759999999998229E-2</v>
      </c>
      <c r="J368" s="227">
        <f>'t8'!K37</f>
        <v>1.9850000000005252E-2</v>
      </c>
      <c r="K368" s="416"/>
      <c r="L368" s="416"/>
    </row>
    <row r="369" spans="1:12" s="292" customFormat="1" ht="15.2" hidden="1" customHeight="1" x14ac:dyDescent="0.35">
      <c r="A369" s="230" t="s">
        <v>43</v>
      </c>
      <c r="B369" s="227">
        <f>'t8'!C38</f>
        <v>0.42052666666667449</v>
      </c>
      <c r="C369" s="227">
        <f>'t8'!D38</f>
        <v>-0.43289966666667112</v>
      </c>
      <c r="D369" s="227">
        <f>'t8'!E38</f>
        <v>0.21169666666665421</v>
      </c>
      <c r="E369" s="227">
        <f>'t8'!F38</f>
        <v>-0.41452966666666669</v>
      </c>
      <c r="F369" s="227">
        <f>'t8'!G38</f>
        <v>0</v>
      </c>
      <c r="G369" s="227">
        <f>'t8'!H38</f>
        <v>-0.48125633333334861</v>
      </c>
      <c r="H369" s="227">
        <f>'t8'!I38</f>
        <v>-0.19594433333332972</v>
      </c>
      <c r="I369" s="227">
        <f>'t8'!J38</f>
        <v>-4.7424000000006572E-2</v>
      </c>
      <c r="J369" s="227">
        <f>'t8'!K38</f>
        <v>-0.29094033333333869</v>
      </c>
      <c r="K369" s="139"/>
      <c r="L369" s="139"/>
    </row>
    <row r="370" spans="1:12" s="292" customFormat="1" ht="15.2" hidden="1" customHeight="1" x14ac:dyDescent="0.35">
      <c r="A370" s="231" t="s">
        <v>95</v>
      </c>
      <c r="B370" s="232">
        <f>'t8'!C40</f>
        <v>64.568494333333305</v>
      </c>
      <c r="C370" s="139"/>
      <c r="D370" s="139"/>
      <c r="E370" s="139"/>
      <c r="F370" s="139"/>
      <c r="G370" s="139"/>
      <c r="H370" s="139"/>
      <c r="I370" s="139"/>
      <c r="J370" s="139"/>
      <c r="K370" s="139"/>
      <c r="L370" s="139"/>
    </row>
    <row r="371" spans="1:12" s="292" customFormat="1" ht="15.2" hidden="1" customHeight="1" x14ac:dyDescent="0.35">
      <c r="A371" s="233" t="s">
        <v>47</v>
      </c>
      <c r="B371" s="232">
        <f>'t8'!C41</f>
        <v>-0.43150566666669476</v>
      </c>
      <c r="C371" s="139"/>
      <c r="D371" s="139"/>
      <c r="E371" s="139"/>
      <c r="F371" s="139"/>
      <c r="G371" s="139"/>
      <c r="H371" s="139"/>
      <c r="I371" s="139"/>
      <c r="J371" s="139"/>
      <c r="K371" s="139"/>
      <c r="L371" s="139"/>
    </row>
    <row r="372" spans="1:12" s="292" customFormat="1" ht="15.2" hidden="1" customHeight="1" x14ac:dyDescent="0.35">
      <c r="A372" s="298" t="s">
        <v>259</v>
      </c>
      <c r="B372" s="234">
        <f>'t8'!C46</f>
        <v>0.29273049864533757</v>
      </c>
      <c r="C372" s="139"/>
      <c r="D372" s="139"/>
      <c r="E372" s="139"/>
      <c r="F372" s="139"/>
      <c r="G372" s="139"/>
      <c r="H372" s="139"/>
      <c r="I372" s="139"/>
      <c r="J372" s="139"/>
      <c r="K372" s="139"/>
      <c r="L372" s="139"/>
    </row>
    <row r="373" spans="1:12" s="292" customFormat="1" ht="15.2" hidden="1" customHeight="1" x14ac:dyDescent="0.35">
      <c r="A373" s="233" t="s">
        <v>48</v>
      </c>
      <c r="B373" s="232">
        <f>'t8'!C42</f>
        <v>0.90178300000002309</v>
      </c>
      <c r="C373" s="139"/>
      <c r="D373" s="139"/>
      <c r="E373" s="139"/>
      <c r="F373" s="139"/>
      <c r="G373" s="139"/>
      <c r="H373" s="139"/>
      <c r="I373" s="139"/>
      <c r="J373" s="139"/>
      <c r="K373" s="139"/>
      <c r="L373" s="139"/>
    </row>
    <row r="374" spans="1:12" s="292" customFormat="1" ht="15.2" hidden="1" customHeight="1" x14ac:dyDescent="0.35">
      <c r="A374" s="241" t="s">
        <v>49</v>
      </c>
      <c r="B374" s="240">
        <f>'t8'!C43</f>
        <v>0.42052666666667449</v>
      </c>
      <c r="C374" s="140"/>
      <c r="D374" s="139"/>
      <c r="E374" s="139"/>
      <c r="F374" s="139"/>
      <c r="G374" s="139"/>
      <c r="H374" s="139"/>
      <c r="I374" s="139"/>
      <c r="J374" s="139"/>
      <c r="K374" s="139"/>
      <c r="L374" s="139"/>
    </row>
    <row r="375" spans="1:12" s="292" customFormat="1" hidden="1" x14ac:dyDescent="0.2">
      <c r="A375" s="242"/>
      <c r="B375" s="240">
        <f>'t8'!C44</f>
        <v>-0.48125633333334861</v>
      </c>
      <c r="C375" s="139"/>
      <c r="D375" s="139"/>
      <c r="E375" s="139"/>
      <c r="F375" s="139"/>
      <c r="G375" s="139"/>
      <c r="H375" s="139"/>
      <c r="I375" s="139"/>
      <c r="J375" s="139"/>
      <c r="K375" s="139"/>
      <c r="L375" s="139"/>
    </row>
    <row r="376" spans="1:12" s="292" customFormat="1" ht="18.75" hidden="1" x14ac:dyDescent="0.35">
      <c r="A376" s="242" t="s">
        <v>50</v>
      </c>
      <c r="B376" s="232">
        <f>'t8'!C45</f>
        <v>2.8333888888889349E-2</v>
      </c>
    </row>
    <row r="377" spans="1:12" s="292" customFormat="1" hidden="1" x14ac:dyDescent="0.2">
      <c r="A377" s="157"/>
    </row>
  </sheetData>
  <mergeCells count="48">
    <mergeCell ref="K178:K180"/>
    <mergeCell ref="L178:L180"/>
    <mergeCell ref="A95:L95"/>
    <mergeCell ref="A330:L330"/>
    <mergeCell ref="A331:L331"/>
    <mergeCell ref="B144:J144"/>
    <mergeCell ref="K144:L144"/>
    <mergeCell ref="A143:L143"/>
    <mergeCell ref="L225:L227"/>
    <mergeCell ref="K225:K227"/>
    <mergeCell ref="L272:L274"/>
    <mergeCell ref="K272:K274"/>
    <mergeCell ref="A236:L236"/>
    <mergeCell ref="A237:L237"/>
    <mergeCell ref="B238:J238"/>
    <mergeCell ref="K238:L238"/>
    <mergeCell ref="A1:L1"/>
    <mergeCell ref="K3:L3"/>
    <mergeCell ref="K37:K39"/>
    <mergeCell ref="L37:L39"/>
    <mergeCell ref="A2:L2"/>
    <mergeCell ref="B3:J3"/>
    <mergeCell ref="A48:L48"/>
    <mergeCell ref="A189:L189"/>
    <mergeCell ref="A190:L190"/>
    <mergeCell ref="B191:J191"/>
    <mergeCell ref="K191:L191"/>
    <mergeCell ref="A49:L49"/>
    <mergeCell ref="B50:J50"/>
    <mergeCell ref="K50:L50"/>
    <mergeCell ref="K84:K86"/>
    <mergeCell ref="L84:L86"/>
    <mergeCell ref="A96:L96"/>
    <mergeCell ref="B97:J97"/>
    <mergeCell ref="K97:L97"/>
    <mergeCell ref="K131:K133"/>
    <mergeCell ref="L131:L133"/>
    <mergeCell ref="A142:L142"/>
    <mergeCell ref="K366:K368"/>
    <mergeCell ref="L366:L368"/>
    <mergeCell ref="A283:L283"/>
    <mergeCell ref="A284:L284"/>
    <mergeCell ref="B285:J285"/>
    <mergeCell ref="K285:L285"/>
    <mergeCell ref="B332:J332"/>
    <mergeCell ref="K332:L332"/>
    <mergeCell ref="L319:L321"/>
    <mergeCell ref="K319:K321"/>
  </mergeCells>
  <pageMargins left="0.70866141732283461" right="0.70866141732283461" top="0.74803149606299213" bottom="0.74803149606299213" header="0.31496062992125984" footer="0.31496062992125984"/>
  <pageSetup paperSize="9" orientation="portrait" r:id="rId1"/>
  <headerFooter scaleWithDoc="0">
    <oddHeader>&amp;C&amp;14&amp;P</oddHeader>
    <oddFooter>&amp;C&amp;"Arial,&amp;ïîëóæèðíûé"&amp;14Протокол первичной аттестации от 18.05.2020г. № 1994.1</oddFooter>
    <evenHeader>&amp;C&amp;P</evenHeader>
    <firstHeader>&amp;C&amp;"Arial,обычный"&amp;14&amp;P</firstHeader>
    <firstFooter>&amp;C&amp;"Arial,&amp;полужирный"&amp;14Протокол первичной аттестации от 18.05.2020г. № 1994.1</first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/>
  <dimension ref="A1:G377"/>
  <sheetViews>
    <sheetView view="pageLayout" topLeftCell="A13" zoomScale="70" zoomScaleNormal="85" zoomScalePageLayoutView="70" workbookViewId="0">
      <selection activeCell="D38" sqref="D38"/>
    </sheetView>
  </sheetViews>
  <sheetFormatPr defaultColWidth="9" defaultRowHeight="14.25" x14ac:dyDescent="0.2"/>
  <cols>
    <col min="1" max="1" width="7.25" customWidth="1"/>
    <col min="2" max="2" width="15.25" customWidth="1"/>
    <col min="3" max="3" width="11.75" style="90" customWidth="1"/>
    <col min="4" max="4" width="13.375" customWidth="1"/>
    <col min="5" max="5" width="8.375" style="65" customWidth="1"/>
    <col min="6" max="6" width="12.75" style="333" customWidth="1"/>
    <col min="7" max="7" width="11.625" style="333" customWidth="1"/>
    <col min="13" max="13" width="3.875" customWidth="1"/>
    <col min="15" max="15" width="6.625" customWidth="1"/>
  </cols>
  <sheetData>
    <row r="1" spans="1:7" x14ac:dyDescent="0.2">
      <c r="A1" s="426" t="str">
        <f>"Таблица Б.1 Расчёт неопределенностей по результам измерения при температуре "&amp;""&amp; 't1'!$C39&amp; " °С"</f>
        <v>Таблица Б.1 Расчёт неопределенностей по результам измерения при температуре -75 °С</v>
      </c>
      <c r="B1" s="426"/>
      <c r="C1" s="426"/>
      <c r="D1" s="426"/>
      <c r="E1" s="426"/>
      <c r="F1" s="426"/>
      <c r="G1" s="426"/>
    </row>
    <row r="2" spans="1:7" ht="38.25" x14ac:dyDescent="0.2">
      <c r="A2" s="305"/>
      <c r="B2" s="306" t="s">
        <v>7</v>
      </c>
      <c r="C2" s="307" t="s">
        <v>84</v>
      </c>
      <c r="D2" s="306" t="s">
        <v>9</v>
      </c>
      <c r="E2" s="308" t="s">
        <v>10</v>
      </c>
      <c r="F2" s="334" t="s">
        <v>88</v>
      </c>
      <c r="G2" s="334" t="s">
        <v>87</v>
      </c>
    </row>
    <row r="3" spans="1:7" ht="32.25" customHeight="1" x14ac:dyDescent="0.2">
      <c r="A3" s="422" t="s">
        <v>32</v>
      </c>
      <c r="B3" s="77" t="str">
        <f>'t1'!S4</f>
        <v>Поверка</v>
      </c>
      <c r="C3" s="77">
        <f>'t1'!T4</f>
        <v>0.1</v>
      </c>
      <c r="D3" s="77" t="str">
        <f>'t1'!U4</f>
        <v>Нормальное</v>
      </c>
      <c r="E3" s="91">
        <f>'t1'!V4</f>
        <v>2</v>
      </c>
      <c r="F3" s="335">
        <f>'t1'!W4</f>
        <v>0.05</v>
      </c>
      <c r="G3" s="335">
        <f>'t1'!X4</f>
        <v>2.5000000000000005E-3</v>
      </c>
    </row>
    <row r="4" spans="1:7" x14ac:dyDescent="0.2">
      <c r="A4" s="423"/>
      <c r="B4" s="77" t="str">
        <f>'t1'!S5</f>
        <v>Повторяемость*</v>
      </c>
      <c r="C4" s="77">
        <f>'t1'!T5</f>
        <v>0.01</v>
      </c>
      <c r="D4" s="77" t="str">
        <f>'t1'!U5</f>
        <v>Нормальное</v>
      </c>
      <c r="E4" s="91">
        <f>'t1'!V5</f>
        <v>1</v>
      </c>
      <c r="F4" s="335">
        <f>'t1'!W5</f>
        <v>0.01</v>
      </c>
      <c r="G4" s="335">
        <f>'t1'!X5</f>
        <v>1E-4</v>
      </c>
    </row>
    <row r="5" spans="1:7" x14ac:dyDescent="0.2">
      <c r="A5" s="423"/>
      <c r="B5" s="77" t="str">
        <f>'t1'!S6</f>
        <v>Гистерезис</v>
      </c>
      <c r="C5" s="77">
        <f>'t1'!T6</f>
        <v>0.01</v>
      </c>
      <c r="D5" s="77" t="str">
        <f>'t1'!U6</f>
        <v>Прямоугольное</v>
      </c>
      <c r="E5" s="91">
        <f>'t1'!V6</f>
        <v>1.73</v>
      </c>
      <c r="F5" s="335">
        <f>'t1'!W6</f>
        <v>5.7803468208092491E-3</v>
      </c>
      <c r="G5" s="335">
        <f>'t1'!X6</f>
        <v>3.3412409368839592E-5</v>
      </c>
    </row>
    <row r="6" spans="1:7" ht="25.5" x14ac:dyDescent="0.2">
      <c r="A6" s="423"/>
      <c r="B6" s="77" t="str">
        <f>'t1'!S7</f>
        <v>Влияние температуры</v>
      </c>
      <c r="C6" s="77">
        <f>'t1'!T7</f>
        <v>0.01</v>
      </c>
      <c r="D6" s="77" t="str">
        <f>'t1'!U7</f>
        <v>Прямоугольное</v>
      </c>
      <c r="E6" s="91">
        <f>'t1'!V7</f>
        <v>1.73</v>
      </c>
      <c r="F6" s="335">
        <f>'t1'!W7</f>
        <v>5.7803468208092491E-3</v>
      </c>
      <c r="G6" s="335">
        <f>'t1'!X7</f>
        <v>3.3412409368839592E-5</v>
      </c>
    </row>
    <row r="7" spans="1:7" x14ac:dyDescent="0.2">
      <c r="A7" s="423"/>
      <c r="B7" s="77" t="str">
        <f>'t1'!S8</f>
        <v>Дрейф*</v>
      </c>
      <c r="C7" s="77">
        <f>'t1'!T8</f>
        <v>0.1</v>
      </c>
      <c r="D7" s="77" t="str">
        <f>'t1'!U8</f>
        <v>Прямоугольное</v>
      </c>
      <c r="E7" s="91">
        <f>'t1'!V8</f>
        <v>1.73</v>
      </c>
      <c r="F7" s="335">
        <f>'t1'!W8</f>
        <v>5.7803468208092491E-2</v>
      </c>
      <c r="G7" s="335">
        <f>'t1'!X8</f>
        <v>3.3412409368839594E-3</v>
      </c>
    </row>
    <row r="8" spans="1:7" x14ac:dyDescent="0.2">
      <c r="A8" s="423"/>
      <c r="B8" s="77" t="str">
        <f>'t1'!S9</f>
        <v>Линейность</v>
      </c>
      <c r="C8" s="77">
        <f>'t1'!T9</f>
        <v>0.02</v>
      </c>
      <c r="D8" s="77" t="str">
        <f>'t1'!U9</f>
        <v>Прямоугольное</v>
      </c>
      <c r="E8" s="91">
        <f>'t1'!V9</f>
        <v>1.73</v>
      </c>
      <c r="F8" s="335">
        <f>'t1'!W9</f>
        <v>1.1560693641618498E-2</v>
      </c>
      <c r="G8" s="335">
        <f>'t1'!X9</f>
        <v>1.3364963747535837E-4</v>
      </c>
    </row>
    <row r="9" spans="1:7" ht="25.5" x14ac:dyDescent="0.2">
      <c r="A9" s="424"/>
      <c r="B9" s="77" t="str">
        <f>'t1'!S10</f>
        <v>Разрешающая способность</v>
      </c>
      <c r="C9" s="77">
        <f>'t1'!T10</f>
        <v>0.01</v>
      </c>
      <c r="D9" s="77" t="str">
        <f>'t1'!U10</f>
        <v>Прямоугольное</v>
      </c>
      <c r="E9" s="91">
        <f>'t1'!V10</f>
        <v>1.73</v>
      </c>
      <c r="F9" s="335">
        <f>'t1'!W10</f>
        <v>5.7803468208092491E-3</v>
      </c>
      <c r="G9" s="335">
        <f>'t1'!X10</f>
        <v>3.3412409368839592E-5</v>
      </c>
    </row>
    <row r="10" spans="1:7" x14ac:dyDescent="0.2">
      <c r="A10" s="427" t="s">
        <v>34</v>
      </c>
      <c r="B10" s="77" t="str">
        <f>'t1'!S11</f>
        <v>Градиент</v>
      </c>
      <c r="C10" s="77">
        <f>'t1'!T11</f>
        <v>0.29847398512276063</v>
      </c>
      <c r="D10" s="77" t="str">
        <f>'t1'!U11</f>
        <v>Нормальное</v>
      </c>
      <c r="E10" s="91">
        <f>'t1'!V11</f>
        <v>1</v>
      </c>
      <c r="F10" s="335">
        <f>'t1'!W11</f>
        <v>0.29847398512276063</v>
      </c>
      <c r="G10" s="335">
        <f>'t1'!X11</f>
        <v>8.9086719795061942E-2</v>
      </c>
    </row>
    <row r="11" spans="1:7" ht="25.5" x14ac:dyDescent="0.2">
      <c r="A11" s="428"/>
      <c r="B11" s="77" t="str">
        <f>'t1'!S12</f>
        <v>Флуктуации температуры</v>
      </c>
      <c r="C11" s="77">
        <f>'t1'!T12</f>
        <v>1.6305740366168459E-2</v>
      </c>
      <c r="D11" s="77" t="str">
        <f>'t1'!U12</f>
        <v>Нормальное</v>
      </c>
      <c r="E11" s="91">
        <f>'t1'!V12</f>
        <v>1</v>
      </c>
      <c r="F11" s="335">
        <f>'t1'!W12</f>
        <v>1.6305740366168459E-2</v>
      </c>
      <c r="G11" s="335">
        <f>'t1'!X12</f>
        <v>2.6587716888889552E-4</v>
      </c>
    </row>
    <row r="12" spans="1:7" x14ac:dyDescent="0.2">
      <c r="A12" s="429"/>
      <c r="B12" s="77" t="str">
        <f>'t1'!S13</f>
        <v>Общее среднее</v>
      </c>
      <c r="C12" s="77">
        <f>'t1'!T13</f>
        <v>8.3642631664474474E-4</v>
      </c>
      <c r="D12" s="77" t="str">
        <f>'t1'!U13</f>
        <v>Нормальное</v>
      </c>
      <c r="E12" s="91">
        <f>'t1'!V13</f>
        <v>1</v>
      </c>
      <c r="F12" s="335">
        <f>'t1'!W13</f>
        <v>8.3642631664474474E-4</v>
      </c>
      <c r="G12" s="335">
        <f>'t1'!X13</f>
        <v>6.9960898317589478E-7</v>
      </c>
    </row>
    <row r="13" spans="1:7" x14ac:dyDescent="0.2">
      <c r="A13" s="76"/>
      <c r="B13" s="76"/>
      <c r="C13" s="88"/>
      <c r="D13" s="76"/>
      <c r="E13" s="81"/>
      <c r="F13" s="336"/>
      <c r="G13" s="336"/>
    </row>
    <row r="14" spans="1:7" x14ac:dyDescent="0.2">
      <c r="A14" s="78" t="str">
        <f>"Cумма квадратов (σ²): "&amp;""&amp;'t1'!$S17</f>
        <v>Cумма квадратов (σ²): 0,09552842</v>
      </c>
      <c r="B14" s="76"/>
      <c r="C14" s="88"/>
      <c r="D14" s="76"/>
      <c r="E14" s="81"/>
      <c r="F14" s="336"/>
      <c r="G14" s="336"/>
    </row>
    <row r="15" spans="1:7" x14ac:dyDescent="0.2">
      <c r="A15" s="79" t="str">
        <f>"Общая среднеквадратичная неопределенность (σ): ±"&amp;""&amp;'t1'!$V17&amp;" °C"</f>
        <v>Общая среднеквадратичная неопределенность (σ): ±0,309 °C</v>
      </c>
      <c r="B15" s="76"/>
      <c r="C15" s="88"/>
      <c r="D15" s="80"/>
      <c r="E15" s="81"/>
      <c r="F15" s="336"/>
      <c r="G15" s="336"/>
    </row>
    <row r="16" spans="1:7" x14ac:dyDescent="0.2">
      <c r="A16" s="82" t="str">
        <f>"Расширенная неопределенность при 95 % доверительной вероятности (2σ): ±"&amp;""&amp;'t1'!$X17&amp;" °C"</f>
        <v>Расширенная неопределенность при 95 % доверительной вероятности (2σ): ±0,618 °C</v>
      </c>
      <c r="B16" s="76"/>
      <c r="C16" s="88"/>
      <c r="D16" s="76"/>
      <c r="E16" s="81"/>
      <c r="F16" s="336"/>
      <c r="G16" s="336"/>
    </row>
    <row r="17" spans="1:7" x14ac:dyDescent="0.2">
      <c r="A17" s="82"/>
      <c r="B17" s="76"/>
      <c r="C17" s="88"/>
      <c r="D17" s="76"/>
      <c r="E17" s="81"/>
      <c r="F17" s="336"/>
      <c r="G17" s="336"/>
    </row>
    <row r="18" spans="1:7" x14ac:dyDescent="0.2">
      <c r="A18" s="426" t="str">
        <f>"Таблица Б.2 Расчёт неопределенностей температур в каждой точке установки датчиков при "&amp;'t1'!$C39&amp;" °С"</f>
        <v>Таблица Б.2 Расчёт неопределенностей температур в каждой точке установки датчиков при -75 °С</v>
      </c>
      <c r="B18" s="426"/>
      <c r="C18" s="426"/>
      <c r="D18" s="426"/>
      <c r="E18" s="426"/>
      <c r="F18" s="426"/>
      <c r="G18" s="426"/>
    </row>
    <row r="19" spans="1:7" ht="38.25" x14ac:dyDescent="0.2">
      <c r="A19" s="305"/>
      <c r="B19" s="306" t="s">
        <v>7</v>
      </c>
      <c r="C19" s="307" t="s">
        <v>84</v>
      </c>
      <c r="D19" s="306" t="s">
        <v>9</v>
      </c>
      <c r="E19" s="308" t="s">
        <v>10</v>
      </c>
      <c r="F19" s="334" t="s">
        <v>88</v>
      </c>
      <c r="G19" s="334" t="s">
        <v>87</v>
      </c>
    </row>
    <row r="20" spans="1:7" x14ac:dyDescent="0.2">
      <c r="A20" s="422" t="s">
        <v>32</v>
      </c>
      <c r="B20" s="77" t="str">
        <f>'t1'!S22</f>
        <v>Поверка</v>
      </c>
      <c r="C20" s="77">
        <f>'t1'!T22</f>
        <v>0.1</v>
      </c>
      <c r="D20" s="77" t="str">
        <f>'t1'!U22</f>
        <v>Нормальное</v>
      </c>
      <c r="E20" s="91">
        <f>'t1'!V22</f>
        <v>2</v>
      </c>
      <c r="F20" s="335">
        <f>'t1'!W22</f>
        <v>0.05</v>
      </c>
      <c r="G20" s="335">
        <f>'t1'!X22</f>
        <v>2.5000000000000005E-3</v>
      </c>
    </row>
    <row r="21" spans="1:7" x14ac:dyDescent="0.2">
      <c r="A21" s="423"/>
      <c r="B21" s="77" t="str">
        <f>'t1'!S23</f>
        <v>Повторяемость*</v>
      </c>
      <c r="C21" s="77">
        <f>'t1'!T23</f>
        <v>0.01</v>
      </c>
      <c r="D21" s="77" t="str">
        <f>'t1'!U23</f>
        <v>Нормальное</v>
      </c>
      <c r="E21" s="91">
        <f>'t1'!V23</f>
        <v>1</v>
      </c>
      <c r="F21" s="335">
        <f>'t1'!W23</f>
        <v>0.01</v>
      </c>
      <c r="G21" s="335">
        <f>'t1'!X23</f>
        <v>1E-4</v>
      </c>
    </row>
    <row r="22" spans="1:7" x14ac:dyDescent="0.2">
      <c r="A22" s="423"/>
      <c r="B22" s="77" t="str">
        <f>'t1'!S24</f>
        <v>Гистерезис</v>
      </c>
      <c r="C22" s="77">
        <f>'t1'!T24</f>
        <v>0.01</v>
      </c>
      <c r="D22" s="77" t="str">
        <f>'t1'!U24</f>
        <v>Прямоугольное</v>
      </c>
      <c r="E22" s="91">
        <f>'t1'!V24</f>
        <v>1.73</v>
      </c>
      <c r="F22" s="335">
        <f>'t1'!W24</f>
        <v>5.7803468208092491E-3</v>
      </c>
      <c r="G22" s="335">
        <f>'t1'!X24</f>
        <v>3.3412409368839592E-5</v>
      </c>
    </row>
    <row r="23" spans="1:7" ht="25.5" x14ac:dyDescent="0.2">
      <c r="A23" s="423"/>
      <c r="B23" s="77" t="str">
        <f>'t1'!S25</f>
        <v>Влияние температуры</v>
      </c>
      <c r="C23" s="77">
        <f>'t1'!T25</f>
        <v>0.01</v>
      </c>
      <c r="D23" s="77" t="str">
        <f>'t1'!U25</f>
        <v>Прямоугольное</v>
      </c>
      <c r="E23" s="91">
        <f>'t1'!V25</f>
        <v>1.73</v>
      </c>
      <c r="F23" s="335">
        <f>'t1'!W25</f>
        <v>5.7803468208092491E-3</v>
      </c>
      <c r="G23" s="335">
        <f>'t1'!X25</f>
        <v>3.3412409368839592E-5</v>
      </c>
    </row>
    <row r="24" spans="1:7" x14ac:dyDescent="0.2">
      <c r="A24" s="423"/>
      <c r="B24" s="77" t="str">
        <f>'t1'!S26</f>
        <v>Дрейф*</v>
      </c>
      <c r="C24" s="77">
        <f>'t1'!T26</f>
        <v>0.1</v>
      </c>
      <c r="D24" s="77" t="str">
        <f>'t1'!U26</f>
        <v>Прямоугольное</v>
      </c>
      <c r="E24" s="91">
        <f>'t1'!V26</f>
        <v>1.73</v>
      </c>
      <c r="F24" s="335">
        <f>'t1'!W26</f>
        <v>5.7803468208092491E-2</v>
      </c>
      <c r="G24" s="335">
        <f>'t1'!X26</f>
        <v>3.3412409368839594E-3</v>
      </c>
    </row>
    <row r="25" spans="1:7" x14ac:dyDescent="0.2">
      <c r="A25" s="423"/>
      <c r="B25" s="77" t="str">
        <f>'t1'!S27</f>
        <v>Линейность</v>
      </c>
      <c r="C25" s="77">
        <f>'t1'!T27</f>
        <v>0.02</v>
      </c>
      <c r="D25" s="77" t="str">
        <f>'t1'!U27</f>
        <v>Прямоугольное</v>
      </c>
      <c r="E25" s="91">
        <f>'t1'!V27</f>
        <v>1.73</v>
      </c>
      <c r="F25" s="335">
        <f>'t1'!W27</f>
        <v>1.1560693641618498E-2</v>
      </c>
      <c r="G25" s="335">
        <f>'t1'!X27</f>
        <v>1.3364963747535837E-4</v>
      </c>
    </row>
    <row r="26" spans="1:7" ht="25.5" x14ac:dyDescent="0.2">
      <c r="A26" s="424"/>
      <c r="B26" s="77" t="str">
        <f>'t1'!S28</f>
        <v>Разрешающая способность</v>
      </c>
      <c r="C26" s="77">
        <f>'t1'!T28</f>
        <v>0.01</v>
      </c>
      <c r="D26" s="77" t="str">
        <f>'t1'!U28</f>
        <v>Прямоугольное</v>
      </c>
      <c r="E26" s="91">
        <f>'t1'!V28</f>
        <v>1.73</v>
      </c>
      <c r="F26" s="335">
        <f>'t1'!W28</f>
        <v>5.7803468208092491E-3</v>
      </c>
      <c r="G26" s="335">
        <f>'t1'!X28</f>
        <v>3.3412409368839592E-5</v>
      </c>
    </row>
    <row r="27" spans="1:7" ht="39" x14ac:dyDescent="0.2">
      <c r="A27" s="153" t="s">
        <v>34</v>
      </c>
      <c r="B27" s="77" t="str">
        <f>'t1'!S29</f>
        <v>Флуктуации температуры</v>
      </c>
      <c r="C27" s="77">
        <f>'t1'!T29</f>
        <v>1.6305740366168459E-2</v>
      </c>
      <c r="D27" s="77" t="str">
        <f>'t1'!U29</f>
        <v>Нормальное</v>
      </c>
      <c r="E27" s="91">
        <f>'t1'!V29</f>
        <v>1</v>
      </c>
      <c r="F27" s="335">
        <f>'t1'!W29</f>
        <v>1.6305740366168459E-2</v>
      </c>
      <c r="G27" s="335">
        <f>'t1'!X29</f>
        <v>2.6587716888889552E-4</v>
      </c>
    </row>
    <row r="28" spans="1:7" x14ac:dyDescent="0.2">
      <c r="A28" s="83"/>
      <c r="B28" s="83"/>
      <c r="C28" s="89"/>
      <c r="D28" s="83"/>
      <c r="E28" s="92"/>
      <c r="F28" s="337"/>
      <c r="G28" s="337"/>
    </row>
    <row r="29" spans="1:7" x14ac:dyDescent="0.2">
      <c r="A29" s="78" t="str">
        <f>"Cумма квадратов (σ²): "&amp;""&amp;'t1'!$S33</f>
        <v>Cумма квадратов (σ²): 0,006441</v>
      </c>
    </row>
    <row r="30" spans="1:7" x14ac:dyDescent="0.2">
      <c r="A30" s="79" t="str">
        <f>"Общая среднеквадратичная неопределенность (σ): ±"&amp;""&amp;'t1'!$V33&amp;" °C"</f>
        <v>Общая среднеквадратичная неопределенность (σ): ±0,08 °C</v>
      </c>
    </row>
    <row r="31" spans="1:7" x14ac:dyDescent="0.2">
      <c r="A31" s="82" t="str">
        <f>"Расширенная неопределенность при 95 % доверительной вероятности (2σ): ±"&amp;""&amp;'t1'!$X33&amp;" °C"</f>
        <v>Расширенная неопределенность при 95 % доверительной вероятности (2σ): ±0,161 °C</v>
      </c>
    </row>
    <row r="33" spans="1:7" ht="14.25" customHeight="1" x14ac:dyDescent="0.2">
      <c r="A33" s="425" t="s">
        <v>35</v>
      </c>
      <c r="B33" s="425"/>
      <c r="C33" s="425"/>
      <c r="D33" s="425"/>
      <c r="E33" s="425"/>
      <c r="F33" s="425"/>
      <c r="G33" s="425"/>
    </row>
    <row r="34" spans="1:7" x14ac:dyDescent="0.2">
      <c r="A34" s="425"/>
      <c r="B34" s="425"/>
      <c r="C34" s="425"/>
      <c r="D34" s="425"/>
      <c r="E34" s="425"/>
      <c r="F34" s="425"/>
      <c r="G34" s="425"/>
    </row>
    <row r="35" spans="1:7" x14ac:dyDescent="0.2">
      <c r="A35" s="425"/>
      <c r="B35" s="425"/>
      <c r="C35" s="425"/>
      <c r="D35" s="425"/>
      <c r="E35" s="425"/>
      <c r="F35" s="425"/>
      <c r="G35" s="425"/>
    </row>
    <row r="36" spans="1:7" ht="15" customHeight="1" x14ac:dyDescent="0.2">
      <c r="A36" s="425"/>
      <c r="B36" s="425"/>
      <c r="C36" s="425"/>
      <c r="D36" s="425"/>
      <c r="E36" s="425"/>
      <c r="F36" s="425"/>
      <c r="G36" s="425"/>
    </row>
    <row r="37" spans="1:7" x14ac:dyDescent="0.2">
      <c r="A37" s="425"/>
      <c r="B37" s="425"/>
      <c r="C37" s="425"/>
      <c r="D37" s="425"/>
      <c r="E37" s="425"/>
      <c r="F37" s="425"/>
      <c r="G37" s="425"/>
    </row>
    <row r="39" spans="1:7" x14ac:dyDescent="0.2">
      <c r="C39"/>
    </row>
    <row r="40" spans="1:7" s="292" customFormat="1" x14ac:dyDescent="0.2">
      <c r="E40" s="65"/>
      <c r="F40" s="333"/>
      <c r="G40" s="333"/>
    </row>
    <row r="41" spans="1:7" x14ac:dyDescent="0.2">
      <c r="C41"/>
    </row>
    <row r="42" spans="1:7" x14ac:dyDescent="0.2">
      <c r="C42"/>
    </row>
    <row r="43" spans="1:7" x14ac:dyDescent="0.2">
      <c r="C43"/>
    </row>
    <row r="44" spans="1:7" hidden="1" x14ac:dyDescent="0.2">
      <c r="A44" s="426" t="str">
        <f>"Таблица Б.3 Расчёт неопределенностей по результам измерения при температуре "&amp;""&amp; 't2'!$C39&amp; " °С"</f>
        <v>Таблица Б.3 Расчёт неопределенностей по результам измерения при температуре -55 °С</v>
      </c>
      <c r="B44" s="426"/>
      <c r="C44" s="426"/>
      <c r="D44" s="426"/>
      <c r="E44" s="426"/>
      <c r="F44" s="426"/>
      <c r="G44" s="426"/>
    </row>
    <row r="45" spans="1:7" ht="38.25" hidden="1" x14ac:dyDescent="0.2">
      <c r="A45" s="305"/>
      <c r="B45" s="306" t="s">
        <v>7</v>
      </c>
      <c r="C45" s="307" t="s">
        <v>84</v>
      </c>
      <c r="D45" s="306" t="s">
        <v>9</v>
      </c>
      <c r="E45" s="308" t="s">
        <v>10</v>
      </c>
      <c r="F45" s="334" t="s">
        <v>88</v>
      </c>
      <c r="G45" s="334" t="s">
        <v>87</v>
      </c>
    </row>
    <row r="46" spans="1:7" ht="25.5" hidden="1" customHeight="1" x14ac:dyDescent="0.2">
      <c r="A46" s="422" t="s">
        <v>32</v>
      </c>
      <c r="B46" s="77" t="str">
        <f>'t2'!S4</f>
        <v>Поверка</v>
      </c>
      <c r="C46" s="77">
        <f>'t2'!T4</f>
        <v>0.1</v>
      </c>
      <c r="D46" s="77" t="str">
        <f>'t2'!U4</f>
        <v>Нормальное</v>
      </c>
      <c r="E46" s="91">
        <f>'t2'!V4</f>
        <v>2</v>
      </c>
      <c r="F46" s="335">
        <f>'t2'!W4</f>
        <v>0.05</v>
      </c>
      <c r="G46" s="335">
        <f>'t2'!X4</f>
        <v>2.5000000000000005E-3</v>
      </c>
    </row>
    <row r="47" spans="1:7" hidden="1" x14ac:dyDescent="0.2">
      <c r="A47" s="423"/>
      <c r="B47" s="77" t="str">
        <f>'t2'!S5</f>
        <v>Повторяемость*</v>
      </c>
      <c r="C47" s="77">
        <f>'t2'!T5</f>
        <v>0.01</v>
      </c>
      <c r="D47" s="77" t="str">
        <f>'t2'!U5</f>
        <v>Нормальное</v>
      </c>
      <c r="E47" s="91">
        <f>'t2'!V5</f>
        <v>1</v>
      </c>
      <c r="F47" s="335">
        <f>'t2'!W5</f>
        <v>0.01</v>
      </c>
      <c r="G47" s="335">
        <f>'t2'!X5</f>
        <v>1E-4</v>
      </c>
    </row>
    <row r="48" spans="1:7" hidden="1" x14ac:dyDescent="0.2">
      <c r="A48" s="423"/>
      <c r="B48" s="77" t="str">
        <f>'t2'!S6</f>
        <v>Гистерезис</v>
      </c>
      <c r="C48" s="77">
        <f>'t2'!T6</f>
        <v>0.01</v>
      </c>
      <c r="D48" s="77" t="str">
        <f>'t2'!U6</f>
        <v>Прямоугольное</v>
      </c>
      <c r="E48" s="91">
        <f>'t2'!V6</f>
        <v>1.73</v>
      </c>
      <c r="F48" s="335">
        <f>'t2'!W6</f>
        <v>5.7803468208092491E-3</v>
      </c>
      <c r="G48" s="335">
        <f>'t2'!X6</f>
        <v>3.3412409368839592E-5</v>
      </c>
    </row>
    <row r="49" spans="1:7" ht="25.5" hidden="1" customHeight="1" x14ac:dyDescent="0.2">
      <c r="A49" s="423"/>
      <c r="B49" s="77" t="str">
        <f>'t2'!S7</f>
        <v>Влияние температуры</v>
      </c>
      <c r="C49" s="77">
        <f>'t2'!T7</f>
        <v>0.01</v>
      </c>
      <c r="D49" s="77" t="str">
        <f>'t2'!U7</f>
        <v>Прямоугольное</v>
      </c>
      <c r="E49" s="91">
        <f>'t2'!V7</f>
        <v>1.73</v>
      </c>
      <c r="F49" s="335">
        <f>'t2'!W7</f>
        <v>5.7803468208092491E-3</v>
      </c>
      <c r="G49" s="335">
        <f>'t2'!X7</f>
        <v>3.3412409368839592E-5</v>
      </c>
    </row>
    <row r="50" spans="1:7" hidden="1" x14ac:dyDescent="0.2">
      <c r="A50" s="423"/>
      <c r="B50" s="77" t="str">
        <f>'t2'!S8</f>
        <v>Дрейф*</v>
      </c>
      <c r="C50" s="77">
        <f>'t2'!T8</f>
        <v>0.1</v>
      </c>
      <c r="D50" s="77" t="str">
        <f>'t2'!U8</f>
        <v>Прямоугольное</v>
      </c>
      <c r="E50" s="91">
        <f>'t2'!V8</f>
        <v>1.73</v>
      </c>
      <c r="F50" s="335">
        <f>'t2'!W8</f>
        <v>5.7803468208092491E-2</v>
      </c>
      <c r="G50" s="335">
        <f>'t2'!X8</f>
        <v>3.3412409368839594E-3</v>
      </c>
    </row>
    <row r="51" spans="1:7" hidden="1" x14ac:dyDescent="0.2">
      <c r="A51" s="423"/>
      <c r="B51" s="77" t="str">
        <f>'t2'!S9</f>
        <v>Линейность</v>
      </c>
      <c r="C51" s="77">
        <f>'t2'!T9</f>
        <v>0.02</v>
      </c>
      <c r="D51" s="77" t="str">
        <f>'t2'!U9</f>
        <v>Прямоугольное</v>
      </c>
      <c r="E51" s="91">
        <f>'t2'!V9</f>
        <v>1.73</v>
      </c>
      <c r="F51" s="335">
        <f>'t2'!W9</f>
        <v>1.1560693641618498E-2</v>
      </c>
      <c r="G51" s="335">
        <f>'t2'!X9</f>
        <v>1.3364963747535837E-4</v>
      </c>
    </row>
    <row r="52" spans="1:7" ht="25.5" hidden="1" customHeight="1" x14ac:dyDescent="0.2">
      <c r="A52" s="424"/>
      <c r="B52" s="77" t="str">
        <f>'t2'!S10</f>
        <v>Разрешающая способность</v>
      </c>
      <c r="C52" s="77">
        <f>'t2'!T20</f>
        <v>0</v>
      </c>
      <c r="D52" s="77" t="str">
        <f>'t2'!U10</f>
        <v>Прямоугольное</v>
      </c>
      <c r="E52" s="91">
        <f>'t2'!V10</f>
        <v>1.73</v>
      </c>
      <c r="F52" s="335">
        <f>'t2'!W10</f>
        <v>5.7803468208092491E-3</v>
      </c>
      <c r="G52" s="335">
        <f>'t2'!X10</f>
        <v>3.3412409368839592E-5</v>
      </c>
    </row>
    <row r="53" spans="1:7" ht="14.25" hidden="1" customHeight="1" x14ac:dyDescent="0.2">
      <c r="A53" s="427" t="s">
        <v>34</v>
      </c>
      <c r="B53" s="77" t="str">
        <f>'t2'!S11</f>
        <v>Градиент</v>
      </c>
      <c r="C53" s="77" t="str">
        <f>'t2'!T21</f>
        <v>Значение погрешности</v>
      </c>
      <c r="D53" s="77" t="str">
        <f>'t2'!U11</f>
        <v>Нормальное</v>
      </c>
      <c r="E53" s="91">
        <f>'t2'!V11</f>
        <v>1</v>
      </c>
      <c r="F53" s="335">
        <f>'t2'!W11</f>
        <v>0.29847398512276063</v>
      </c>
      <c r="G53" s="335">
        <f>'t2'!X11</f>
        <v>8.9086719795061942E-2</v>
      </c>
    </row>
    <row r="54" spans="1:7" ht="25.5" hidden="1" customHeight="1" x14ac:dyDescent="0.2">
      <c r="A54" s="428"/>
      <c r="B54" s="77" t="str">
        <f>'t2'!S12</f>
        <v>Флуктуации температуры</v>
      </c>
      <c r="C54" s="77">
        <f>'t2'!T22</f>
        <v>0.1</v>
      </c>
      <c r="D54" s="77" t="str">
        <f>'t2'!U12</f>
        <v>Нормальное</v>
      </c>
      <c r="E54" s="91">
        <f>'t2'!V12</f>
        <v>1</v>
      </c>
      <c r="F54" s="335">
        <f>'t2'!W12</f>
        <v>1.6305740366168459E-2</v>
      </c>
      <c r="G54" s="335">
        <f>'t2'!X12</f>
        <v>2.6587716888889552E-4</v>
      </c>
    </row>
    <row r="55" spans="1:7" hidden="1" x14ac:dyDescent="0.2">
      <c r="A55" s="429"/>
      <c r="B55" s="77" t="str">
        <f>'t2'!S13</f>
        <v>Общее среднее</v>
      </c>
      <c r="C55" s="77">
        <f>'t2'!T23</f>
        <v>0.01</v>
      </c>
      <c r="D55" s="77" t="str">
        <f>'t2'!U13</f>
        <v>Нормальное</v>
      </c>
      <c r="E55" s="91">
        <f>'t2'!V13</f>
        <v>1</v>
      </c>
      <c r="F55" s="335">
        <f>'t2'!W13</f>
        <v>8.3642631664474485E-4</v>
      </c>
      <c r="G55" s="335">
        <f>'t2'!X13</f>
        <v>6.9960898317589499E-7</v>
      </c>
    </row>
    <row r="56" spans="1:7" hidden="1" x14ac:dyDescent="0.2">
      <c r="A56" s="76"/>
      <c r="B56" s="76"/>
      <c r="C56" s="88"/>
      <c r="D56" s="76"/>
      <c r="E56" s="81"/>
      <c r="F56" s="336"/>
      <c r="G56" s="336"/>
    </row>
    <row r="57" spans="1:7" hidden="1" x14ac:dyDescent="0.2">
      <c r="A57" s="78" t="str">
        <f>"Cумма квадратов (σ²): "&amp;""&amp;'t2'!$S17</f>
        <v>Cумма квадратов (σ²): 0,09552842</v>
      </c>
      <c r="B57" s="76"/>
      <c r="C57" s="88"/>
      <c r="D57" s="76"/>
      <c r="E57" s="81"/>
      <c r="F57" s="336"/>
      <c r="G57" s="336"/>
    </row>
    <row r="58" spans="1:7" hidden="1" x14ac:dyDescent="0.2">
      <c r="A58" s="79" t="str">
        <f>"Общая среднеквадратичная неопределенность (σ): ±"&amp;""&amp;'t2'!$V17&amp;" °C"</f>
        <v>Общая среднеквадратичная неопределенность (σ): ±0,309 °C</v>
      </c>
      <c r="B58" s="76"/>
      <c r="C58" s="88"/>
      <c r="D58" s="80"/>
      <c r="E58" s="81"/>
      <c r="F58" s="336"/>
      <c r="G58" s="336"/>
    </row>
    <row r="59" spans="1:7" hidden="1" x14ac:dyDescent="0.2">
      <c r="A59" s="82" t="str">
        <f>"Расширенная неопределенность при 95 % доверительной вероятности (2σ): ±"&amp;""&amp;'t2'!$X17&amp;" °C"</f>
        <v>Расширенная неопределенность при 95 % доверительной вероятности (2σ): ±0,618 °C</v>
      </c>
      <c r="B59" s="76"/>
      <c r="C59" s="88"/>
      <c r="D59" s="76"/>
      <c r="E59" s="81"/>
      <c r="F59" s="336"/>
      <c r="G59" s="336"/>
    </row>
    <row r="60" spans="1:7" hidden="1" x14ac:dyDescent="0.2">
      <c r="A60" s="82"/>
      <c r="B60" s="76"/>
      <c r="C60" s="88"/>
      <c r="D60" s="76"/>
      <c r="E60" s="81"/>
      <c r="F60" s="336"/>
      <c r="G60" s="336"/>
    </row>
    <row r="61" spans="1:7" hidden="1" x14ac:dyDescent="0.2">
      <c r="A61" s="426" t="str">
        <f>"Таблица Б.4 Расчёт неопределенностей температур в каждой точке установки датчиков при "&amp;'t2'!$C39&amp;" °С"</f>
        <v>Таблица Б.4 Расчёт неопределенностей температур в каждой точке установки датчиков при -55 °С</v>
      </c>
      <c r="B61" s="426"/>
      <c r="C61" s="426"/>
      <c r="D61" s="426"/>
      <c r="E61" s="426"/>
      <c r="F61" s="426"/>
      <c r="G61" s="426"/>
    </row>
    <row r="62" spans="1:7" ht="38.25" hidden="1" x14ac:dyDescent="0.2">
      <c r="A62" s="305"/>
      <c r="B62" s="306" t="s">
        <v>7</v>
      </c>
      <c r="C62" s="307" t="s">
        <v>84</v>
      </c>
      <c r="D62" s="306" t="s">
        <v>9</v>
      </c>
      <c r="E62" s="308" t="s">
        <v>10</v>
      </c>
      <c r="F62" s="334" t="s">
        <v>88</v>
      </c>
      <c r="G62" s="334" t="s">
        <v>87</v>
      </c>
    </row>
    <row r="63" spans="1:7" ht="25.5" hidden="1" customHeight="1" x14ac:dyDescent="0.2">
      <c r="A63" s="422" t="s">
        <v>32</v>
      </c>
      <c r="B63" s="77" t="str">
        <f>'t2'!S22</f>
        <v>Поверка</v>
      </c>
      <c r="C63" s="77">
        <f>'t2'!T22</f>
        <v>0.1</v>
      </c>
      <c r="D63" s="77" t="str">
        <f>'t2'!U22</f>
        <v>Нормальное</v>
      </c>
      <c r="E63" s="91">
        <f>'t2'!V22</f>
        <v>2</v>
      </c>
      <c r="F63" s="335">
        <f>'t2'!W22</f>
        <v>0.05</v>
      </c>
      <c r="G63" s="335">
        <f>'t2'!X22</f>
        <v>2.5000000000000005E-3</v>
      </c>
    </row>
    <row r="64" spans="1:7" hidden="1" x14ac:dyDescent="0.2">
      <c r="A64" s="423"/>
      <c r="B64" s="77" t="str">
        <f>'t2'!S23</f>
        <v>Повторяемость*</v>
      </c>
      <c r="C64" s="77">
        <f>'t2'!T23</f>
        <v>0.01</v>
      </c>
      <c r="D64" s="77" t="str">
        <f>'t2'!U23</f>
        <v>Нормальное</v>
      </c>
      <c r="E64" s="91">
        <f>'t2'!V23</f>
        <v>1</v>
      </c>
      <c r="F64" s="335">
        <f>'t2'!W23</f>
        <v>0.01</v>
      </c>
      <c r="G64" s="335">
        <f>'t2'!X23</f>
        <v>1E-4</v>
      </c>
    </row>
    <row r="65" spans="1:7" hidden="1" x14ac:dyDescent="0.2">
      <c r="A65" s="423"/>
      <c r="B65" s="77" t="str">
        <f>'t2'!S24</f>
        <v>Гистерезис</v>
      </c>
      <c r="C65" s="77">
        <f>'t2'!T24</f>
        <v>0.01</v>
      </c>
      <c r="D65" s="77" t="str">
        <f>'t2'!U24</f>
        <v>Прямоугольное</v>
      </c>
      <c r="E65" s="91">
        <f>'t2'!V24</f>
        <v>1.73</v>
      </c>
      <c r="F65" s="335">
        <f>'t2'!W24</f>
        <v>5.7803468208092491E-3</v>
      </c>
      <c r="G65" s="335">
        <f>'t2'!X24</f>
        <v>3.3412409368839592E-5</v>
      </c>
    </row>
    <row r="66" spans="1:7" ht="25.5" hidden="1" customHeight="1" x14ac:dyDescent="0.2">
      <c r="A66" s="423"/>
      <c r="B66" s="77" t="str">
        <f>'t2'!S25</f>
        <v>Влияние температуры</v>
      </c>
      <c r="C66" s="77">
        <f>'t2'!T25</f>
        <v>0.01</v>
      </c>
      <c r="D66" s="77" t="str">
        <f>'t2'!U25</f>
        <v>Прямоугольное</v>
      </c>
      <c r="E66" s="91">
        <f>'t2'!V25</f>
        <v>1.73</v>
      </c>
      <c r="F66" s="335">
        <f>'t2'!W25</f>
        <v>5.7803468208092491E-3</v>
      </c>
      <c r="G66" s="335">
        <f>'t2'!X25</f>
        <v>3.3412409368839592E-5</v>
      </c>
    </row>
    <row r="67" spans="1:7" hidden="1" x14ac:dyDescent="0.2">
      <c r="A67" s="423"/>
      <c r="B67" s="77" t="str">
        <f>'t2'!S26</f>
        <v>Дрейф*</v>
      </c>
      <c r="C67" s="77">
        <f>'t2'!T26</f>
        <v>0.1</v>
      </c>
      <c r="D67" s="77" t="str">
        <f>'t2'!U26</f>
        <v>Прямоугольное</v>
      </c>
      <c r="E67" s="91">
        <f>'t2'!V26</f>
        <v>1.73</v>
      </c>
      <c r="F67" s="335">
        <f>'t2'!W26</f>
        <v>5.7803468208092491E-2</v>
      </c>
      <c r="G67" s="335">
        <f>'t2'!X26</f>
        <v>3.3412409368839594E-3</v>
      </c>
    </row>
    <row r="68" spans="1:7" hidden="1" x14ac:dyDescent="0.2">
      <c r="A68" s="423"/>
      <c r="B68" s="77" t="str">
        <f>'t2'!S27</f>
        <v>Линейность</v>
      </c>
      <c r="C68" s="77">
        <f>'t2'!T27</f>
        <v>0.02</v>
      </c>
      <c r="D68" s="77" t="str">
        <f>'t2'!U27</f>
        <v>Прямоугольное</v>
      </c>
      <c r="E68" s="91">
        <f>'t2'!V27</f>
        <v>1.73</v>
      </c>
      <c r="F68" s="335">
        <f>'t2'!W27</f>
        <v>1.1560693641618498E-2</v>
      </c>
      <c r="G68" s="335">
        <f>'t2'!X27</f>
        <v>1.3364963747535837E-4</v>
      </c>
    </row>
    <row r="69" spans="1:7" ht="25.5" hidden="1" customHeight="1" x14ac:dyDescent="0.2">
      <c r="A69" s="424"/>
      <c r="B69" s="77" t="str">
        <f>'t2'!S28</f>
        <v>Разрешающая способность</v>
      </c>
      <c r="C69" s="77">
        <f>'t2'!T28</f>
        <v>0.01</v>
      </c>
      <c r="D69" s="77" t="str">
        <f>'t2'!U28</f>
        <v>Прямоугольное</v>
      </c>
      <c r="E69" s="91">
        <f>'t2'!V28</f>
        <v>1.73</v>
      </c>
      <c r="F69" s="335">
        <f>'t2'!W28</f>
        <v>5.7803468208092491E-3</v>
      </c>
      <c r="G69" s="335">
        <f>'t2'!X28</f>
        <v>3.3412409368839592E-5</v>
      </c>
    </row>
    <row r="70" spans="1:7" ht="39" hidden="1" x14ac:dyDescent="0.2">
      <c r="A70" s="153" t="s">
        <v>34</v>
      </c>
      <c r="B70" s="77" t="str">
        <f>'t2'!S29</f>
        <v>Флуктуации температуры</v>
      </c>
      <c r="C70" s="77">
        <f>'t2'!T29</f>
        <v>1.6305740366168459E-2</v>
      </c>
      <c r="D70" s="77" t="str">
        <f>'t2'!U29</f>
        <v>Нормальное</v>
      </c>
      <c r="E70" s="91">
        <f>'t2'!V29</f>
        <v>1</v>
      </c>
      <c r="F70" s="335">
        <f>'t2'!W29</f>
        <v>1.6305740366168459E-2</v>
      </c>
      <c r="G70" s="335">
        <f>'t2'!X29</f>
        <v>2.6587716888889552E-4</v>
      </c>
    </row>
    <row r="71" spans="1:7" hidden="1" x14ac:dyDescent="0.2">
      <c r="A71" s="83"/>
      <c r="B71" s="83"/>
      <c r="C71" s="89"/>
      <c r="D71" s="83"/>
      <c r="E71" s="92"/>
      <c r="F71" s="337"/>
      <c r="G71" s="337"/>
    </row>
    <row r="72" spans="1:7" ht="14.25" hidden="1" customHeight="1" x14ac:dyDescent="0.2">
      <c r="A72" s="78" t="str">
        <f>"Cумма квадратов (σ²): "&amp;""&amp;'t2'!$S33</f>
        <v>Cумма квадратов (σ²): 0,006441</v>
      </c>
      <c r="B72" s="292"/>
      <c r="D72" s="292"/>
    </row>
    <row r="73" spans="1:7" hidden="1" x14ac:dyDescent="0.2">
      <c r="A73" s="79" t="str">
        <f>"Общая среднеквадратичная неопределенность (σ): ±"&amp;""&amp;'t2'!$V33&amp;" °C"</f>
        <v>Общая среднеквадратичная неопределенность (σ): ±0,08 °C</v>
      </c>
      <c r="B73" s="292"/>
      <c r="D73" s="292"/>
    </row>
    <row r="74" spans="1:7" hidden="1" x14ac:dyDescent="0.2">
      <c r="A74" s="82" t="str">
        <f>"Расширенная неопределенность при 95 % доверительной вероятности (2σ): ±"&amp;""&amp;'t2'!$X33&amp;" °C"</f>
        <v>Расширенная неопределенность при 95 % доверительной вероятности (2σ): ±0,161 °C</v>
      </c>
      <c r="B74" s="292"/>
      <c r="D74" s="292"/>
    </row>
    <row r="75" spans="1:7" hidden="1" x14ac:dyDescent="0.2">
      <c r="A75" s="292"/>
      <c r="B75" s="292"/>
      <c r="D75" s="292"/>
    </row>
    <row r="76" spans="1:7" ht="14.25" hidden="1" customHeight="1" x14ac:dyDescent="0.2">
      <c r="A76" s="425" t="s">
        <v>35</v>
      </c>
      <c r="B76" s="425"/>
      <c r="C76" s="425"/>
      <c r="D76" s="425"/>
      <c r="E76" s="425"/>
      <c r="F76" s="425"/>
      <c r="G76" s="425"/>
    </row>
    <row r="77" spans="1:7" hidden="1" x14ac:dyDescent="0.2">
      <c r="A77" s="425"/>
      <c r="B77" s="425"/>
      <c r="C77" s="425"/>
      <c r="D77" s="425"/>
      <c r="E77" s="425"/>
      <c r="F77" s="425"/>
      <c r="G77" s="425"/>
    </row>
    <row r="78" spans="1:7" hidden="1" x14ac:dyDescent="0.2">
      <c r="A78" s="425"/>
      <c r="B78" s="425"/>
      <c r="C78" s="425"/>
      <c r="D78" s="425"/>
      <c r="E78" s="425"/>
      <c r="F78" s="425"/>
      <c r="G78" s="425"/>
    </row>
    <row r="79" spans="1:7" hidden="1" x14ac:dyDescent="0.2">
      <c r="A79" s="425"/>
      <c r="B79" s="425"/>
      <c r="C79" s="425"/>
      <c r="D79" s="425"/>
      <c r="E79" s="425"/>
      <c r="F79" s="425"/>
      <c r="G79" s="425"/>
    </row>
    <row r="80" spans="1:7" hidden="1" x14ac:dyDescent="0.2">
      <c r="A80" s="425"/>
      <c r="B80" s="425"/>
      <c r="C80" s="425"/>
      <c r="D80" s="425"/>
      <c r="E80" s="425"/>
      <c r="F80" s="425"/>
      <c r="G80" s="425"/>
    </row>
    <row r="81" spans="1:7" hidden="1" x14ac:dyDescent="0.2">
      <c r="A81" s="292"/>
      <c r="B81" s="292"/>
      <c r="D81" s="292"/>
    </row>
    <row r="82" spans="1:7" hidden="1" x14ac:dyDescent="0.2">
      <c r="A82" s="292"/>
      <c r="B82" s="292"/>
      <c r="C82" s="292"/>
      <c r="D82" s="292"/>
    </row>
    <row r="83" spans="1:7" hidden="1" x14ac:dyDescent="0.2">
      <c r="A83" s="292"/>
      <c r="B83" s="292"/>
      <c r="C83" s="292"/>
      <c r="D83" s="292"/>
    </row>
    <row r="84" spans="1:7" hidden="1" x14ac:dyDescent="0.2">
      <c r="A84" s="292"/>
      <c r="B84" s="292"/>
      <c r="C84" s="292"/>
      <c r="D84" s="292"/>
    </row>
    <row r="85" spans="1:7" hidden="1" x14ac:dyDescent="0.2">
      <c r="A85" s="292"/>
      <c r="B85" s="292"/>
      <c r="C85" s="292"/>
      <c r="D85" s="292"/>
    </row>
    <row r="86" spans="1:7" hidden="1" x14ac:dyDescent="0.2">
      <c r="A86" s="426" t="str">
        <f>"Таблица Б.5 Расчёт неопределенностей по результам измерения при температуре "&amp;""&amp; 't3'!$C39&amp; " °С"</f>
        <v>Таблица Б.5 Расчёт неопределенностей по результам измерения при температуре -35 °С</v>
      </c>
      <c r="B86" s="426"/>
      <c r="C86" s="426"/>
      <c r="D86" s="426"/>
      <c r="E86" s="426"/>
      <c r="F86" s="426"/>
      <c r="G86" s="426"/>
    </row>
    <row r="87" spans="1:7" ht="38.25" hidden="1" x14ac:dyDescent="0.2">
      <c r="A87" s="305"/>
      <c r="B87" s="306" t="s">
        <v>7</v>
      </c>
      <c r="C87" s="307" t="s">
        <v>84</v>
      </c>
      <c r="D87" s="306" t="s">
        <v>9</v>
      </c>
      <c r="E87" s="308" t="s">
        <v>10</v>
      </c>
      <c r="F87" s="334" t="s">
        <v>88</v>
      </c>
      <c r="G87" s="334" t="s">
        <v>87</v>
      </c>
    </row>
    <row r="88" spans="1:7" hidden="1" x14ac:dyDescent="0.2">
      <c r="A88" s="422" t="s">
        <v>32</v>
      </c>
      <c r="B88" s="77" t="str">
        <f>'t3'!S4</f>
        <v>Поверка</v>
      </c>
      <c r="C88" s="77">
        <f>'t3'!T4</f>
        <v>0.1</v>
      </c>
      <c r="D88" s="77" t="str">
        <f>'t3'!U4</f>
        <v>Нормальное</v>
      </c>
      <c r="E88" s="91">
        <f>'t3'!V4</f>
        <v>2</v>
      </c>
      <c r="F88" s="335">
        <f>'t3'!W4</f>
        <v>0.05</v>
      </c>
      <c r="G88" s="335">
        <f>'t3'!X4</f>
        <v>2.5000000000000005E-3</v>
      </c>
    </row>
    <row r="89" spans="1:7" hidden="1" x14ac:dyDescent="0.2">
      <c r="A89" s="423"/>
      <c r="B89" s="77" t="str">
        <f>'t3'!S5</f>
        <v>Повторяемость*</v>
      </c>
      <c r="C89" s="77">
        <f>'t3'!T5</f>
        <v>0.01</v>
      </c>
      <c r="D89" s="77" t="str">
        <f>'t3'!U5</f>
        <v>Нормальное</v>
      </c>
      <c r="E89" s="91">
        <f>'t3'!V5</f>
        <v>1</v>
      </c>
      <c r="F89" s="335">
        <f>'t3'!W5</f>
        <v>0.01</v>
      </c>
      <c r="G89" s="335">
        <f>'t3'!X5</f>
        <v>1E-4</v>
      </c>
    </row>
    <row r="90" spans="1:7" hidden="1" x14ac:dyDescent="0.2">
      <c r="A90" s="423"/>
      <c r="B90" s="77" t="str">
        <f>'t3'!S6</f>
        <v>Гистерезис</v>
      </c>
      <c r="C90" s="77">
        <f>'t3'!T6</f>
        <v>0.01</v>
      </c>
      <c r="D90" s="77" t="str">
        <f>'t3'!U6</f>
        <v>Прямоугольное</v>
      </c>
      <c r="E90" s="91">
        <f>'t3'!V6</f>
        <v>1.73</v>
      </c>
      <c r="F90" s="335">
        <f>'t3'!W6</f>
        <v>5.7803468208092491E-3</v>
      </c>
      <c r="G90" s="335">
        <f>'t3'!X6</f>
        <v>3.3412409368839592E-5</v>
      </c>
    </row>
    <row r="91" spans="1:7" ht="25.5" hidden="1" x14ac:dyDescent="0.2">
      <c r="A91" s="423"/>
      <c r="B91" s="77" t="str">
        <f>'t3'!S7</f>
        <v>Влияние температуры</v>
      </c>
      <c r="C91" s="77">
        <f>'t3'!T7</f>
        <v>0.01</v>
      </c>
      <c r="D91" s="77" t="str">
        <f>'t3'!U7</f>
        <v>Прямоугольное</v>
      </c>
      <c r="E91" s="91">
        <f>'t3'!V7</f>
        <v>1.73</v>
      </c>
      <c r="F91" s="335">
        <f>'t3'!W7</f>
        <v>5.7803468208092491E-3</v>
      </c>
      <c r="G91" s="335">
        <f>'t3'!X7</f>
        <v>3.3412409368839592E-5</v>
      </c>
    </row>
    <row r="92" spans="1:7" hidden="1" x14ac:dyDescent="0.2">
      <c r="A92" s="423"/>
      <c r="B92" s="77" t="str">
        <f>'t3'!S8</f>
        <v>Дрейф*</v>
      </c>
      <c r="C92" s="77">
        <f>'t3'!T8</f>
        <v>0.1</v>
      </c>
      <c r="D92" s="77" t="str">
        <f>'t3'!U8</f>
        <v>Прямоугольное</v>
      </c>
      <c r="E92" s="91">
        <f>'t3'!V8</f>
        <v>1.73</v>
      </c>
      <c r="F92" s="335">
        <f>'t3'!W8</f>
        <v>5.7803468208092491E-2</v>
      </c>
      <c r="G92" s="335">
        <f>'t3'!X8</f>
        <v>3.3412409368839594E-3</v>
      </c>
    </row>
    <row r="93" spans="1:7" hidden="1" x14ac:dyDescent="0.2">
      <c r="A93" s="423"/>
      <c r="B93" s="77" t="str">
        <f>'t3'!S9</f>
        <v>Линейность</v>
      </c>
      <c r="C93" s="77">
        <f>'t3'!T9</f>
        <v>0.02</v>
      </c>
      <c r="D93" s="77" t="str">
        <f>'t3'!U9</f>
        <v>Прямоугольное</v>
      </c>
      <c r="E93" s="91">
        <f>'t3'!V9</f>
        <v>1.73</v>
      </c>
      <c r="F93" s="335">
        <f>'t3'!W9</f>
        <v>1.1560693641618498E-2</v>
      </c>
      <c r="G93" s="335">
        <f>'t3'!X9</f>
        <v>1.3364963747535837E-4</v>
      </c>
    </row>
    <row r="94" spans="1:7" ht="25.5" hidden="1" x14ac:dyDescent="0.2">
      <c r="A94" s="424"/>
      <c r="B94" s="77" t="str">
        <f>'t3'!S10</f>
        <v>Разрешающая способность</v>
      </c>
      <c r="C94" s="77">
        <f>'t3'!T30</f>
        <v>0</v>
      </c>
      <c r="D94" s="77" t="str">
        <f>'t3'!U10</f>
        <v>Прямоугольное</v>
      </c>
      <c r="E94" s="91">
        <f>'t3'!V10</f>
        <v>1.73</v>
      </c>
      <c r="F94" s="335">
        <f>'t3'!W10</f>
        <v>5.7803468208092491E-3</v>
      </c>
      <c r="G94" s="335">
        <f>'t3'!X10</f>
        <v>3.3412409368839592E-5</v>
      </c>
    </row>
    <row r="95" spans="1:7" hidden="1" x14ac:dyDescent="0.2">
      <c r="A95" s="427" t="s">
        <v>34</v>
      </c>
      <c r="B95" s="77" t="str">
        <f>'t3'!S11</f>
        <v>Градиент</v>
      </c>
      <c r="C95" s="77">
        <f>'t3'!T31</f>
        <v>0</v>
      </c>
      <c r="D95" s="77" t="str">
        <f>'t3'!U11</f>
        <v>Нормальное</v>
      </c>
      <c r="E95" s="91">
        <f>'t3'!V11</f>
        <v>1</v>
      </c>
      <c r="F95" s="335">
        <f>'t3'!W11</f>
        <v>0.29847398512276063</v>
      </c>
      <c r="G95" s="335">
        <f>'t3'!X11</f>
        <v>8.9086719795061942E-2</v>
      </c>
    </row>
    <row r="96" spans="1:7" ht="25.5" hidden="1" x14ac:dyDescent="0.2">
      <c r="A96" s="428"/>
      <c r="B96" s="77" t="str">
        <f>'t3'!S12</f>
        <v>Флуктуации температуры</v>
      </c>
      <c r="C96" s="77">
        <f>'t3'!T32</f>
        <v>0</v>
      </c>
      <c r="D96" s="77" t="str">
        <f>'t3'!U12</f>
        <v>Нормальное</v>
      </c>
      <c r="E96" s="91">
        <f>'t3'!V12</f>
        <v>1</v>
      </c>
      <c r="F96" s="335">
        <f>'t3'!W12</f>
        <v>1.6305740366168459E-2</v>
      </c>
      <c r="G96" s="335">
        <f>'t3'!X12</f>
        <v>2.6587716888889552E-4</v>
      </c>
    </row>
    <row r="97" spans="1:7" hidden="1" x14ac:dyDescent="0.2">
      <c r="A97" s="429"/>
      <c r="B97" s="77" t="str">
        <f>'t3'!S13</f>
        <v>Общее среднее</v>
      </c>
      <c r="C97" s="77">
        <f>'t3'!T33</f>
        <v>0</v>
      </c>
      <c r="D97" s="77" t="str">
        <f>'t3'!U13</f>
        <v>Нормальное</v>
      </c>
      <c r="E97" s="91">
        <f>'t3'!V13</f>
        <v>1</v>
      </c>
      <c r="F97" s="335">
        <f>'t3'!W13</f>
        <v>8.3642631664474485E-4</v>
      </c>
      <c r="G97" s="335">
        <f>'t3'!X13</f>
        <v>6.9960898317589499E-7</v>
      </c>
    </row>
    <row r="98" spans="1:7" hidden="1" x14ac:dyDescent="0.2">
      <c r="A98" s="76"/>
      <c r="B98" s="76"/>
      <c r="C98" s="88"/>
      <c r="D98" s="76"/>
      <c r="E98" s="81"/>
      <c r="F98" s="336"/>
      <c r="G98" s="336"/>
    </row>
    <row r="99" spans="1:7" hidden="1" x14ac:dyDescent="0.2">
      <c r="A99" s="78" t="str">
        <f>"Cумма квадратов (σ²): "&amp;""&amp;'t3'!$S17</f>
        <v>Cумма квадратов (σ²): 0,09552842</v>
      </c>
      <c r="B99" s="76"/>
      <c r="C99" s="88"/>
      <c r="D99" s="76"/>
      <c r="E99" s="81"/>
      <c r="F99" s="336"/>
      <c r="G99" s="336"/>
    </row>
    <row r="100" spans="1:7" hidden="1" x14ac:dyDescent="0.2">
      <c r="A100" s="79" t="str">
        <f>"Общая среднеквадратичная неопределенность (σ): ±"&amp;""&amp;'t3'!$V17&amp;" °C"</f>
        <v>Общая среднеквадратичная неопределенность (σ): ±0,309 °C</v>
      </c>
      <c r="B100" s="76"/>
      <c r="C100" s="88"/>
      <c r="D100" s="80"/>
      <c r="E100" s="81"/>
      <c r="F100" s="336"/>
      <c r="G100" s="336"/>
    </row>
    <row r="101" spans="1:7" hidden="1" x14ac:dyDescent="0.2">
      <c r="A101" s="82" t="str">
        <f>"Расширенная неопределенность при 95 % доверительной вероятности (2σ): ±"&amp;""&amp;'t3'!$X17&amp;" °C"</f>
        <v>Расширенная неопределенность при 95 % доверительной вероятности (2σ): ±0,618 °C</v>
      </c>
      <c r="B101" s="76"/>
      <c r="C101" s="88"/>
      <c r="D101" s="76"/>
      <c r="E101" s="81"/>
      <c r="F101" s="336"/>
      <c r="G101" s="336"/>
    </row>
    <row r="102" spans="1:7" hidden="1" x14ac:dyDescent="0.2">
      <c r="A102" s="82"/>
      <c r="B102" s="76"/>
      <c r="C102" s="88"/>
      <c r="D102" s="76"/>
      <c r="E102" s="81"/>
      <c r="F102" s="336"/>
      <c r="G102" s="336"/>
    </row>
    <row r="103" spans="1:7" hidden="1" x14ac:dyDescent="0.2">
      <c r="A103" s="426" t="str">
        <f>"Таблица Б.6 Расчёт неопределенностей температур в каждой точке установки датчиков при "&amp;'t3'!$C39&amp;" °С"</f>
        <v>Таблица Б.6 Расчёт неопределенностей температур в каждой точке установки датчиков при -35 °С</v>
      </c>
      <c r="B103" s="426"/>
      <c r="C103" s="426"/>
      <c r="D103" s="426"/>
      <c r="E103" s="426"/>
      <c r="F103" s="426"/>
      <c r="G103" s="426"/>
    </row>
    <row r="104" spans="1:7" ht="38.25" hidden="1" x14ac:dyDescent="0.2">
      <c r="A104" s="305"/>
      <c r="B104" s="306" t="s">
        <v>7</v>
      </c>
      <c r="C104" s="307" t="s">
        <v>84</v>
      </c>
      <c r="D104" s="306" t="s">
        <v>9</v>
      </c>
      <c r="E104" s="308" t="s">
        <v>10</v>
      </c>
      <c r="F104" s="334" t="s">
        <v>88</v>
      </c>
      <c r="G104" s="334" t="s">
        <v>87</v>
      </c>
    </row>
    <row r="105" spans="1:7" hidden="1" x14ac:dyDescent="0.2">
      <c r="A105" s="422" t="s">
        <v>32</v>
      </c>
      <c r="B105" s="77" t="str">
        <f>'t3'!S22</f>
        <v>Поверка</v>
      </c>
      <c r="C105" s="77">
        <f>'t3'!T22</f>
        <v>0.1</v>
      </c>
      <c r="D105" s="77" t="str">
        <f>'t3'!U22</f>
        <v>Нормальное</v>
      </c>
      <c r="E105" s="91">
        <f>'t3'!V22</f>
        <v>2</v>
      </c>
      <c r="F105" s="335">
        <f>'t3'!W22</f>
        <v>0.05</v>
      </c>
      <c r="G105" s="335">
        <f>'t3'!X22</f>
        <v>2.5000000000000005E-3</v>
      </c>
    </row>
    <row r="106" spans="1:7" hidden="1" x14ac:dyDescent="0.2">
      <c r="A106" s="423"/>
      <c r="B106" s="77" t="str">
        <f>'t3'!S23</f>
        <v>Повторяемость*</v>
      </c>
      <c r="C106" s="77">
        <f>'t3'!T23</f>
        <v>0.01</v>
      </c>
      <c r="D106" s="77" t="str">
        <f>'t3'!U23</f>
        <v>Нормальное</v>
      </c>
      <c r="E106" s="91">
        <f>'t3'!V23</f>
        <v>1</v>
      </c>
      <c r="F106" s="335">
        <f>'t3'!W23</f>
        <v>0.01</v>
      </c>
      <c r="G106" s="335">
        <f>'t3'!X23</f>
        <v>1E-4</v>
      </c>
    </row>
    <row r="107" spans="1:7" hidden="1" x14ac:dyDescent="0.2">
      <c r="A107" s="423"/>
      <c r="B107" s="77" t="str">
        <f>'t3'!S24</f>
        <v>Гистерезис</v>
      </c>
      <c r="C107" s="77">
        <f>'t3'!T24</f>
        <v>0.01</v>
      </c>
      <c r="D107" s="77" t="str">
        <f>'t3'!U24</f>
        <v>Прямоугольное</v>
      </c>
      <c r="E107" s="91">
        <f>'t3'!V24</f>
        <v>1.73</v>
      </c>
      <c r="F107" s="335">
        <f>'t3'!W24</f>
        <v>5.7803468208092491E-3</v>
      </c>
      <c r="G107" s="335">
        <f>'t3'!X24</f>
        <v>3.3412409368839592E-5</v>
      </c>
    </row>
    <row r="108" spans="1:7" ht="25.5" hidden="1" x14ac:dyDescent="0.2">
      <c r="A108" s="423"/>
      <c r="B108" s="77" t="str">
        <f>'t3'!S25</f>
        <v>Влияние температуры</v>
      </c>
      <c r="C108" s="77">
        <f>'t3'!T25</f>
        <v>0.01</v>
      </c>
      <c r="D108" s="77" t="str">
        <f>'t3'!U25</f>
        <v>Прямоугольное</v>
      </c>
      <c r="E108" s="91">
        <f>'t3'!V25</f>
        <v>1.73</v>
      </c>
      <c r="F108" s="335">
        <f>'t3'!W25</f>
        <v>5.7803468208092491E-3</v>
      </c>
      <c r="G108" s="335">
        <f>'t3'!X25</f>
        <v>3.3412409368839592E-5</v>
      </c>
    </row>
    <row r="109" spans="1:7" hidden="1" x14ac:dyDescent="0.2">
      <c r="A109" s="423"/>
      <c r="B109" s="77" t="str">
        <f>'t3'!S26</f>
        <v>Дрейф*</v>
      </c>
      <c r="C109" s="77">
        <f>'t3'!T26</f>
        <v>0.1</v>
      </c>
      <c r="D109" s="77" t="str">
        <f>'t3'!U26</f>
        <v>Прямоугольное</v>
      </c>
      <c r="E109" s="91">
        <f>'t3'!V26</f>
        <v>1.73</v>
      </c>
      <c r="F109" s="335">
        <f>'t3'!W26</f>
        <v>5.7803468208092491E-2</v>
      </c>
      <c r="G109" s="335">
        <f>'t3'!X26</f>
        <v>3.3412409368839594E-3</v>
      </c>
    </row>
    <row r="110" spans="1:7" ht="14.25" hidden="1" customHeight="1" x14ac:dyDescent="0.2">
      <c r="A110" s="423"/>
      <c r="B110" s="77" t="str">
        <f>'t3'!S27</f>
        <v>Линейность</v>
      </c>
      <c r="C110" s="77">
        <f>'t3'!T27</f>
        <v>0.02</v>
      </c>
      <c r="D110" s="77" t="str">
        <f>'t3'!U27</f>
        <v>Прямоугольное</v>
      </c>
      <c r="E110" s="91">
        <f>'t3'!V27</f>
        <v>1.73</v>
      </c>
      <c r="F110" s="335">
        <f>'t3'!W27</f>
        <v>1.1560693641618498E-2</v>
      </c>
      <c r="G110" s="335">
        <f>'t3'!X27</f>
        <v>1.3364963747535837E-4</v>
      </c>
    </row>
    <row r="111" spans="1:7" ht="25.5" hidden="1" x14ac:dyDescent="0.2">
      <c r="A111" s="424"/>
      <c r="B111" s="77" t="str">
        <f>'t3'!S28</f>
        <v>Разрешающая способность</v>
      </c>
      <c r="C111" s="77">
        <f>'t3'!T28</f>
        <v>0.01</v>
      </c>
      <c r="D111" s="77" t="str">
        <f>'t3'!U28</f>
        <v>Прямоугольное</v>
      </c>
      <c r="E111" s="91">
        <f>'t3'!V28</f>
        <v>1.73</v>
      </c>
      <c r="F111" s="335">
        <f>'t3'!W28</f>
        <v>5.7803468208092491E-3</v>
      </c>
      <c r="G111" s="335">
        <f>'t3'!X28</f>
        <v>3.3412409368839592E-5</v>
      </c>
    </row>
    <row r="112" spans="1:7" ht="39" hidden="1" x14ac:dyDescent="0.2">
      <c r="A112" s="153" t="s">
        <v>34</v>
      </c>
      <c r="B112" s="77" t="str">
        <f>'t3'!S29</f>
        <v>Флуктуации температуры</v>
      </c>
      <c r="C112" s="77">
        <f>'t3'!T29</f>
        <v>1.6305740366168459E-2</v>
      </c>
      <c r="D112" s="77" t="str">
        <f>'t3'!U29</f>
        <v>Нормальное</v>
      </c>
      <c r="E112" s="91">
        <f>'t3'!V29</f>
        <v>1</v>
      </c>
      <c r="F112" s="335">
        <f>'t3'!W29</f>
        <v>1.6305740366168459E-2</v>
      </c>
      <c r="G112" s="335">
        <f>'t3'!X29</f>
        <v>2.6587716888889552E-4</v>
      </c>
    </row>
    <row r="113" spans="1:7" hidden="1" x14ac:dyDescent="0.2">
      <c r="A113" s="83"/>
      <c r="B113" s="83"/>
      <c r="C113" s="89"/>
      <c r="D113" s="83"/>
      <c r="E113" s="92"/>
      <c r="F113" s="337"/>
      <c r="G113" s="337"/>
    </row>
    <row r="114" spans="1:7" hidden="1" x14ac:dyDescent="0.2">
      <c r="A114" s="78" t="str">
        <f>"Cумма квадратов (σ²): "&amp;""&amp;'t3'!$S33</f>
        <v>Cумма квадратов (σ²): 0,006441</v>
      </c>
      <c r="B114" s="292"/>
      <c r="D114" s="292"/>
    </row>
    <row r="115" spans="1:7" hidden="1" x14ac:dyDescent="0.2">
      <c r="A115" s="79" t="str">
        <f>"Общая среднеквадратичная неопределенность (σ): ±"&amp;""&amp;'t3'!$V33&amp;" °C"</f>
        <v>Общая среднеквадратичная неопределенность (σ): ±0,08 °C</v>
      </c>
      <c r="B115" s="292"/>
      <c r="D115" s="292"/>
    </row>
    <row r="116" spans="1:7" hidden="1" x14ac:dyDescent="0.2">
      <c r="A116" s="82" t="str">
        <f>"Расширенная неопределенность при 95 % доверительной вероятности (2σ): ±"&amp;""&amp;'t3'!$X33&amp;" °C"</f>
        <v>Расширенная неопределенность при 95 % доверительной вероятности (2σ): ±0,161 °C</v>
      </c>
      <c r="B116" s="292"/>
      <c r="D116" s="292"/>
    </row>
    <row r="117" spans="1:7" hidden="1" x14ac:dyDescent="0.2">
      <c r="A117" s="292"/>
      <c r="B117" s="292"/>
      <c r="D117" s="292"/>
    </row>
    <row r="118" spans="1:7" hidden="1" x14ac:dyDescent="0.2">
      <c r="A118" s="425" t="s">
        <v>35</v>
      </c>
      <c r="B118" s="425"/>
      <c r="C118" s="425"/>
      <c r="D118" s="425"/>
      <c r="E118" s="425"/>
      <c r="F118" s="425"/>
      <c r="G118" s="425"/>
    </row>
    <row r="119" spans="1:7" hidden="1" x14ac:dyDescent="0.2">
      <c r="A119" s="425"/>
      <c r="B119" s="425"/>
      <c r="C119" s="425"/>
      <c r="D119" s="425"/>
      <c r="E119" s="425"/>
      <c r="F119" s="425"/>
      <c r="G119" s="425"/>
    </row>
    <row r="120" spans="1:7" hidden="1" x14ac:dyDescent="0.2">
      <c r="A120" s="425"/>
      <c r="B120" s="425"/>
      <c r="C120" s="425"/>
      <c r="D120" s="425"/>
      <c r="E120" s="425"/>
      <c r="F120" s="425"/>
      <c r="G120" s="425"/>
    </row>
    <row r="121" spans="1:7" hidden="1" x14ac:dyDescent="0.2">
      <c r="A121" s="425"/>
      <c r="B121" s="425"/>
      <c r="C121" s="425"/>
      <c r="D121" s="425"/>
      <c r="E121" s="425"/>
      <c r="F121" s="425"/>
      <c r="G121" s="425"/>
    </row>
    <row r="122" spans="1:7" hidden="1" x14ac:dyDescent="0.2">
      <c r="A122" s="425"/>
      <c r="B122" s="425"/>
      <c r="C122" s="425"/>
      <c r="D122" s="425"/>
      <c r="E122" s="425"/>
      <c r="F122" s="425"/>
      <c r="G122" s="425"/>
    </row>
    <row r="123" spans="1:7" hidden="1" x14ac:dyDescent="0.2">
      <c r="A123" s="292"/>
      <c r="B123" s="292"/>
      <c r="D123" s="292"/>
    </row>
    <row r="124" spans="1:7" hidden="1" x14ac:dyDescent="0.2">
      <c r="A124" s="292"/>
      <c r="B124" s="292"/>
      <c r="C124" s="292"/>
      <c r="D124" s="292"/>
    </row>
    <row r="125" spans="1:7" hidden="1" x14ac:dyDescent="0.2">
      <c r="A125" s="292"/>
      <c r="B125" s="292"/>
      <c r="C125" s="292"/>
      <c r="D125" s="292"/>
    </row>
    <row r="126" spans="1:7" hidden="1" x14ac:dyDescent="0.2">
      <c r="A126" s="292"/>
      <c r="B126" s="292"/>
      <c r="C126" s="292"/>
      <c r="D126" s="292"/>
    </row>
    <row r="127" spans="1:7" hidden="1" x14ac:dyDescent="0.2">
      <c r="A127" s="292"/>
      <c r="B127" s="292"/>
      <c r="C127" s="292"/>
      <c r="D127" s="292"/>
    </row>
    <row r="128" spans="1:7" hidden="1" x14ac:dyDescent="0.2">
      <c r="A128" s="66"/>
      <c r="B128" s="66"/>
      <c r="C128" s="110"/>
      <c r="D128" s="66"/>
      <c r="E128" s="111"/>
      <c r="F128" s="338"/>
      <c r="G128" s="338"/>
    </row>
    <row r="129" spans="1:7" hidden="1" x14ac:dyDescent="0.2">
      <c r="A129" s="66"/>
      <c r="B129" s="66"/>
      <c r="C129" s="110"/>
      <c r="D129" s="66"/>
      <c r="E129" s="111"/>
      <c r="F129" s="338"/>
      <c r="G129" s="338"/>
    </row>
    <row r="130" spans="1:7" ht="23.25" hidden="1" customHeight="1" x14ac:dyDescent="0.2">
      <c r="A130" s="426" t="str">
        <f>"Таблица Б.7 Расчёт неопределенностей по результам измерения при температуре "&amp;""&amp; 't4'!$C39&amp; " °С"</f>
        <v>Таблица Б.7 Расчёт неопределенностей по результам измерения при температуре -15 °С</v>
      </c>
      <c r="B130" s="426"/>
      <c r="C130" s="426"/>
      <c r="D130" s="426"/>
      <c r="E130" s="426"/>
      <c r="F130" s="426"/>
      <c r="G130" s="426"/>
    </row>
    <row r="131" spans="1:7" ht="38.25" hidden="1" x14ac:dyDescent="0.2">
      <c r="A131" s="305"/>
      <c r="B131" s="306" t="s">
        <v>7</v>
      </c>
      <c r="C131" s="307" t="s">
        <v>84</v>
      </c>
      <c r="D131" s="306" t="s">
        <v>9</v>
      </c>
      <c r="E131" s="308" t="s">
        <v>10</v>
      </c>
      <c r="F131" s="334" t="s">
        <v>88</v>
      </c>
      <c r="G131" s="334" t="s">
        <v>87</v>
      </c>
    </row>
    <row r="132" spans="1:7" hidden="1" x14ac:dyDescent="0.2">
      <c r="A132" s="422" t="s">
        <v>32</v>
      </c>
      <c r="B132" s="77" t="str">
        <f>'t4'!S4</f>
        <v>Поверка</v>
      </c>
      <c r="C132" s="77">
        <f>'t4'!T4</f>
        <v>0.1</v>
      </c>
      <c r="D132" s="77" t="str">
        <f>'t4'!U4</f>
        <v>Нормальное</v>
      </c>
      <c r="E132" s="91">
        <f>'t4'!V4</f>
        <v>2</v>
      </c>
      <c r="F132" s="335">
        <f>'t4'!W4</f>
        <v>0.05</v>
      </c>
      <c r="G132" s="335">
        <f>'t4'!X4</f>
        <v>2.5000000000000005E-3</v>
      </c>
    </row>
    <row r="133" spans="1:7" hidden="1" x14ac:dyDescent="0.2">
      <c r="A133" s="423"/>
      <c r="B133" s="77" t="str">
        <f>'t4'!S5</f>
        <v>Повторяемость*</v>
      </c>
      <c r="C133" s="77">
        <f>'t4'!T5</f>
        <v>0.01</v>
      </c>
      <c r="D133" s="77" t="str">
        <f>'t4'!U5</f>
        <v>Нормальное</v>
      </c>
      <c r="E133" s="91">
        <f>'t4'!V5</f>
        <v>1</v>
      </c>
      <c r="F133" s="335">
        <f>'t4'!W5</f>
        <v>0.01</v>
      </c>
      <c r="G133" s="335">
        <f>'t4'!X5</f>
        <v>1E-4</v>
      </c>
    </row>
    <row r="134" spans="1:7" hidden="1" x14ac:dyDescent="0.2">
      <c r="A134" s="423"/>
      <c r="B134" s="77" t="str">
        <f>'t4'!S6</f>
        <v>Гистерезис</v>
      </c>
      <c r="C134" s="77">
        <f>'t4'!T6</f>
        <v>0.01</v>
      </c>
      <c r="D134" s="77" t="str">
        <f>'t4'!U6</f>
        <v>Прямоугольное</v>
      </c>
      <c r="E134" s="91">
        <f>'t4'!V6</f>
        <v>1.73</v>
      </c>
      <c r="F134" s="335">
        <f>'t4'!W6</f>
        <v>5.7803468208092491E-3</v>
      </c>
      <c r="G134" s="335">
        <f>'t4'!X6</f>
        <v>3.3412409368839592E-5</v>
      </c>
    </row>
    <row r="135" spans="1:7" ht="25.5" hidden="1" x14ac:dyDescent="0.2">
      <c r="A135" s="423"/>
      <c r="B135" s="77" t="str">
        <f>'t4'!S7</f>
        <v>Влияние температуры</v>
      </c>
      <c r="C135" s="77">
        <f>'t4'!T7</f>
        <v>0.01</v>
      </c>
      <c r="D135" s="77" t="str">
        <f>'t4'!U7</f>
        <v>Прямоугольное</v>
      </c>
      <c r="E135" s="91">
        <f>'t4'!V7</f>
        <v>1.73</v>
      </c>
      <c r="F135" s="335">
        <f>'t4'!W7</f>
        <v>5.7803468208092491E-3</v>
      </c>
      <c r="G135" s="335">
        <f>'t4'!X7</f>
        <v>3.3412409368839592E-5</v>
      </c>
    </row>
    <row r="136" spans="1:7" hidden="1" x14ac:dyDescent="0.2">
      <c r="A136" s="423"/>
      <c r="B136" s="77" t="str">
        <f>'t4'!S8</f>
        <v>Дрейф*</v>
      </c>
      <c r="C136" s="77">
        <f>'t4'!T8</f>
        <v>0.1</v>
      </c>
      <c r="D136" s="77" t="str">
        <f>'t4'!U8</f>
        <v>Прямоугольное</v>
      </c>
      <c r="E136" s="91">
        <f>'t4'!V8</f>
        <v>1.73</v>
      </c>
      <c r="F136" s="335">
        <f>'t4'!W8</f>
        <v>5.7803468208092491E-2</v>
      </c>
      <c r="G136" s="335">
        <f>'t4'!X8</f>
        <v>3.3412409368839594E-3</v>
      </c>
    </row>
    <row r="137" spans="1:7" hidden="1" x14ac:dyDescent="0.2">
      <c r="A137" s="423"/>
      <c r="B137" s="77" t="str">
        <f>'t4'!S9</f>
        <v>Линейность</v>
      </c>
      <c r="C137" s="77">
        <f>'t4'!T9</f>
        <v>0.02</v>
      </c>
      <c r="D137" s="77" t="str">
        <f>'t4'!U9</f>
        <v>Прямоугольное</v>
      </c>
      <c r="E137" s="91">
        <f>'t4'!V9</f>
        <v>1.73</v>
      </c>
      <c r="F137" s="335">
        <f>'t4'!W9</f>
        <v>1.1560693641618498E-2</v>
      </c>
      <c r="G137" s="335">
        <f>'t4'!X9</f>
        <v>1.3364963747535837E-4</v>
      </c>
    </row>
    <row r="138" spans="1:7" ht="25.5" hidden="1" x14ac:dyDescent="0.2">
      <c r="A138" s="424"/>
      <c r="B138" s="77" t="str">
        <f>'t4'!S10</f>
        <v>Разрешающая способность</v>
      </c>
      <c r="C138" s="77">
        <f>'t4'!T40</f>
        <v>0</v>
      </c>
      <c r="D138" s="77" t="str">
        <f>'t4'!U10</f>
        <v>Прямоугольное</v>
      </c>
      <c r="E138" s="91">
        <f>'t4'!V10</f>
        <v>1.73</v>
      </c>
      <c r="F138" s="335">
        <f>'t4'!W10</f>
        <v>5.7803468208092491E-3</v>
      </c>
      <c r="G138" s="335">
        <f>'t4'!X10</f>
        <v>3.3412409368839592E-5</v>
      </c>
    </row>
    <row r="139" spans="1:7" hidden="1" x14ac:dyDescent="0.2">
      <c r="A139" s="427" t="s">
        <v>34</v>
      </c>
      <c r="B139" s="77" t="str">
        <f>'t4'!S11</f>
        <v>Градиент</v>
      </c>
      <c r="C139" s="77">
        <f>'t4'!T41</f>
        <v>0</v>
      </c>
      <c r="D139" s="77" t="str">
        <f>'t4'!U11</f>
        <v>Нормальное</v>
      </c>
      <c r="E139" s="91">
        <f>'t4'!V11</f>
        <v>1</v>
      </c>
      <c r="F139" s="335">
        <f>'t4'!W11</f>
        <v>0.29847398512276063</v>
      </c>
      <c r="G139" s="335">
        <f>'t4'!X11</f>
        <v>8.9086719795061942E-2</v>
      </c>
    </row>
    <row r="140" spans="1:7" ht="25.5" hidden="1" x14ac:dyDescent="0.2">
      <c r="A140" s="428"/>
      <c r="B140" s="77" t="str">
        <f>'t4'!S12</f>
        <v>Флуктуации температуры</v>
      </c>
      <c r="C140" s="77">
        <f>'t4'!T46</f>
        <v>0</v>
      </c>
      <c r="D140" s="77" t="str">
        <f>'t4'!U12</f>
        <v>Нормальное</v>
      </c>
      <c r="E140" s="91">
        <f>'t4'!V12</f>
        <v>1</v>
      </c>
      <c r="F140" s="335">
        <f>'t4'!W12</f>
        <v>1.6305740366168459E-2</v>
      </c>
      <c r="G140" s="335">
        <f>'t4'!X12</f>
        <v>2.6587716888889552E-4</v>
      </c>
    </row>
    <row r="141" spans="1:7" hidden="1" x14ac:dyDescent="0.2">
      <c r="A141" s="429"/>
      <c r="B141" s="77" t="str">
        <f>'t4'!S13</f>
        <v>Общее среднее</v>
      </c>
      <c r="C141" s="77">
        <f>'t4'!T42</f>
        <v>0</v>
      </c>
      <c r="D141" s="77" t="str">
        <f>'t4'!U13</f>
        <v>Нормальное</v>
      </c>
      <c r="E141" s="91">
        <f>'t4'!V13</f>
        <v>1</v>
      </c>
      <c r="F141" s="335">
        <f>'t4'!W13</f>
        <v>8.3642631664474474E-4</v>
      </c>
      <c r="G141" s="335">
        <f>'t4'!X13</f>
        <v>6.9960898317589478E-7</v>
      </c>
    </row>
    <row r="142" spans="1:7" hidden="1" x14ac:dyDescent="0.2">
      <c r="A142" s="76"/>
      <c r="B142" s="76"/>
      <c r="C142" s="88"/>
      <c r="D142" s="76"/>
      <c r="E142" s="81"/>
      <c r="F142" s="336"/>
      <c r="G142" s="336"/>
    </row>
    <row r="143" spans="1:7" hidden="1" x14ac:dyDescent="0.2">
      <c r="A143" s="78" t="str">
        <f>"Cумма квадратов (σ²): "&amp;""&amp;'t4'!$S17</f>
        <v>Cумма квадратов (σ²): 0,09552842</v>
      </c>
      <c r="B143" s="76"/>
      <c r="C143" s="88"/>
      <c r="D143" s="76"/>
      <c r="E143" s="81"/>
      <c r="F143" s="336"/>
      <c r="G143" s="336"/>
    </row>
    <row r="144" spans="1:7" hidden="1" x14ac:dyDescent="0.2">
      <c r="A144" s="79" t="str">
        <f>"Общая среднеквадратичная неопределенность (σ): ±"&amp;""&amp;'t4'!$V17&amp;" °C"</f>
        <v>Общая среднеквадратичная неопределенность (σ): ±0,309 °C</v>
      </c>
      <c r="B144" s="76"/>
      <c r="C144" s="88"/>
      <c r="D144" s="80"/>
      <c r="E144" s="81"/>
      <c r="F144" s="336"/>
      <c r="G144" s="336"/>
    </row>
    <row r="145" spans="1:7" hidden="1" x14ac:dyDescent="0.2">
      <c r="A145" s="82" t="str">
        <f>"Расширенная неопределенность при 95 % доверительной вероятности (2σ): ±"&amp;""&amp;'t4'!$X17&amp;" °C"</f>
        <v>Расширенная неопределенность при 95 % доверительной вероятности (2σ): ±0,618 °C</v>
      </c>
      <c r="B145" s="76"/>
      <c r="C145" s="88"/>
      <c r="D145" s="76"/>
      <c r="E145" s="81"/>
      <c r="F145" s="336"/>
      <c r="G145" s="336"/>
    </row>
    <row r="146" spans="1:7" hidden="1" x14ac:dyDescent="0.2">
      <c r="A146" s="82"/>
      <c r="B146" s="76"/>
      <c r="C146" s="88"/>
      <c r="D146" s="76"/>
      <c r="E146" s="81"/>
      <c r="F146" s="336"/>
      <c r="G146" s="336"/>
    </row>
    <row r="147" spans="1:7" hidden="1" x14ac:dyDescent="0.2">
      <c r="A147" s="426" t="str">
        <f>"Таблица Б.8 Расчёт неопределенностей температур в каждой точке установки датчиков при "&amp;'t4'!$C39&amp;" °С"</f>
        <v>Таблица Б.8 Расчёт неопределенностей температур в каждой точке установки датчиков при -15 °С</v>
      </c>
      <c r="B147" s="426"/>
      <c r="C147" s="426"/>
      <c r="D147" s="426"/>
      <c r="E147" s="426"/>
      <c r="F147" s="426"/>
      <c r="G147" s="426"/>
    </row>
    <row r="148" spans="1:7" ht="38.25" hidden="1" x14ac:dyDescent="0.2">
      <c r="A148" s="305"/>
      <c r="B148" s="306" t="s">
        <v>7</v>
      </c>
      <c r="C148" s="307" t="s">
        <v>84</v>
      </c>
      <c r="D148" s="306" t="s">
        <v>9</v>
      </c>
      <c r="E148" s="308" t="s">
        <v>10</v>
      </c>
      <c r="F148" s="334" t="s">
        <v>88</v>
      </c>
      <c r="G148" s="334" t="s">
        <v>87</v>
      </c>
    </row>
    <row r="149" spans="1:7" hidden="1" x14ac:dyDescent="0.2">
      <c r="A149" s="422" t="s">
        <v>32</v>
      </c>
      <c r="B149" s="77" t="str">
        <f>'t4'!S22</f>
        <v>Поверка</v>
      </c>
      <c r="C149" s="77">
        <f>'t4'!T22</f>
        <v>0.1</v>
      </c>
      <c r="D149" s="77" t="str">
        <f>'t4'!U22</f>
        <v>Нормальное</v>
      </c>
      <c r="E149" s="91">
        <f>'t4'!V22</f>
        <v>2</v>
      </c>
      <c r="F149" s="335">
        <f>'t4'!W22</f>
        <v>0.05</v>
      </c>
      <c r="G149" s="335">
        <f>'t4'!X22</f>
        <v>2.5000000000000005E-3</v>
      </c>
    </row>
    <row r="150" spans="1:7" hidden="1" x14ac:dyDescent="0.2">
      <c r="A150" s="423"/>
      <c r="B150" s="77" t="str">
        <f>'t4'!S23</f>
        <v>Повторяемость*</v>
      </c>
      <c r="C150" s="77">
        <f>'t4'!T23</f>
        <v>0.01</v>
      </c>
      <c r="D150" s="77" t="str">
        <f>'t4'!U23</f>
        <v>Нормальное</v>
      </c>
      <c r="E150" s="91">
        <f>'t4'!V23</f>
        <v>1</v>
      </c>
      <c r="F150" s="335">
        <f>'t4'!W23</f>
        <v>0.01</v>
      </c>
      <c r="G150" s="335">
        <f>'t4'!X23</f>
        <v>1E-4</v>
      </c>
    </row>
    <row r="151" spans="1:7" hidden="1" x14ac:dyDescent="0.2">
      <c r="A151" s="423"/>
      <c r="B151" s="77" t="str">
        <f>'t4'!S24</f>
        <v>Гистерезис</v>
      </c>
      <c r="C151" s="77">
        <f>'t4'!T24</f>
        <v>0.01</v>
      </c>
      <c r="D151" s="77" t="str">
        <f>'t4'!U24</f>
        <v>Прямоугольное</v>
      </c>
      <c r="E151" s="91">
        <f>'t4'!V24</f>
        <v>1.73</v>
      </c>
      <c r="F151" s="335">
        <f>'t4'!W24</f>
        <v>5.7803468208092491E-3</v>
      </c>
      <c r="G151" s="335">
        <f>'t4'!X24</f>
        <v>3.3412409368839592E-5</v>
      </c>
    </row>
    <row r="152" spans="1:7" ht="25.5" hidden="1" x14ac:dyDescent="0.2">
      <c r="A152" s="423"/>
      <c r="B152" s="77" t="str">
        <f>'t4'!S25</f>
        <v>Влияние температуры</v>
      </c>
      <c r="C152" s="77">
        <f>'t4'!T25</f>
        <v>0.01</v>
      </c>
      <c r="D152" s="77" t="str">
        <f>'t4'!U25</f>
        <v>Прямоугольное</v>
      </c>
      <c r="E152" s="91">
        <f>'t4'!V25</f>
        <v>1.73</v>
      </c>
      <c r="F152" s="335">
        <f>'t4'!W25</f>
        <v>5.7803468208092491E-3</v>
      </c>
      <c r="G152" s="335">
        <f>'t4'!X25</f>
        <v>3.3412409368839592E-5</v>
      </c>
    </row>
    <row r="153" spans="1:7" hidden="1" x14ac:dyDescent="0.2">
      <c r="A153" s="423"/>
      <c r="B153" s="77" t="str">
        <f>'t4'!S26</f>
        <v>Дрейф*</v>
      </c>
      <c r="C153" s="77">
        <f>'t4'!T26</f>
        <v>0.1</v>
      </c>
      <c r="D153" s="77" t="str">
        <f>'t4'!U26</f>
        <v>Прямоугольное</v>
      </c>
      <c r="E153" s="91">
        <f>'t4'!V26</f>
        <v>1.73</v>
      </c>
      <c r="F153" s="335">
        <f>'t4'!W26</f>
        <v>5.7803468208092491E-2</v>
      </c>
      <c r="G153" s="335">
        <f>'t4'!X26</f>
        <v>3.3412409368839594E-3</v>
      </c>
    </row>
    <row r="154" spans="1:7" hidden="1" x14ac:dyDescent="0.2">
      <c r="A154" s="423"/>
      <c r="B154" s="77" t="str">
        <f>'t4'!S27</f>
        <v>Линейность</v>
      </c>
      <c r="C154" s="77">
        <f>'t4'!T27</f>
        <v>0.02</v>
      </c>
      <c r="D154" s="77" t="str">
        <f>'t4'!U27</f>
        <v>Прямоугольное</v>
      </c>
      <c r="E154" s="91">
        <f>'t4'!V27</f>
        <v>1.73</v>
      </c>
      <c r="F154" s="335">
        <f>'t4'!W27</f>
        <v>1.1560693641618498E-2</v>
      </c>
      <c r="G154" s="335">
        <f>'t4'!X27</f>
        <v>1.3364963747535837E-4</v>
      </c>
    </row>
    <row r="155" spans="1:7" ht="25.5" hidden="1" x14ac:dyDescent="0.2">
      <c r="A155" s="424"/>
      <c r="B155" s="77" t="str">
        <f>'t4'!S28</f>
        <v>Разрешающая способность</v>
      </c>
      <c r="C155" s="77">
        <f>'t4'!T28</f>
        <v>0.01</v>
      </c>
      <c r="D155" s="77" t="str">
        <f>'t4'!U28</f>
        <v>Прямоугольное</v>
      </c>
      <c r="E155" s="91">
        <f>'t4'!V28</f>
        <v>1.73</v>
      </c>
      <c r="F155" s="335">
        <f>'t4'!W28</f>
        <v>5.7803468208092491E-3</v>
      </c>
      <c r="G155" s="335">
        <f>'t4'!X28</f>
        <v>3.3412409368839592E-5</v>
      </c>
    </row>
    <row r="156" spans="1:7" ht="39" hidden="1" x14ac:dyDescent="0.2">
      <c r="A156" s="153" t="s">
        <v>34</v>
      </c>
      <c r="B156" s="77" t="str">
        <f>'t4'!S29</f>
        <v>Флуктуации температуры</v>
      </c>
      <c r="C156" s="77">
        <f>'t4'!T29</f>
        <v>1.6305740366168459E-2</v>
      </c>
      <c r="D156" s="77" t="str">
        <f>'t4'!U29</f>
        <v>Нормальное</v>
      </c>
      <c r="E156" s="91">
        <f>'t4'!V29</f>
        <v>1</v>
      </c>
      <c r="F156" s="335">
        <f>'t4'!W29</f>
        <v>1.6305740366168459E-2</v>
      </c>
      <c r="G156" s="335">
        <f>'t4'!X29</f>
        <v>2.6587716888889552E-4</v>
      </c>
    </row>
    <row r="157" spans="1:7" hidden="1" x14ac:dyDescent="0.2">
      <c r="A157" s="83"/>
      <c r="B157" s="83"/>
      <c r="C157" s="89"/>
      <c r="D157" s="83"/>
      <c r="E157" s="92"/>
      <c r="F157" s="337"/>
      <c r="G157" s="337"/>
    </row>
    <row r="158" spans="1:7" hidden="1" x14ac:dyDescent="0.2">
      <c r="A158" s="78" t="str">
        <f>"Cумма квадратов (σ²): "&amp;""&amp;'t4'!$S33</f>
        <v>Cумма квадратов (σ²): 0,006441</v>
      </c>
      <c r="B158" s="292"/>
      <c r="D158" s="292"/>
    </row>
    <row r="159" spans="1:7" hidden="1" x14ac:dyDescent="0.2">
      <c r="A159" s="79" t="str">
        <f>"Общая среднеквадратичная неопределенность (σ): ±"&amp;""&amp;'t4'!$V33&amp;" °C"</f>
        <v>Общая среднеквадратичная неопределенность (σ): ±0,08 °C</v>
      </c>
      <c r="B159" s="292"/>
      <c r="D159" s="292"/>
    </row>
    <row r="160" spans="1:7" hidden="1" x14ac:dyDescent="0.2">
      <c r="A160" s="82" t="str">
        <f>"Расширенная неопределенность при 95 % доверительной вероятности (2σ): ±"&amp;""&amp;'t4'!$X33&amp;" °C"</f>
        <v>Расширенная неопределенность при 95 % доверительной вероятности (2σ): ±0,161 °C</v>
      </c>
      <c r="B160" s="292"/>
      <c r="D160" s="292"/>
    </row>
    <row r="161" spans="1:7" hidden="1" x14ac:dyDescent="0.2">
      <c r="A161" s="292"/>
      <c r="B161" s="292"/>
      <c r="D161" s="292"/>
    </row>
    <row r="162" spans="1:7" hidden="1" x14ac:dyDescent="0.2">
      <c r="A162" s="425" t="s">
        <v>35</v>
      </c>
      <c r="B162" s="425"/>
      <c r="C162" s="425"/>
      <c r="D162" s="425"/>
      <c r="E162" s="425"/>
      <c r="F162" s="425"/>
      <c r="G162" s="425"/>
    </row>
    <row r="163" spans="1:7" hidden="1" x14ac:dyDescent="0.2">
      <c r="A163" s="425"/>
      <c r="B163" s="425"/>
      <c r="C163" s="425"/>
      <c r="D163" s="425"/>
      <c r="E163" s="425"/>
      <c r="F163" s="425"/>
      <c r="G163" s="425"/>
    </row>
    <row r="164" spans="1:7" hidden="1" x14ac:dyDescent="0.2">
      <c r="A164" s="425"/>
      <c r="B164" s="425"/>
      <c r="C164" s="425"/>
      <c r="D164" s="425"/>
      <c r="E164" s="425"/>
      <c r="F164" s="425"/>
      <c r="G164" s="425"/>
    </row>
    <row r="165" spans="1:7" hidden="1" x14ac:dyDescent="0.2">
      <c r="A165" s="425"/>
      <c r="B165" s="425"/>
      <c r="C165" s="425"/>
      <c r="D165" s="425"/>
      <c r="E165" s="425"/>
      <c r="F165" s="425"/>
      <c r="G165" s="425"/>
    </row>
    <row r="166" spans="1:7" hidden="1" x14ac:dyDescent="0.2">
      <c r="A166" s="425"/>
      <c r="B166" s="425"/>
      <c r="C166" s="425"/>
      <c r="D166" s="425"/>
      <c r="E166" s="425"/>
      <c r="F166" s="425"/>
      <c r="G166" s="425"/>
    </row>
    <row r="167" spans="1:7" hidden="1" x14ac:dyDescent="0.2">
      <c r="A167" s="292"/>
      <c r="B167" s="292"/>
      <c r="D167" s="292"/>
    </row>
    <row r="168" spans="1:7" hidden="1" x14ac:dyDescent="0.2">
      <c r="A168" s="292"/>
      <c r="B168" s="292"/>
      <c r="C168" s="292"/>
      <c r="D168" s="292"/>
    </row>
    <row r="169" spans="1:7" hidden="1" x14ac:dyDescent="0.2">
      <c r="A169" s="292"/>
      <c r="B169" s="292"/>
      <c r="C169" s="292"/>
      <c r="D169" s="292"/>
    </row>
    <row r="170" spans="1:7" hidden="1" x14ac:dyDescent="0.2">
      <c r="A170" s="292"/>
      <c r="B170" s="292"/>
      <c r="C170" s="292"/>
      <c r="D170" s="292"/>
    </row>
    <row r="171" spans="1:7" hidden="1" x14ac:dyDescent="0.2">
      <c r="A171" s="292"/>
      <c r="B171" s="292"/>
      <c r="C171" s="292"/>
      <c r="D171" s="292"/>
    </row>
    <row r="172" spans="1:7" hidden="1" x14ac:dyDescent="0.2"/>
    <row r="173" spans="1:7" hidden="1" x14ac:dyDescent="0.2">
      <c r="A173" s="426" t="str">
        <f>"Таблица Б.9 Расчёт неопределенностей по результам измерения при температуре "&amp;'t5'!$C39&amp;" °С"</f>
        <v>Таблица Б.9 Расчёт неопределенностей по результам измерения при температуре 40 °С</v>
      </c>
      <c r="B173" s="426"/>
      <c r="C173" s="426"/>
      <c r="D173" s="426"/>
      <c r="E173" s="426"/>
      <c r="F173" s="426"/>
      <c r="G173" s="426"/>
    </row>
    <row r="174" spans="1:7" ht="38.25" hidden="1" x14ac:dyDescent="0.2">
      <c r="A174" s="305"/>
      <c r="B174" s="306" t="s">
        <v>7</v>
      </c>
      <c r="C174" s="307" t="s">
        <v>84</v>
      </c>
      <c r="D174" s="306" t="s">
        <v>9</v>
      </c>
      <c r="E174" s="308" t="s">
        <v>10</v>
      </c>
      <c r="F174" s="334" t="s">
        <v>88</v>
      </c>
      <c r="G174" s="334" t="s">
        <v>87</v>
      </c>
    </row>
    <row r="175" spans="1:7" hidden="1" x14ac:dyDescent="0.2">
      <c r="A175" s="422" t="s">
        <v>32</v>
      </c>
      <c r="B175" s="77" t="str">
        <f>'t5'!S4</f>
        <v>Поверка</v>
      </c>
      <c r="C175" s="77">
        <f>'t5'!T4</f>
        <v>0.1</v>
      </c>
      <c r="D175" s="77" t="str">
        <f>'t5'!U4</f>
        <v>Нормальное</v>
      </c>
      <c r="E175" s="91">
        <f>'t5'!V4</f>
        <v>2</v>
      </c>
      <c r="F175" s="335">
        <f>'t5'!W4</f>
        <v>0.05</v>
      </c>
      <c r="G175" s="335">
        <f>'t5'!X4</f>
        <v>2.5000000000000005E-3</v>
      </c>
    </row>
    <row r="176" spans="1:7" hidden="1" x14ac:dyDescent="0.2">
      <c r="A176" s="423"/>
      <c r="B176" s="77" t="str">
        <f>'t5'!S5</f>
        <v>Повторяемость*</v>
      </c>
      <c r="C176" s="77">
        <f>'t5'!T5</f>
        <v>0.01</v>
      </c>
      <c r="D176" s="77" t="str">
        <f>'t5'!U5</f>
        <v>Нормальное</v>
      </c>
      <c r="E176" s="91">
        <f>'t5'!V5</f>
        <v>1</v>
      </c>
      <c r="F176" s="335">
        <f>'t5'!W5</f>
        <v>0.01</v>
      </c>
      <c r="G176" s="335">
        <f>'t5'!X5</f>
        <v>1E-4</v>
      </c>
    </row>
    <row r="177" spans="1:7" hidden="1" x14ac:dyDescent="0.2">
      <c r="A177" s="423"/>
      <c r="B177" s="77" t="str">
        <f>'t5'!S6</f>
        <v>Гистерезис</v>
      </c>
      <c r="C177" s="77">
        <f>'t5'!T6</f>
        <v>0.01</v>
      </c>
      <c r="D177" s="77" t="str">
        <f>'t5'!U6</f>
        <v>Прямоугольное</v>
      </c>
      <c r="E177" s="91">
        <f>'t5'!V6</f>
        <v>1.73</v>
      </c>
      <c r="F177" s="335">
        <f>'t5'!W6</f>
        <v>5.7803468208092491E-3</v>
      </c>
      <c r="G177" s="335">
        <f>'t5'!X6</f>
        <v>3.3412409368839592E-5</v>
      </c>
    </row>
    <row r="178" spans="1:7" ht="25.5" hidden="1" x14ac:dyDescent="0.2">
      <c r="A178" s="423"/>
      <c r="B178" s="77" t="str">
        <f>'t5'!S7</f>
        <v>Влияние температуры</v>
      </c>
      <c r="C178" s="77">
        <f>'t5'!T7</f>
        <v>0.01</v>
      </c>
      <c r="D178" s="77" t="str">
        <f>'t5'!U7</f>
        <v>Прямоугольное</v>
      </c>
      <c r="E178" s="91">
        <f>'t5'!V7</f>
        <v>1.73</v>
      </c>
      <c r="F178" s="335">
        <f>'t5'!W7</f>
        <v>5.7803468208092491E-3</v>
      </c>
      <c r="G178" s="335">
        <f>'t5'!X7</f>
        <v>3.3412409368839592E-5</v>
      </c>
    </row>
    <row r="179" spans="1:7" hidden="1" x14ac:dyDescent="0.2">
      <c r="A179" s="423"/>
      <c r="B179" s="77" t="str">
        <f>'t5'!S8</f>
        <v>Дрейф*</v>
      </c>
      <c r="C179" s="77">
        <f>'t5'!T8</f>
        <v>0.1</v>
      </c>
      <c r="D179" s="77" t="str">
        <f>'t5'!U8</f>
        <v>Прямоугольное</v>
      </c>
      <c r="E179" s="91">
        <f>'t5'!V8</f>
        <v>1.73</v>
      </c>
      <c r="F179" s="335">
        <f>'t5'!W8</f>
        <v>5.7803468208092491E-2</v>
      </c>
      <c r="G179" s="335">
        <f>'t5'!X8</f>
        <v>3.3412409368839594E-3</v>
      </c>
    </row>
    <row r="180" spans="1:7" hidden="1" x14ac:dyDescent="0.2">
      <c r="A180" s="423"/>
      <c r="B180" s="77" t="str">
        <f>'t5'!S9</f>
        <v>Линейность</v>
      </c>
      <c r="C180" s="77">
        <f>'t5'!T9</f>
        <v>0.02</v>
      </c>
      <c r="D180" s="77" t="str">
        <f>'t5'!U9</f>
        <v>Прямоугольное</v>
      </c>
      <c r="E180" s="91">
        <f>'t5'!V9</f>
        <v>1.73</v>
      </c>
      <c r="F180" s="335">
        <f>'t5'!W9</f>
        <v>1.1560693641618498E-2</v>
      </c>
      <c r="G180" s="335">
        <f>'t5'!X9</f>
        <v>1.3364963747535837E-4</v>
      </c>
    </row>
    <row r="181" spans="1:7" ht="25.5" hidden="1" x14ac:dyDescent="0.2">
      <c r="A181" s="424"/>
      <c r="B181" s="77" t="str">
        <f>'t5'!S10</f>
        <v>Разрешающая способность</v>
      </c>
      <c r="C181" s="77">
        <f>'t5'!T50</f>
        <v>0</v>
      </c>
      <c r="D181" s="77" t="str">
        <f>'t5'!U10</f>
        <v>Прямоугольное</v>
      </c>
      <c r="E181" s="91">
        <f>'t5'!V10</f>
        <v>1.73</v>
      </c>
      <c r="F181" s="335">
        <f>'t5'!W10</f>
        <v>5.7803468208092491E-3</v>
      </c>
      <c r="G181" s="335">
        <f>'t5'!X10</f>
        <v>3.3412409368839592E-5</v>
      </c>
    </row>
    <row r="182" spans="1:7" hidden="1" x14ac:dyDescent="0.2">
      <c r="A182" s="427" t="s">
        <v>34</v>
      </c>
      <c r="B182" s="77" t="str">
        <f>'t5'!S11</f>
        <v>Градиент</v>
      </c>
      <c r="C182" s="77">
        <f>'t5'!T51</f>
        <v>0</v>
      </c>
      <c r="D182" s="77" t="str">
        <f>'t5'!U11</f>
        <v>Нормальное</v>
      </c>
      <c r="E182" s="91">
        <f>'t5'!V11</f>
        <v>1</v>
      </c>
      <c r="F182" s="335">
        <f>'t5'!W11</f>
        <v>0.29847398512276069</v>
      </c>
      <c r="G182" s="335">
        <f>'t5'!X11</f>
        <v>8.9086719795061969E-2</v>
      </c>
    </row>
    <row r="183" spans="1:7" ht="25.5" hidden="1" x14ac:dyDescent="0.2">
      <c r="A183" s="428"/>
      <c r="B183" s="77" t="str">
        <f>'t5'!S12</f>
        <v>Флуктуации температуры</v>
      </c>
      <c r="C183" s="77">
        <f>'t5'!T52</f>
        <v>0</v>
      </c>
      <c r="D183" s="77" t="str">
        <f>'t5'!U12</f>
        <v>Нормальное</v>
      </c>
      <c r="E183" s="91">
        <f>'t5'!V12</f>
        <v>1</v>
      </c>
      <c r="F183" s="335">
        <f>'t5'!W12</f>
        <v>1.6305740366168459E-2</v>
      </c>
      <c r="G183" s="335">
        <f>'t5'!X12</f>
        <v>2.6587716888889552E-4</v>
      </c>
    </row>
    <row r="184" spans="1:7" hidden="1" x14ac:dyDescent="0.2">
      <c r="A184" s="429"/>
      <c r="B184" s="77" t="str">
        <f>'t5'!S13</f>
        <v>Общее среднее</v>
      </c>
      <c r="C184" s="77">
        <f>'t5'!T53</f>
        <v>0</v>
      </c>
      <c r="D184" s="77" t="str">
        <f>'t5'!U13</f>
        <v>Нормальное</v>
      </c>
      <c r="E184" s="91">
        <f>'t5'!V13</f>
        <v>1</v>
      </c>
      <c r="F184" s="335">
        <f>'t5'!W13</f>
        <v>8.3642631664474474E-4</v>
      </c>
      <c r="G184" s="335">
        <f>'t5'!X13</f>
        <v>6.9960898317589478E-7</v>
      </c>
    </row>
    <row r="185" spans="1:7" hidden="1" x14ac:dyDescent="0.2">
      <c r="A185" s="76"/>
      <c r="B185" s="76"/>
      <c r="C185" s="88"/>
      <c r="D185" s="76"/>
      <c r="E185" s="81"/>
      <c r="F185" s="336"/>
      <c r="G185" s="336"/>
    </row>
    <row r="186" spans="1:7" hidden="1" x14ac:dyDescent="0.2">
      <c r="A186" s="78" t="str">
        <f>"Cумма квадратов (σ²): "&amp;""&amp;'t5'!$S17</f>
        <v>Cумма квадратов (σ²): 0,09552842</v>
      </c>
      <c r="B186" s="76"/>
      <c r="C186" s="88"/>
      <c r="D186" s="76"/>
      <c r="E186" s="81"/>
      <c r="F186" s="336"/>
      <c r="G186" s="336"/>
    </row>
    <row r="187" spans="1:7" hidden="1" x14ac:dyDescent="0.2">
      <c r="A187" s="79" t="str">
        <f>"Общая среднеквадратичная неопределенность (σ): ±"&amp;""&amp;'t5'!$V17&amp;" °C"</f>
        <v>Общая среднеквадратичная неопределенность (σ): ±0,309 °C</v>
      </c>
      <c r="B187" s="76"/>
      <c r="C187" s="88"/>
      <c r="D187" s="80"/>
      <c r="E187" s="81"/>
      <c r="F187" s="336"/>
      <c r="G187" s="336"/>
    </row>
    <row r="188" spans="1:7" hidden="1" x14ac:dyDescent="0.2">
      <c r="A188" s="82" t="str">
        <f>"Расширенная неопределенность при 95 % доверительной вероятности (2σ): ±"&amp;""&amp;'t5'!$X17&amp;" °C"</f>
        <v>Расширенная неопределенность при 95 % доверительной вероятности (2σ): ±0,618 °C</v>
      </c>
      <c r="B188" s="76"/>
      <c r="C188" s="88"/>
      <c r="D188" s="76"/>
      <c r="E188" s="81"/>
      <c r="F188" s="336"/>
      <c r="G188" s="336"/>
    </row>
    <row r="189" spans="1:7" hidden="1" x14ac:dyDescent="0.2">
      <c r="A189" s="82"/>
      <c r="B189" s="76"/>
      <c r="C189" s="88"/>
      <c r="D189" s="76"/>
      <c r="E189" s="81"/>
      <c r="F189" s="336"/>
      <c r="G189" s="336"/>
    </row>
    <row r="190" spans="1:7" hidden="1" x14ac:dyDescent="0.2">
      <c r="A190" s="426" t="str">
        <f>"Таблица Б.10 Расчёт неопределенностей температур в каждой точке установки датчиков при "&amp;'t5'!$C39&amp;" °С"</f>
        <v>Таблица Б.10 Расчёт неопределенностей температур в каждой точке установки датчиков при 40 °С</v>
      </c>
      <c r="B190" s="426"/>
      <c r="C190" s="426"/>
      <c r="D190" s="426"/>
      <c r="E190" s="426"/>
      <c r="F190" s="426"/>
      <c r="G190" s="426"/>
    </row>
    <row r="191" spans="1:7" ht="38.25" hidden="1" x14ac:dyDescent="0.2">
      <c r="A191" s="305"/>
      <c r="B191" s="306" t="s">
        <v>7</v>
      </c>
      <c r="C191" s="307" t="s">
        <v>84</v>
      </c>
      <c r="D191" s="306" t="s">
        <v>9</v>
      </c>
      <c r="E191" s="308" t="s">
        <v>10</v>
      </c>
      <c r="F191" s="334" t="s">
        <v>88</v>
      </c>
      <c r="G191" s="334" t="s">
        <v>87</v>
      </c>
    </row>
    <row r="192" spans="1:7" hidden="1" x14ac:dyDescent="0.2">
      <c r="A192" s="422" t="s">
        <v>32</v>
      </c>
      <c r="B192" s="77" t="str">
        <f>'t5'!S22</f>
        <v>Поверка</v>
      </c>
      <c r="C192" s="77">
        <f>'t5'!T22</f>
        <v>0.1</v>
      </c>
      <c r="D192" s="77" t="str">
        <f>'t5'!U22</f>
        <v>Нормальное</v>
      </c>
      <c r="E192" s="91">
        <f>'t5'!V22</f>
        <v>2</v>
      </c>
      <c r="F192" s="335">
        <f>'t5'!W22</f>
        <v>0.05</v>
      </c>
      <c r="G192" s="335">
        <f>'t5'!X22</f>
        <v>2.5000000000000005E-3</v>
      </c>
    </row>
    <row r="193" spans="1:7" hidden="1" x14ac:dyDescent="0.2">
      <c r="A193" s="423"/>
      <c r="B193" s="77" t="str">
        <f>'t5'!S23</f>
        <v>Повторяемость*</v>
      </c>
      <c r="C193" s="77">
        <f>'t5'!T23</f>
        <v>0.01</v>
      </c>
      <c r="D193" s="77" t="str">
        <f>'t5'!U23</f>
        <v>Нормальное</v>
      </c>
      <c r="E193" s="91">
        <f>'t5'!V23</f>
        <v>1</v>
      </c>
      <c r="F193" s="335">
        <f>'t5'!W23</f>
        <v>0.01</v>
      </c>
      <c r="G193" s="335">
        <f>'t5'!X23</f>
        <v>1E-4</v>
      </c>
    </row>
    <row r="194" spans="1:7" hidden="1" x14ac:dyDescent="0.2">
      <c r="A194" s="423"/>
      <c r="B194" s="77" t="str">
        <f>'t5'!S24</f>
        <v>Гистерезис</v>
      </c>
      <c r="C194" s="77">
        <f>'t5'!T24</f>
        <v>0.01</v>
      </c>
      <c r="D194" s="77" t="str">
        <f>'t5'!U24</f>
        <v>Прямоугольное</v>
      </c>
      <c r="E194" s="91">
        <f>'t5'!V24</f>
        <v>1.73</v>
      </c>
      <c r="F194" s="335">
        <f>'t5'!W24</f>
        <v>5.7803468208092491E-3</v>
      </c>
      <c r="G194" s="335">
        <f>'t5'!X24</f>
        <v>3.3412409368839592E-5</v>
      </c>
    </row>
    <row r="195" spans="1:7" ht="25.5" hidden="1" x14ac:dyDescent="0.2">
      <c r="A195" s="423"/>
      <c r="B195" s="77" t="str">
        <f>'t5'!S25</f>
        <v>Влияние температуры</v>
      </c>
      <c r="C195" s="77">
        <f>'t5'!T25</f>
        <v>0.01</v>
      </c>
      <c r="D195" s="77" t="str">
        <f>'t5'!U25</f>
        <v>Прямоугольное</v>
      </c>
      <c r="E195" s="91">
        <f>'t5'!V25</f>
        <v>1.73</v>
      </c>
      <c r="F195" s="335">
        <f>'t5'!W25</f>
        <v>5.7803468208092491E-3</v>
      </c>
      <c r="G195" s="335">
        <f>'t5'!X25</f>
        <v>3.3412409368839592E-5</v>
      </c>
    </row>
    <row r="196" spans="1:7" hidden="1" x14ac:dyDescent="0.2">
      <c r="A196" s="423"/>
      <c r="B196" s="77" t="str">
        <f>'t5'!S26</f>
        <v>Дрейф*</v>
      </c>
      <c r="C196" s="77">
        <f>'t5'!T26</f>
        <v>0.1</v>
      </c>
      <c r="D196" s="77" t="str">
        <f>'t5'!U26</f>
        <v>Прямоугольное</v>
      </c>
      <c r="E196" s="91">
        <f>'t5'!V26</f>
        <v>1.73</v>
      </c>
      <c r="F196" s="335">
        <f>'t5'!W26</f>
        <v>5.7803468208092491E-2</v>
      </c>
      <c r="G196" s="335">
        <f>'t5'!X26</f>
        <v>3.3412409368839594E-3</v>
      </c>
    </row>
    <row r="197" spans="1:7" hidden="1" x14ac:dyDescent="0.2">
      <c r="A197" s="423"/>
      <c r="B197" s="77" t="str">
        <f>'t5'!S27</f>
        <v>Линейность</v>
      </c>
      <c r="C197" s="77">
        <f>'t5'!T27</f>
        <v>0.02</v>
      </c>
      <c r="D197" s="77" t="str">
        <f>'t5'!U27</f>
        <v>Прямоугольное</v>
      </c>
      <c r="E197" s="91">
        <f>'t5'!V27</f>
        <v>1.73</v>
      </c>
      <c r="F197" s="335">
        <f>'t5'!W27</f>
        <v>1.1560693641618498E-2</v>
      </c>
      <c r="G197" s="335">
        <f>'t5'!X27</f>
        <v>1.3364963747535837E-4</v>
      </c>
    </row>
    <row r="198" spans="1:7" ht="25.5" hidden="1" x14ac:dyDescent="0.2">
      <c r="A198" s="424"/>
      <c r="B198" s="77" t="str">
        <f>'t5'!S28</f>
        <v>Разрешающая способность</v>
      </c>
      <c r="C198" s="77">
        <f>'t5'!T28</f>
        <v>0.01</v>
      </c>
      <c r="D198" s="77" t="str">
        <f>'t5'!U28</f>
        <v>Прямоугольное</v>
      </c>
      <c r="E198" s="91">
        <f>'t5'!V28</f>
        <v>1.73</v>
      </c>
      <c r="F198" s="335">
        <f>'t5'!W28</f>
        <v>5.7803468208092491E-3</v>
      </c>
      <c r="G198" s="335">
        <f>'t5'!X28</f>
        <v>3.3412409368839592E-5</v>
      </c>
    </row>
    <row r="199" spans="1:7" ht="39" hidden="1" x14ac:dyDescent="0.2">
      <c r="A199" s="153" t="s">
        <v>34</v>
      </c>
      <c r="B199" s="77" t="str">
        <f>'t5'!S29</f>
        <v>Флуктуации температуры</v>
      </c>
      <c r="C199" s="77">
        <f>'t5'!T29</f>
        <v>1.6305740366168459E-2</v>
      </c>
      <c r="D199" s="77" t="str">
        <f>'t5'!U29</f>
        <v>Нормальное</v>
      </c>
      <c r="E199" s="91">
        <f>'t5'!V29</f>
        <v>1</v>
      </c>
      <c r="F199" s="335">
        <f>'t5'!W29</f>
        <v>1.6305740366168459E-2</v>
      </c>
      <c r="G199" s="335">
        <f>'t5'!X29</f>
        <v>2.6587716888889552E-4</v>
      </c>
    </row>
    <row r="200" spans="1:7" hidden="1" x14ac:dyDescent="0.2">
      <c r="A200" s="83"/>
      <c r="B200" s="83"/>
      <c r="C200" s="89"/>
      <c r="D200" s="83"/>
      <c r="E200" s="92"/>
      <c r="F200" s="337"/>
      <c r="G200" s="337"/>
    </row>
    <row r="201" spans="1:7" hidden="1" x14ac:dyDescent="0.2">
      <c r="A201" s="78" t="str">
        <f>"Cумма квадратов (σ²): "&amp;""&amp;'t5'!$S33</f>
        <v>Cумма квадратов (σ²): 0,006441</v>
      </c>
      <c r="B201" s="292"/>
      <c r="D201" s="292"/>
    </row>
    <row r="202" spans="1:7" hidden="1" x14ac:dyDescent="0.2">
      <c r="A202" s="79" t="str">
        <f>"Общая среднеквадратичная неопределенность (σ): ±"&amp;""&amp;'t5'!$V33&amp;" °C"</f>
        <v>Общая среднеквадратичная неопределенность (σ): ±0,08 °C</v>
      </c>
      <c r="B202" s="292"/>
      <c r="D202" s="292"/>
    </row>
    <row r="203" spans="1:7" hidden="1" x14ac:dyDescent="0.2">
      <c r="A203" s="82" t="str">
        <f>"Расширенная неопределенность при 95 % доверительной вероятности (2σ): ±"&amp;""&amp;'t5'!$X33&amp;" °C"</f>
        <v>Расширенная неопределенность при 95 % доверительной вероятности (2σ): ±0,161 °C</v>
      </c>
      <c r="B203" s="292"/>
      <c r="D203" s="292"/>
    </row>
    <row r="204" spans="1:7" hidden="1" x14ac:dyDescent="0.2">
      <c r="A204" s="292"/>
      <c r="B204" s="292"/>
      <c r="D204" s="292"/>
    </row>
    <row r="205" spans="1:7" hidden="1" x14ac:dyDescent="0.2">
      <c r="A205" s="425" t="s">
        <v>35</v>
      </c>
      <c r="B205" s="425"/>
      <c r="C205" s="425"/>
      <c r="D205" s="425"/>
      <c r="E205" s="425"/>
      <c r="F205" s="425"/>
      <c r="G205" s="425"/>
    </row>
    <row r="206" spans="1:7" hidden="1" x14ac:dyDescent="0.2">
      <c r="A206" s="425"/>
      <c r="B206" s="425"/>
      <c r="C206" s="425"/>
      <c r="D206" s="425"/>
      <c r="E206" s="425"/>
      <c r="F206" s="425"/>
      <c r="G206" s="425"/>
    </row>
    <row r="207" spans="1:7" hidden="1" x14ac:dyDescent="0.2">
      <c r="A207" s="425"/>
      <c r="B207" s="425"/>
      <c r="C207" s="425"/>
      <c r="D207" s="425"/>
      <c r="E207" s="425"/>
      <c r="F207" s="425"/>
      <c r="G207" s="425"/>
    </row>
    <row r="208" spans="1:7" hidden="1" x14ac:dyDescent="0.2">
      <c r="A208" s="425"/>
      <c r="B208" s="425"/>
      <c r="C208" s="425"/>
      <c r="D208" s="425"/>
      <c r="E208" s="425"/>
      <c r="F208" s="425"/>
      <c r="G208" s="425"/>
    </row>
    <row r="209" spans="1:7" hidden="1" x14ac:dyDescent="0.2">
      <c r="A209" s="425"/>
      <c r="B209" s="425"/>
      <c r="C209" s="425"/>
      <c r="D209" s="425"/>
      <c r="E209" s="425"/>
      <c r="F209" s="425"/>
      <c r="G209" s="425"/>
    </row>
    <row r="210" spans="1:7" hidden="1" x14ac:dyDescent="0.2">
      <c r="A210" s="292"/>
      <c r="B210" s="292"/>
      <c r="D210" s="292"/>
    </row>
    <row r="211" spans="1:7" hidden="1" x14ac:dyDescent="0.2">
      <c r="A211" s="292"/>
      <c r="B211" s="292"/>
      <c r="C211" s="292"/>
      <c r="D211" s="292"/>
    </row>
    <row r="212" spans="1:7" hidden="1" x14ac:dyDescent="0.2">
      <c r="A212" s="292"/>
      <c r="B212" s="292"/>
      <c r="C212" s="292"/>
      <c r="D212" s="292"/>
    </row>
    <row r="213" spans="1:7" hidden="1" x14ac:dyDescent="0.2">
      <c r="A213" s="292"/>
      <c r="B213" s="292"/>
      <c r="C213" s="292"/>
      <c r="D213" s="292"/>
    </row>
    <row r="214" spans="1:7" hidden="1" x14ac:dyDescent="0.2">
      <c r="A214" s="292"/>
      <c r="B214" s="292"/>
      <c r="C214" s="292"/>
      <c r="D214" s="292"/>
    </row>
    <row r="215" spans="1:7" hidden="1" x14ac:dyDescent="0.2"/>
    <row r="216" spans="1:7" hidden="1" x14ac:dyDescent="0.2"/>
    <row r="217" spans="1:7" hidden="1" x14ac:dyDescent="0.2">
      <c r="A217" s="426" t="str">
        <f>"Таблица Б.11 Расчёт неопределенностей по результам измерения при температуре "&amp;""&amp; 't6'!$C39&amp; " °С"</f>
        <v>Таблица Б.11 Расчёт неопределенностей по результам измерения при температуре 25 °С</v>
      </c>
      <c r="B217" s="426"/>
      <c r="C217" s="426"/>
      <c r="D217" s="426"/>
      <c r="E217" s="426"/>
      <c r="F217" s="426"/>
      <c r="G217" s="426"/>
    </row>
    <row r="218" spans="1:7" ht="38.25" hidden="1" x14ac:dyDescent="0.2">
      <c r="A218" s="305"/>
      <c r="B218" s="306" t="s">
        <v>7</v>
      </c>
      <c r="C218" s="307" t="s">
        <v>84</v>
      </c>
      <c r="D218" s="306" t="s">
        <v>9</v>
      </c>
      <c r="E218" s="308" t="s">
        <v>10</v>
      </c>
      <c r="F218" s="334" t="s">
        <v>88</v>
      </c>
      <c r="G218" s="334" t="s">
        <v>87</v>
      </c>
    </row>
    <row r="219" spans="1:7" hidden="1" x14ac:dyDescent="0.2">
      <c r="A219" s="422" t="s">
        <v>32</v>
      </c>
      <c r="B219" s="77" t="str">
        <f>'t6'!S4</f>
        <v>Поверка</v>
      </c>
      <c r="C219" s="77">
        <f>'t6'!T4</f>
        <v>0.1</v>
      </c>
      <c r="D219" s="77" t="str">
        <f>'t6'!U4</f>
        <v>Нормальное</v>
      </c>
      <c r="E219" s="91">
        <f>'t6'!V4</f>
        <v>2</v>
      </c>
      <c r="F219" s="335">
        <f>'t6'!W4</f>
        <v>0.05</v>
      </c>
      <c r="G219" s="335">
        <f>'t6'!X4</f>
        <v>2.5000000000000005E-3</v>
      </c>
    </row>
    <row r="220" spans="1:7" hidden="1" x14ac:dyDescent="0.2">
      <c r="A220" s="423"/>
      <c r="B220" s="77" t="str">
        <f>'t6'!S5</f>
        <v>Повторяемость*</v>
      </c>
      <c r="C220" s="77">
        <f>'t6'!T5</f>
        <v>0.01</v>
      </c>
      <c r="D220" s="77" t="str">
        <f>'t6'!U5</f>
        <v>Нормальное</v>
      </c>
      <c r="E220" s="91">
        <f>'t6'!V5</f>
        <v>1</v>
      </c>
      <c r="F220" s="335">
        <f>'t6'!W5</f>
        <v>0.01</v>
      </c>
      <c r="G220" s="335">
        <f>'t6'!X5</f>
        <v>1E-4</v>
      </c>
    </row>
    <row r="221" spans="1:7" hidden="1" x14ac:dyDescent="0.2">
      <c r="A221" s="423"/>
      <c r="B221" s="77" t="str">
        <f>'t6'!S6</f>
        <v>Гистерезис</v>
      </c>
      <c r="C221" s="77">
        <f>'t6'!T6</f>
        <v>0.01</v>
      </c>
      <c r="D221" s="77" t="str">
        <f>'t6'!U6</f>
        <v>Прямоугольное</v>
      </c>
      <c r="E221" s="91">
        <f>'t6'!V6</f>
        <v>1.73</v>
      </c>
      <c r="F221" s="335">
        <f>'t6'!W6</f>
        <v>5.7803468208092491E-3</v>
      </c>
      <c r="G221" s="335">
        <f>'t6'!X6</f>
        <v>3.3412409368839592E-5</v>
      </c>
    </row>
    <row r="222" spans="1:7" ht="25.5" hidden="1" x14ac:dyDescent="0.2">
      <c r="A222" s="423"/>
      <c r="B222" s="77" t="str">
        <f>'t6'!S7</f>
        <v>Влияние температуры</v>
      </c>
      <c r="C222" s="77">
        <f>'t6'!T7</f>
        <v>0.01</v>
      </c>
      <c r="D222" s="77" t="str">
        <f>'t6'!U7</f>
        <v>Прямоугольное</v>
      </c>
      <c r="E222" s="91">
        <f>'t6'!V7</f>
        <v>1.73</v>
      </c>
      <c r="F222" s="335">
        <f>'t6'!W7</f>
        <v>5.7803468208092491E-3</v>
      </c>
      <c r="G222" s="335">
        <f>'t6'!X7</f>
        <v>3.3412409368839592E-5</v>
      </c>
    </row>
    <row r="223" spans="1:7" hidden="1" x14ac:dyDescent="0.2">
      <c r="A223" s="423"/>
      <c r="B223" s="77" t="str">
        <f>'t6'!S8</f>
        <v>Дрейф*</v>
      </c>
      <c r="C223" s="77">
        <f>'t6'!T8</f>
        <v>0.1</v>
      </c>
      <c r="D223" s="77" t="str">
        <f>'t6'!U8</f>
        <v>Прямоугольное</v>
      </c>
      <c r="E223" s="91">
        <f>'t6'!V8</f>
        <v>1.73</v>
      </c>
      <c r="F223" s="335">
        <f>'t6'!W8</f>
        <v>5.7803468208092491E-2</v>
      </c>
      <c r="G223" s="335">
        <f>'t6'!X8</f>
        <v>3.3412409368839594E-3</v>
      </c>
    </row>
    <row r="224" spans="1:7" hidden="1" x14ac:dyDescent="0.2">
      <c r="A224" s="423"/>
      <c r="B224" s="77" t="str">
        <f>'t6'!S9</f>
        <v>Линейность</v>
      </c>
      <c r="C224" s="77">
        <f>'t6'!T9</f>
        <v>0.02</v>
      </c>
      <c r="D224" s="77" t="str">
        <f>'t6'!U9</f>
        <v>Прямоугольное</v>
      </c>
      <c r="E224" s="91">
        <f>'t6'!V9</f>
        <v>1.73</v>
      </c>
      <c r="F224" s="335">
        <f>'t6'!W9</f>
        <v>1.1560693641618498E-2</v>
      </c>
      <c r="G224" s="335">
        <f>'t6'!X9</f>
        <v>1.3364963747535837E-4</v>
      </c>
    </row>
    <row r="225" spans="1:7" ht="25.5" hidden="1" x14ac:dyDescent="0.2">
      <c r="A225" s="424"/>
      <c r="B225" s="77" t="str">
        <f>'t6'!S10</f>
        <v>Разрешающая способность</v>
      </c>
      <c r="C225" s="77">
        <f>'t6'!T60</f>
        <v>0</v>
      </c>
      <c r="D225" s="77" t="str">
        <f>'t6'!U10</f>
        <v>Прямоугольное</v>
      </c>
      <c r="E225" s="91">
        <f>'t6'!V10</f>
        <v>1.73</v>
      </c>
      <c r="F225" s="335">
        <f>'t6'!W10</f>
        <v>5.7803468208092491E-3</v>
      </c>
      <c r="G225" s="335">
        <f>'t6'!X10</f>
        <v>3.3412409368839592E-5</v>
      </c>
    </row>
    <row r="226" spans="1:7" hidden="1" x14ac:dyDescent="0.2">
      <c r="A226" s="427" t="s">
        <v>34</v>
      </c>
      <c r="B226" s="77" t="str">
        <f>'t6'!S11</f>
        <v>Градиент</v>
      </c>
      <c r="C226" s="77">
        <f>'t6'!T61</f>
        <v>0</v>
      </c>
      <c r="D226" s="77" t="str">
        <f>'t6'!U11</f>
        <v>Нормальное</v>
      </c>
      <c r="E226" s="91">
        <f>'t6'!V11</f>
        <v>1</v>
      </c>
      <c r="F226" s="335">
        <f>'t6'!W11</f>
        <v>0.29847398512276063</v>
      </c>
      <c r="G226" s="335">
        <f>'t6'!X11</f>
        <v>8.9086719795061942E-2</v>
      </c>
    </row>
    <row r="227" spans="1:7" ht="25.5" hidden="1" x14ac:dyDescent="0.2">
      <c r="A227" s="428"/>
      <c r="B227" s="77" t="str">
        <f>'t6'!S12</f>
        <v>Флуктуации температуры</v>
      </c>
      <c r="C227" s="77">
        <f>'t6'!T62</f>
        <v>0</v>
      </c>
      <c r="D227" s="77" t="str">
        <f>'t6'!U12</f>
        <v>Нормальное</v>
      </c>
      <c r="E227" s="91">
        <f>'t6'!V12</f>
        <v>1</v>
      </c>
      <c r="F227" s="335">
        <f>'t6'!W12</f>
        <v>1.6305740366168459E-2</v>
      </c>
      <c r="G227" s="335">
        <f>'t6'!X12</f>
        <v>2.6587716888889552E-4</v>
      </c>
    </row>
    <row r="228" spans="1:7" hidden="1" x14ac:dyDescent="0.2">
      <c r="A228" s="429"/>
      <c r="B228" s="77" t="str">
        <f>'t6'!S13</f>
        <v>Общее среднее</v>
      </c>
      <c r="C228" s="77">
        <f>'t6'!T63</f>
        <v>0</v>
      </c>
      <c r="D228" s="77" t="str">
        <f>'t6'!U13</f>
        <v>Нормальное</v>
      </c>
      <c r="E228" s="91">
        <f>'t6'!V13</f>
        <v>1</v>
      </c>
      <c r="F228" s="335">
        <f>'t6'!W13</f>
        <v>8.3642631664474496E-4</v>
      </c>
      <c r="G228" s="335">
        <f>'t6'!X13</f>
        <v>6.996089831758952E-7</v>
      </c>
    </row>
    <row r="229" spans="1:7" hidden="1" x14ac:dyDescent="0.2">
      <c r="A229" s="76"/>
      <c r="B229" s="76"/>
      <c r="C229" s="88"/>
      <c r="D229" s="76"/>
      <c r="E229" s="81"/>
      <c r="F229" s="336"/>
      <c r="G229" s="336"/>
    </row>
    <row r="230" spans="1:7" hidden="1" x14ac:dyDescent="0.2">
      <c r="A230" s="78" t="str">
        <f>"Cумма квадратов (σ²): "&amp;""&amp;'t6'!$S17</f>
        <v>Cумма квадратов (σ²): 0,09552842</v>
      </c>
      <c r="B230" s="76"/>
      <c r="C230" s="88"/>
      <c r="D230" s="76"/>
      <c r="E230" s="81"/>
      <c r="F230" s="336"/>
      <c r="G230" s="336"/>
    </row>
    <row r="231" spans="1:7" hidden="1" x14ac:dyDescent="0.2">
      <c r="A231" s="79" t="str">
        <f>"Общая среднеквадратичная неопределенность (σ): ±"&amp;""&amp;'t6'!$V17&amp;" °C"</f>
        <v>Общая среднеквадратичная неопределенность (σ): ±0,309 °C</v>
      </c>
      <c r="B231" s="76"/>
      <c r="C231" s="88"/>
      <c r="D231" s="80"/>
      <c r="E231" s="81"/>
      <c r="F231" s="336"/>
      <c r="G231" s="336"/>
    </row>
    <row r="232" spans="1:7" hidden="1" x14ac:dyDescent="0.2">
      <c r="A232" s="82" t="str">
        <f>"Расширенная неопределенность при 95 % доверительной вероятности (2σ): ±"&amp;""&amp;'t6'!$X17&amp;" °C"</f>
        <v>Расширенная неопределенность при 95 % доверительной вероятности (2σ): ±0,618 °C</v>
      </c>
      <c r="B232" s="76"/>
      <c r="C232" s="88"/>
      <c r="D232" s="76"/>
      <c r="E232" s="81"/>
      <c r="F232" s="336"/>
      <c r="G232" s="336"/>
    </row>
    <row r="233" spans="1:7" hidden="1" x14ac:dyDescent="0.2">
      <c r="A233" s="82"/>
      <c r="B233" s="76"/>
      <c r="C233" s="88"/>
      <c r="D233" s="76"/>
      <c r="E233" s="81"/>
      <c r="F233" s="336"/>
      <c r="G233" s="336"/>
    </row>
    <row r="234" spans="1:7" hidden="1" x14ac:dyDescent="0.2">
      <c r="A234" s="426" t="str">
        <f>"Таблица Б.12 Расчёт неопределенностей температур в каждой точке установки датчиков при "&amp;'t6'!$C39&amp;" °С"</f>
        <v>Таблица Б.12 Расчёт неопределенностей температур в каждой точке установки датчиков при 25 °С</v>
      </c>
      <c r="B234" s="426"/>
      <c r="C234" s="426"/>
      <c r="D234" s="426"/>
      <c r="E234" s="426"/>
      <c r="F234" s="426"/>
      <c r="G234" s="426"/>
    </row>
    <row r="235" spans="1:7" ht="38.25" hidden="1" x14ac:dyDescent="0.2">
      <c r="A235" s="305"/>
      <c r="B235" s="306" t="s">
        <v>7</v>
      </c>
      <c r="C235" s="307" t="s">
        <v>84</v>
      </c>
      <c r="D235" s="306" t="s">
        <v>9</v>
      </c>
      <c r="E235" s="308" t="s">
        <v>10</v>
      </c>
      <c r="F235" s="334" t="s">
        <v>88</v>
      </c>
      <c r="G235" s="334" t="s">
        <v>87</v>
      </c>
    </row>
    <row r="236" spans="1:7" hidden="1" x14ac:dyDescent="0.2">
      <c r="A236" s="422" t="s">
        <v>32</v>
      </c>
      <c r="B236" s="77" t="str">
        <f>'t6'!S22</f>
        <v>Поверка</v>
      </c>
      <c r="C236" s="77">
        <f>'t6'!T22</f>
        <v>0.1</v>
      </c>
      <c r="D236" s="77" t="str">
        <f>'t6'!U22</f>
        <v>Нормальное</v>
      </c>
      <c r="E236" s="91">
        <f>'t6'!V22</f>
        <v>2</v>
      </c>
      <c r="F236" s="335">
        <f>'t6'!W22</f>
        <v>0.05</v>
      </c>
      <c r="G236" s="335">
        <f>'t6'!X22</f>
        <v>2.5000000000000005E-3</v>
      </c>
    </row>
    <row r="237" spans="1:7" hidden="1" x14ac:dyDescent="0.2">
      <c r="A237" s="423"/>
      <c r="B237" s="77" t="str">
        <f>'t6'!S23</f>
        <v>Повторяемость*</v>
      </c>
      <c r="C237" s="77">
        <f>'t6'!T23</f>
        <v>0.01</v>
      </c>
      <c r="D237" s="77" t="str">
        <f>'t6'!U23</f>
        <v>Нормальное</v>
      </c>
      <c r="E237" s="91">
        <f>'t6'!V23</f>
        <v>1</v>
      </c>
      <c r="F237" s="335">
        <f>'t6'!W23</f>
        <v>0.01</v>
      </c>
      <c r="G237" s="335">
        <f>'t6'!X23</f>
        <v>1E-4</v>
      </c>
    </row>
    <row r="238" spans="1:7" hidden="1" x14ac:dyDescent="0.2">
      <c r="A238" s="423"/>
      <c r="B238" s="77" t="str">
        <f>'t6'!S24</f>
        <v>Гистерезис</v>
      </c>
      <c r="C238" s="77">
        <f>'t6'!T24</f>
        <v>0.01</v>
      </c>
      <c r="D238" s="77" t="str">
        <f>'t6'!U24</f>
        <v>Прямоугольное</v>
      </c>
      <c r="E238" s="91">
        <f>'t6'!V24</f>
        <v>1.73</v>
      </c>
      <c r="F238" s="335">
        <f>'t6'!W24</f>
        <v>5.7803468208092491E-3</v>
      </c>
      <c r="G238" s="335">
        <f>'t6'!X24</f>
        <v>3.3412409368839592E-5</v>
      </c>
    </row>
    <row r="239" spans="1:7" ht="25.5" hidden="1" x14ac:dyDescent="0.2">
      <c r="A239" s="423"/>
      <c r="B239" s="77" t="str">
        <f>'t6'!S25</f>
        <v>Влияние температуры</v>
      </c>
      <c r="C239" s="77">
        <f>'t6'!T25</f>
        <v>0.01</v>
      </c>
      <c r="D239" s="77" t="str">
        <f>'t6'!U25</f>
        <v>Прямоугольное</v>
      </c>
      <c r="E239" s="91">
        <f>'t6'!V25</f>
        <v>1.73</v>
      </c>
      <c r="F239" s="335">
        <f>'t6'!W25</f>
        <v>5.7803468208092491E-3</v>
      </c>
      <c r="G239" s="335">
        <f>'t6'!X25</f>
        <v>3.3412409368839592E-5</v>
      </c>
    </row>
    <row r="240" spans="1:7" hidden="1" x14ac:dyDescent="0.2">
      <c r="A240" s="423"/>
      <c r="B240" s="77" t="str">
        <f>'t6'!S26</f>
        <v>Дрейф*</v>
      </c>
      <c r="C240" s="77">
        <f>'t6'!T26</f>
        <v>0.1</v>
      </c>
      <c r="D240" s="77" t="str">
        <f>'t6'!U26</f>
        <v>Прямоугольное</v>
      </c>
      <c r="E240" s="91">
        <f>'t6'!V26</f>
        <v>1.73</v>
      </c>
      <c r="F240" s="335">
        <f>'t6'!W26</f>
        <v>5.7803468208092491E-2</v>
      </c>
      <c r="G240" s="335">
        <f>'t6'!X26</f>
        <v>3.3412409368839594E-3</v>
      </c>
    </row>
    <row r="241" spans="1:7" hidden="1" x14ac:dyDescent="0.2">
      <c r="A241" s="423"/>
      <c r="B241" s="77" t="str">
        <f>'t6'!S27</f>
        <v>Линейность</v>
      </c>
      <c r="C241" s="77">
        <f>'t6'!T27</f>
        <v>0.02</v>
      </c>
      <c r="D241" s="77" t="str">
        <f>'t6'!U27</f>
        <v>Прямоугольное</v>
      </c>
      <c r="E241" s="91">
        <f>'t6'!V27</f>
        <v>1.73</v>
      </c>
      <c r="F241" s="335">
        <f>'t6'!W27</f>
        <v>1.1560693641618498E-2</v>
      </c>
      <c r="G241" s="335">
        <f>'t6'!X27</f>
        <v>1.3364963747535837E-4</v>
      </c>
    </row>
    <row r="242" spans="1:7" ht="25.5" hidden="1" x14ac:dyDescent="0.2">
      <c r="A242" s="424"/>
      <c r="B242" s="77" t="str">
        <f>'t6'!S28</f>
        <v>Разрешающая способность</v>
      </c>
      <c r="C242" s="77">
        <f>'t6'!T28</f>
        <v>0.01</v>
      </c>
      <c r="D242" s="77" t="str">
        <f>'t6'!U28</f>
        <v>Прямоугольное</v>
      </c>
      <c r="E242" s="91">
        <f>'t6'!V28</f>
        <v>1.73</v>
      </c>
      <c r="F242" s="335">
        <f>'t6'!W28</f>
        <v>5.7803468208092491E-3</v>
      </c>
      <c r="G242" s="335">
        <f>'t6'!X28</f>
        <v>3.3412409368839592E-5</v>
      </c>
    </row>
    <row r="243" spans="1:7" ht="39" hidden="1" x14ac:dyDescent="0.2">
      <c r="A243" s="153" t="s">
        <v>34</v>
      </c>
      <c r="B243" s="77" t="str">
        <f>'t6'!S29</f>
        <v>Флуктуации температуры</v>
      </c>
      <c r="C243" s="77">
        <f>'t6'!T29</f>
        <v>1.6305740366168459E-2</v>
      </c>
      <c r="D243" s="77" t="str">
        <f>'t6'!U29</f>
        <v>Нормальное</v>
      </c>
      <c r="E243" s="91">
        <f>'t6'!V29</f>
        <v>1</v>
      </c>
      <c r="F243" s="335">
        <f>'t6'!W29</f>
        <v>1.6305740366168459E-2</v>
      </c>
      <c r="G243" s="335">
        <f>'t6'!X29</f>
        <v>2.6587716888889552E-4</v>
      </c>
    </row>
    <row r="244" spans="1:7" hidden="1" x14ac:dyDescent="0.2">
      <c r="A244" s="83"/>
      <c r="B244" s="83"/>
      <c r="C244" s="89"/>
      <c r="D244" s="83"/>
      <c r="E244" s="92"/>
      <c r="F244" s="337"/>
      <c r="G244" s="337"/>
    </row>
    <row r="245" spans="1:7" hidden="1" x14ac:dyDescent="0.2">
      <c r="A245" s="78" t="str">
        <f>"Cумма квадратов (σ²): "&amp;""&amp;'t6'!$S33</f>
        <v>Cумма квадратов (σ²): 0,006441</v>
      </c>
      <c r="B245" s="292"/>
      <c r="D245" s="292"/>
    </row>
    <row r="246" spans="1:7" hidden="1" x14ac:dyDescent="0.2">
      <c r="A246" s="79" t="str">
        <f>"Общая среднеквадратичная неопределенность (σ): ±"&amp;""&amp;'t6'!$V33&amp;" °C"</f>
        <v>Общая среднеквадратичная неопределенность (σ): ±0,08 °C</v>
      </c>
      <c r="B246" s="292"/>
      <c r="D246" s="292"/>
    </row>
    <row r="247" spans="1:7" hidden="1" x14ac:dyDescent="0.2">
      <c r="A247" s="82" t="str">
        <f>"Расширенная неопределенность при 95 % доверительной вероятности (2σ): ±"&amp;""&amp;'t6'!$X33&amp;" °C"</f>
        <v>Расширенная неопределенность при 95 % доверительной вероятности (2σ): ±0,161 °C</v>
      </c>
      <c r="B247" s="292"/>
      <c r="D247" s="292"/>
    </row>
    <row r="248" spans="1:7" hidden="1" x14ac:dyDescent="0.2">
      <c r="A248" s="292"/>
      <c r="B248" s="292"/>
      <c r="D248" s="292"/>
    </row>
    <row r="249" spans="1:7" hidden="1" x14ac:dyDescent="0.2">
      <c r="A249" s="425" t="s">
        <v>35</v>
      </c>
      <c r="B249" s="425"/>
      <c r="C249" s="425"/>
      <c r="D249" s="425"/>
      <c r="E249" s="425"/>
      <c r="F249" s="425"/>
      <c r="G249" s="425"/>
    </row>
    <row r="250" spans="1:7" hidden="1" x14ac:dyDescent="0.2">
      <c r="A250" s="425"/>
      <c r="B250" s="425"/>
      <c r="C250" s="425"/>
      <c r="D250" s="425"/>
      <c r="E250" s="425"/>
      <c r="F250" s="425"/>
      <c r="G250" s="425"/>
    </row>
    <row r="251" spans="1:7" hidden="1" x14ac:dyDescent="0.2">
      <c r="A251" s="425"/>
      <c r="B251" s="425"/>
      <c r="C251" s="425"/>
      <c r="D251" s="425"/>
      <c r="E251" s="425"/>
      <c r="F251" s="425"/>
      <c r="G251" s="425"/>
    </row>
    <row r="252" spans="1:7" hidden="1" x14ac:dyDescent="0.2">
      <c r="A252" s="425"/>
      <c r="B252" s="425"/>
      <c r="C252" s="425"/>
      <c r="D252" s="425"/>
      <c r="E252" s="425"/>
      <c r="F252" s="425"/>
      <c r="G252" s="425"/>
    </row>
    <row r="253" spans="1:7" hidden="1" x14ac:dyDescent="0.2">
      <c r="A253" s="425"/>
      <c r="B253" s="425"/>
      <c r="C253" s="425"/>
      <c r="D253" s="425"/>
      <c r="E253" s="425"/>
      <c r="F253" s="425"/>
      <c r="G253" s="425"/>
    </row>
    <row r="254" spans="1:7" hidden="1" x14ac:dyDescent="0.2">
      <c r="A254" s="292"/>
      <c r="B254" s="292"/>
      <c r="D254" s="292"/>
    </row>
    <row r="255" spans="1:7" hidden="1" x14ac:dyDescent="0.2">
      <c r="A255" s="292"/>
      <c r="B255" s="292"/>
      <c r="C255" s="292"/>
      <c r="D255" s="292"/>
    </row>
    <row r="256" spans="1:7" hidden="1" x14ac:dyDescent="0.2">
      <c r="A256" s="292"/>
      <c r="B256" s="292"/>
      <c r="C256" s="292"/>
      <c r="D256" s="292"/>
    </row>
    <row r="257" spans="1:7" hidden="1" x14ac:dyDescent="0.2">
      <c r="A257" s="292"/>
      <c r="B257" s="292"/>
      <c r="C257" s="292"/>
      <c r="D257" s="292"/>
    </row>
    <row r="258" spans="1:7" hidden="1" x14ac:dyDescent="0.2">
      <c r="A258" s="292"/>
      <c r="B258" s="292"/>
      <c r="C258" s="292"/>
      <c r="D258" s="292"/>
    </row>
    <row r="259" spans="1:7" hidden="1" x14ac:dyDescent="0.2"/>
    <row r="260" spans="1:7" hidden="1" x14ac:dyDescent="0.2"/>
    <row r="261" spans="1:7" hidden="1" x14ac:dyDescent="0.2">
      <c r="A261" s="426" t="str">
        <f>"Таблица Б.13 Расчёт неопределенностей по результам измерения при температуре "&amp;""&amp; 't7'!$C39&amp; " °С"</f>
        <v>Таблица Б.13 Расчёт неопределенностей по результам измерения при температуре 45 °С</v>
      </c>
      <c r="B261" s="426"/>
      <c r="C261" s="426"/>
      <c r="D261" s="426"/>
      <c r="E261" s="426"/>
      <c r="F261" s="426"/>
      <c r="G261" s="426"/>
    </row>
    <row r="262" spans="1:7" ht="38.25" hidden="1" x14ac:dyDescent="0.2">
      <c r="A262" s="305"/>
      <c r="B262" s="306" t="s">
        <v>7</v>
      </c>
      <c r="C262" s="307" t="s">
        <v>84</v>
      </c>
      <c r="D262" s="306" t="s">
        <v>9</v>
      </c>
      <c r="E262" s="308" t="s">
        <v>10</v>
      </c>
      <c r="F262" s="334" t="s">
        <v>88</v>
      </c>
      <c r="G262" s="334" t="s">
        <v>87</v>
      </c>
    </row>
    <row r="263" spans="1:7" hidden="1" x14ac:dyDescent="0.2">
      <c r="A263" s="422" t="s">
        <v>32</v>
      </c>
      <c r="B263" s="77" t="str">
        <f>'t7'!S4</f>
        <v>Поверка</v>
      </c>
      <c r="C263" s="77">
        <f>'t7'!T4</f>
        <v>0.1</v>
      </c>
      <c r="D263" s="77" t="str">
        <f>'t7'!U4</f>
        <v>Нормальное</v>
      </c>
      <c r="E263" s="91">
        <f>'t7'!V4</f>
        <v>2</v>
      </c>
      <c r="F263" s="335">
        <f>'t7'!W4</f>
        <v>0.05</v>
      </c>
      <c r="G263" s="335">
        <f>'t7'!X4</f>
        <v>2.5000000000000005E-3</v>
      </c>
    </row>
    <row r="264" spans="1:7" hidden="1" x14ac:dyDescent="0.2">
      <c r="A264" s="423"/>
      <c r="B264" s="77" t="str">
        <f>'t7'!S5</f>
        <v>Повторяемость*</v>
      </c>
      <c r="C264" s="77">
        <f>'t7'!T5</f>
        <v>0.01</v>
      </c>
      <c r="D264" s="77" t="str">
        <f>'t7'!U5</f>
        <v>Нормальное</v>
      </c>
      <c r="E264" s="91">
        <f>'t7'!V5</f>
        <v>1</v>
      </c>
      <c r="F264" s="335">
        <f>'t7'!W5</f>
        <v>0.01</v>
      </c>
      <c r="G264" s="335">
        <f>'t7'!X5</f>
        <v>1E-4</v>
      </c>
    </row>
    <row r="265" spans="1:7" hidden="1" x14ac:dyDescent="0.2">
      <c r="A265" s="423"/>
      <c r="B265" s="77" t="str">
        <f>'t7'!S6</f>
        <v>Гистерезис</v>
      </c>
      <c r="C265" s="77">
        <f>'t7'!T6</f>
        <v>0.01</v>
      </c>
      <c r="D265" s="77" t="str">
        <f>'t7'!U6</f>
        <v>Прямоугольное</v>
      </c>
      <c r="E265" s="91">
        <f>'t7'!V6</f>
        <v>1.73</v>
      </c>
      <c r="F265" s="335">
        <f>'t7'!W6</f>
        <v>5.7803468208092491E-3</v>
      </c>
      <c r="G265" s="335">
        <f>'t7'!X6</f>
        <v>3.3412409368839592E-5</v>
      </c>
    </row>
    <row r="266" spans="1:7" ht="25.5" hidden="1" x14ac:dyDescent="0.2">
      <c r="A266" s="423"/>
      <c r="B266" s="77" t="str">
        <f>'t7'!S7</f>
        <v>Влияние температуры</v>
      </c>
      <c r="C266" s="77">
        <f>'t7'!T7</f>
        <v>0.01</v>
      </c>
      <c r="D266" s="77" t="str">
        <f>'t7'!U7</f>
        <v>Прямоугольное</v>
      </c>
      <c r="E266" s="91">
        <f>'t7'!V7</f>
        <v>1.73</v>
      </c>
      <c r="F266" s="335">
        <f>'t7'!W7</f>
        <v>5.7803468208092491E-3</v>
      </c>
      <c r="G266" s="335">
        <f>'t7'!X7</f>
        <v>3.3412409368839592E-5</v>
      </c>
    </row>
    <row r="267" spans="1:7" hidden="1" x14ac:dyDescent="0.2">
      <c r="A267" s="423"/>
      <c r="B267" s="77" t="str">
        <f>'t7'!S8</f>
        <v>Дрейф*</v>
      </c>
      <c r="C267" s="77">
        <f>'t7'!T8</f>
        <v>0.1</v>
      </c>
      <c r="D267" s="77" t="str">
        <f>'t7'!U8</f>
        <v>Прямоугольное</v>
      </c>
      <c r="E267" s="91">
        <f>'t7'!V8</f>
        <v>1.73</v>
      </c>
      <c r="F267" s="335">
        <f>'t7'!W8</f>
        <v>5.7803468208092491E-2</v>
      </c>
      <c r="G267" s="335">
        <f>'t7'!X8</f>
        <v>3.3412409368839594E-3</v>
      </c>
    </row>
    <row r="268" spans="1:7" hidden="1" x14ac:dyDescent="0.2">
      <c r="A268" s="423"/>
      <c r="B268" s="77" t="str">
        <f>'t7'!S9</f>
        <v>Линейность</v>
      </c>
      <c r="C268" s="77">
        <f>'t7'!T9</f>
        <v>0.02</v>
      </c>
      <c r="D268" s="77" t="str">
        <f>'t7'!U9</f>
        <v>Прямоугольное</v>
      </c>
      <c r="E268" s="91">
        <f>'t7'!V9</f>
        <v>1.73</v>
      </c>
      <c r="F268" s="335">
        <f>'t7'!W9</f>
        <v>1.1560693641618498E-2</v>
      </c>
      <c r="G268" s="335">
        <f>'t7'!X9</f>
        <v>1.3364963747535837E-4</v>
      </c>
    </row>
    <row r="269" spans="1:7" ht="25.5" hidden="1" x14ac:dyDescent="0.2">
      <c r="A269" s="424"/>
      <c r="B269" s="77" t="str">
        <f>'t7'!S10</f>
        <v>Разрешающая способность</v>
      </c>
      <c r="C269" s="77">
        <f>'t7'!T70</f>
        <v>0</v>
      </c>
      <c r="D269" s="77" t="str">
        <f>'t7'!U10</f>
        <v>Прямоугольное</v>
      </c>
      <c r="E269" s="91">
        <f>'t7'!V10</f>
        <v>1.73</v>
      </c>
      <c r="F269" s="335">
        <f>'t7'!W10</f>
        <v>5.7803468208092491E-3</v>
      </c>
      <c r="G269" s="335">
        <f>'t7'!X10</f>
        <v>3.3412409368839592E-5</v>
      </c>
    </row>
    <row r="270" spans="1:7" hidden="1" x14ac:dyDescent="0.2">
      <c r="A270" s="427" t="s">
        <v>34</v>
      </c>
      <c r="B270" s="77" t="str">
        <f>'t7'!S11</f>
        <v>Градиент</v>
      </c>
      <c r="C270" s="77">
        <f>'t7'!T71</f>
        <v>0</v>
      </c>
      <c r="D270" s="77" t="str">
        <f>'t7'!U11</f>
        <v>Нормальное</v>
      </c>
      <c r="E270" s="91">
        <f>'t7'!V11</f>
        <v>1</v>
      </c>
      <c r="F270" s="335">
        <f>'t7'!W11</f>
        <v>0.29847398512276063</v>
      </c>
      <c r="G270" s="335">
        <f>'t7'!X11</f>
        <v>8.9086719795061942E-2</v>
      </c>
    </row>
    <row r="271" spans="1:7" ht="25.5" hidden="1" x14ac:dyDescent="0.2">
      <c r="A271" s="428"/>
      <c r="B271" s="77" t="str">
        <f>'t7'!S12</f>
        <v>Флуктуации температуры</v>
      </c>
      <c r="C271" s="77">
        <f>'t7'!T72</f>
        <v>0</v>
      </c>
      <c r="D271" s="77" t="str">
        <f>'t7'!U12</f>
        <v>Нормальное</v>
      </c>
      <c r="E271" s="91">
        <f>'t7'!V12</f>
        <v>1</v>
      </c>
      <c r="F271" s="335">
        <f>'t7'!W12</f>
        <v>1.6305740366168459E-2</v>
      </c>
      <c r="G271" s="335">
        <f>'t7'!X12</f>
        <v>2.6587716888889552E-4</v>
      </c>
    </row>
    <row r="272" spans="1:7" hidden="1" x14ac:dyDescent="0.2">
      <c r="A272" s="429"/>
      <c r="B272" s="77" t="str">
        <f>'t7'!S13</f>
        <v>Общее среднее</v>
      </c>
      <c r="C272" s="77">
        <f>'t7'!T73</f>
        <v>0</v>
      </c>
      <c r="D272" s="77" t="str">
        <f>'t7'!U13</f>
        <v>Нормальное</v>
      </c>
      <c r="E272" s="91">
        <f>'t7'!V13</f>
        <v>1</v>
      </c>
      <c r="F272" s="335">
        <f>'t7'!W13</f>
        <v>8.3642631664474485E-4</v>
      </c>
      <c r="G272" s="335">
        <f>'t7'!X13</f>
        <v>6.9960898317589499E-7</v>
      </c>
    </row>
    <row r="273" spans="1:7" hidden="1" x14ac:dyDescent="0.2">
      <c r="A273" s="76"/>
      <c r="B273" s="76"/>
      <c r="C273" s="88"/>
      <c r="D273" s="76"/>
      <c r="E273" s="81"/>
      <c r="F273" s="336"/>
      <c r="G273" s="336"/>
    </row>
    <row r="274" spans="1:7" hidden="1" x14ac:dyDescent="0.2">
      <c r="A274" s="78" t="str">
        <f>"Cумма квадратов (σ²): "&amp;""&amp;'t7'!$S17</f>
        <v>Cумма квадратов (σ²): 0,09552842</v>
      </c>
      <c r="B274" s="76"/>
      <c r="C274" s="88"/>
      <c r="D274" s="76"/>
      <c r="E274" s="81"/>
      <c r="F274" s="336"/>
      <c r="G274" s="336"/>
    </row>
    <row r="275" spans="1:7" hidden="1" x14ac:dyDescent="0.2">
      <c r="A275" s="79" t="str">
        <f>"Общая среднеквадратичная неопределенность (σ): ±"&amp;""&amp;'t7'!$V17&amp;" °C"</f>
        <v>Общая среднеквадратичная неопределенность (σ): ±0,309 °C</v>
      </c>
      <c r="B275" s="76"/>
      <c r="C275" s="88"/>
      <c r="D275" s="80"/>
      <c r="E275" s="81"/>
      <c r="F275" s="336"/>
      <c r="G275" s="336"/>
    </row>
    <row r="276" spans="1:7" hidden="1" x14ac:dyDescent="0.2">
      <c r="A276" s="82" t="str">
        <f>"Расширенная неопределенность при 95 % доверительной вероятности (2σ): ±"&amp;""&amp;'t7'!$X17&amp;" °C"</f>
        <v>Расширенная неопределенность при 95 % доверительной вероятности (2σ): ±0,618 °C</v>
      </c>
      <c r="B276" s="76"/>
      <c r="C276" s="88"/>
      <c r="D276" s="76"/>
      <c r="E276" s="81"/>
      <c r="F276" s="336"/>
      <c r="G276" s="336"/>
    </row>
    <row r="277" spans="1:7" hidden="1" x14ac:dyDescent="0.2">
      <c r="A277" s="82"/>
      <c r="B277" s="76"/>
      <c r="C277" s="88"/>
      <c r="D277" s="76"/>
      <c r="E277" s="81"/>
      <c r="F277" s="336"/>
      <c r="G277" s="336"/>
    </row>
    <row r="278" spans="1:7" hidden="1" x14ac:dyDescent="0.2">
      <c r="A278" s="426" t="str">
        <f>"Таблица Б.14 Расчёт неопределенностей температур в каждой точке установки датчиков при "&amp;'t7'!$C39&amp;" °С"</f>
        <v>Таблица Б.14 Расчёт неопределенностей температур в каждой точке установки датчиков при 45 °С</v>
      </c>
      <c r="B278" s="426"/>
      <c r="C278" s="426"/>
      <c r="D278" s="426"/>
      <c r="E278" s="426"/>
      <c r="F278" s="426"/>
      <c r="G278" s="426"/>
    </row>
    <row r="279" spans="1:7" ht="38.25" hidden="1" x14ac:dyDescent="0.2">
      <c r="A279" s="305"/>
      <c r="B279" s="306" t="s">
        <v>7</v>
      </c>
      <c r="C279" s="307" t="s">
        <v>84</v>
      </c>
      <c r="D279" s="306" t="s">
        <v>9</v>
      </c>
      <c r="E279" s="308" t="s">
        <v>10</v>
      </c>
      <c r="F279" s="334" t="s">
        <v>88</v>
      </c>
      <c r="G279" s="334" t="s">
        <v>87</v>
      </c>
    </row>
    <row r="280" spans="1:7" hidden="1" x14ac:dyDescent="0.2">
      <c r="A280" s="422" t="s">
        <v>32</v>
      </c>
      <c r="B280" s="77" t="str">
        <f>'t7'!S22</f>
        <v>Поверка</v>
      </c>
      <c r="C280" s="77">
        <f>'t7'!T22</f>
        <v>0.1</v>
      </c>
      <c r="D280" s="77" t="str">
        <f>'t7'!U22</f>
        <v>Нормальное</v>
      </c>
      <c r="E280" s="91">
        <f>'t7'!V22</f>
        <v>2</v>
      </c>
      <c r="F280" s="335">
        <f>'t7'!W22</f>
        <v>0.05</v>
      </c>
      <c r="G280" s="335">
        <f>'t7'!X22</f>
        <v>2.5000000000000005E-3</v>
      </c>
    </row>
    <row r="281" spans="1:7" hidden="1" x14ac:dyDescent="0.2">
      <c r="A281" s="423"/>
      <c r="B281" s="77" t="str">
        <f>'t7'!S23</f>
        <v>Повторяемость*</v>
      </c>
      <c r="C281" s="77">
        <f>'t7'!T23</f>
        <v>0.01</v>
      </c>
      <c r="D281" s="77" t="str">
        <f>'t7'!U23</f>
        <v>Нормальное</v>
      </c>
      <c r="E281" s="91">
        <f>'t7'!V23</f>
        <v>1</v>
      </c>
      <c r="F281" s="335">
        <f>'t7'!W23</f>
        <v>0.01</v>
      </c>
      <c r="G281" s="335">
        <f>'t7'!X23</f>
        <v>1E-4</v>
      </c>
    </row>
    <row r="282" spans="1:7" hidden="1" x14ac:dyDescent="0.2">
      <c r="A282" s="423"/>
      <c r="B282" s="77" t="str">
        <f>'t7'!S24</f>
        <v>Гистерезис</v>
      </c>
      <c r="C282" s="77">
        <f>'t7'!T24</f>
        <v>0.01</v>
      </c>
      <c r="D282" s="77" t="str">
        <f>'t7'!U24</f>
        <v>Прямоугольное</v>
      </c>
      <c r="E282" s="91">
        <f>'t7'!V24</f>
        <v>1.73</v>
      </c>
      <c r="F282" s="335">
        <f>'t7'!W24</f>
        <v>5.7803468208092491E-3</v>
      </c>
      <c r="G282" s="335">
        <f>'t7'!X24</f>
        <v>3.3412409368839592E-5</v>
      </c>
    </row>
    <row r="283" spans="1:7" ht="25.5" hidden="1" x14ac:dyDescent="0.2">
      <c r="A283" s="423"/>
      <c r="B283" s="77" t="str">
        <f>'t7'!S25</f>
        <v>Влияние температуры</v>
      </c>
      <c r="C283" s="77">
        <f>'t7'!T25</f>
        <v>0.01</v>
      </c>
      <c r="D283" s="77" t="str">
        <f>'t7'!U25</f>
        <v>Прямоугольное</v>
      </c>
      <c r="E283" s="91">
        <f>'t7'!V25</f>
        <v>1.73</v>
      </c>
      <c r="F283" s="335">
        <f>'t7'!W25</f>
        <v>5.7803468208092491E-3</v>
      </c>
      <c r="G283" s="335">
        <f>'t7'!X25</f>
        <v>3.3412409368839592E-5</v>
      </c>
    </row>
    <row r="284" spans="1:7" hidden="1" x14ac:dyDescent="0.2">
      <c r="A284" s="423"/>
      <c r="B284" s="77" t="str">
        <f>'t7'!S26</f>
        <v>Дрейф*</v>
      </c>
      <c r="C284" s="77">
        <f>'t7'!T26</f>
        <v>0.1</v>
      </c>
      <c r="D284" s="77" t="str">
        <f>'t7'!U26</f>
        <v>Прямоугольное</v>
      </c>
      <c r="E284" s="91">
        <f>'t7'!V26</f>
        <v>1.73</v>
      </c>
      <c r="F284" s="335">
        <f>'t7'!W26</f>
        <v>5.7803468208092491E-2</v>
      </c>
      <c r="G284" s="335">
        <f>'t7'!X26</f>
        <v>3.3412409368839594E-3</v>
      </c>
    </row>
    <row r="285" spans="1:7" hidden="1" x14ac:dyDescent="0.2">
      <c r="A285" s="423"/>
      <c r="B285" s="77" t="str">
        <f>'t7'!S27</f>
        <v>Линейность</v>
      </c>
      <c r="C285" s="77">
        <f>'t7'!T27</f>
        <v>0.02</v>
      </c>
      <c r="D285" s="77" t="str">
        <f>'t7'!U27</f>
        <v>Прямоугольное</v>
      </c>
      <c r="E285" s="91">
        <f>'t7'!V27</f>
        <v>1.73</v>
      </c>
      <c r="F285" s="335">
        <f>'t7'!W27</f>
        <v>1.1560693641618498E-2</v>
      </c>
      <c r="G285" s="335">
        <f>'t7'!X27</f>
        <v>1.3364963747535837E-4</v>
      </c>
    </row>
    <row r="286" spans="1:7" ht="25.5" hidden="1" x14ac:dyDescent="0.2">
      <c r="A286" s="424"/>
      <c r="B286" s="77" t="str">
        <f>'t7'!S28</f>
        <v>Разрешающая способность</v>
      </c>
      <c r="C286" s="77">
        <f>'t7'!T28</f>
        <v>0.01</v>
      </c>
      <c r="D286" s="77" t="str">
        <f>'t7'!U28</f>
        <v>Прямоугольное</v>
      </c>
      <c r="E286" s="91">
        <f>'t7'!V28</f>
        <v>1.73</v>
      </c>
      <c r="F286" s="335">
        <f>'t7'!W28</f>
        <v>5.7803468208092491E-3</v>
      </c>
      <c r="G286" s="335">
        <f>'t7'!X28</f>
        <v>3.3412409368839592E-5</v>
      </c>
    </row>
    <row r="287" spans="1:7" ht="39" hidden="1" x14ac:dyDescent="0.2">
      <c r="A287" s="153" t="s">
        <v>34</v>
      </c>
      <c r="B287" s="77" t="str">
        <f>'t7'!S29</f>
        <v>Флуктуации температуры</v>
      </c>
      <c r="C287" s="77">
        <f>'t7'!T29</f>
        <v>1.6305740366168459E-2</v>
      </c>
      <c r="D287" s="77" t="str">
        <f>'t7'!U29</f>
        <v>Нормальное</v>
      </c>
      <c r="E287" s="91">
        <f>'t7'!V29</f>
        <v>1</v>
      </c>
      <c r="F287" s="335">
        <f>'t7'!W29</f>
        <v>1.6305740366168459E-2</v>
      </c>
      <c r="G287" s="335">
        <f>'t7'!X29</f>
        <v>2.6587716888889552E-4</v>
      </c>
    </row>
    <row r="288" spans="1:7" hidden="1" x14ac:dyDescent="0.2">
      <c r="A288" s="83"/>
      <c r="B288" s="83"/>
      <c r="C288" s="89"/>
      <c r="D288" s="83"/>
      <c r="E288" s="92"/>
      <c r="F288" s="337"/>
      <c r="G288" s="337"/>
    </row>
    <row r="289" spans="1:7" hidden="1" x14ac:dyDescent="0.2">
      <c r="A289" s="78" t="str">
        <f>"Cумма квадратов (σ²): "&amp;""&amp;'t7'!$S33</f>
        <v>Cумма квадратов (σ²): 0,006441</v>
      </c>
      <c r="B289" s="292"/>
      <c r="D289" s="292"/>
    </row>
    <row r="290" spans="1:7" hidden="1" x14ac:dyDescent="0.2">
      <c r="A290" s="79" t="str">
        <f>"Общая среднеквадратичная неопределенность (σ): ±"&amp;""&amp;'t7'!$V33&amp;" °C"</f>
        <v>Общая среднеквадратичная неопределенность (σ): ±0,08 °C</v>
      </c>
      <c r="B290" s="292"/>
      <c r="D290" s="292"/>
    </row>
    <row r="291" spans="1:7" hidden="1" x14ac:dyDescent="0.2">
      <c r="A291" s="82" t="str">
        <f>"Расширенная неопределенность при 95 % доверительной вероятности (2σ): ±"&amp;""&amp;'t7'!$X33&amp;" °C"</f>
        <v>Расширенная неопределенность при 95 % доверительной вероятности (2σ): ±0,161 °C</v>
      </c>
      <c r="B291" s="292"/>
      <c r="D291" s="292"/>
    </row>
    <row r="292" spans="1:7" hidden="1" x14ac:dyDescent="0.2">
      <c r="A292" s="292"/>
      <c r="B292" s="292"/>
      <c r="D292" s="292"/>
    </row>
    <row r="293" spans="1:7" hidden="1" x14ac:dyDescent="0.2">
      <c r="A293" s="425" t="s">
        <v>35</v>
      </c>
      <c r="B293" s="425"/>
      <c r="C293" s="425"/>
      <c r="D293" s="425"/>
      <c r="E293" s="425"/>
      <c r="F293" s="425"/>
      <c r="G293" s="425"/>
    </row>
    <row r="294" spans="1:7" hidden="1" x14ac:dyDescent="0.2">
      <c r="A294" s="425"/>
      <c r="B294" s="425"/>
      <c r="C294" s="425"/>
      <c r="D294" s="425"/>
      <c r="E294" s="425"/>
      <c r="F294" s="425"/>
      <c r="G294" s="425"/>
    </row>
    <row r="295" spans="1:7" hidden="1" x14ac:dyDescent="0.2">
      <c r="A295" s="425"/>
      <c r="B295" s="425"/>
      <c r="C295" s="425"/>
      <c r="D295" s="425"/>
      <c r="E295" s="425"/>
      <c r="F295" s="425"/>
      <c r="G295" s="425"/>
    </row>
    <row r="296" spans="1:7" hidden="1" x14ac:dyDescent="0.2">
      <c r="A296" s="425"/>
      <c r="B296" s="425"/>
      <c r="C296" s="425"/>
      <c r="D296" s="425"/>
      <c r="E296" s="425"/>
      <c r="F296" s="425"/>
      <c r="G296" s="425"/>
    </row>
    <row r="297" spans="1:7" hidden="1" x14ac:dyDescent="0.2">
      <c r="A297" s="425"/>
      <c r="B297" s="425"/>
      <c r="C297" s="425"/>
      <c r="D297" s="425"/>
      <c r="E297" s="425"/>
      <c r="F297" s="425"/>
      <c r="G297" s="425"/>
    </row>
    <row r="298" spans="1:7" hidden="1" x14ac:dyDescent="0.2">
      <c r="A298" s="292"/>
      <c r="B298" s="292"/>
      <c r="D298" s="292"/>
    </row>
    <row r="299" spans="1:7" hidden="1" x14ac:dyDescent="0.2">
      <c r="A299" s="292"/>
      <c r="B299" s="292"/>
      <c r="C299" s="292"/>
      <c r="D299" s="292"/>
    </row>
    <row r="300" spans="1:7" hidden="1" x14ac:dyDescent="0.2">
      <c r="A300" s="292"/>
      <c r="B300" s="292"/>
      <c r="C300" s="292"/>
      <c r="D300" s="292"/>
    </row>
    <row r="301" spans="1:7" hidden="1" x14ac:dyDescent="0.2">
      <c r="A301" s="292"/>
      <c r="B301" s="292"/>
      <c r="C301" s="292"/>
      <c r="D301" s="292"/>
    </row>
    <row r="302" spans="1:7" hidden="1" x14ac:dyDescent="0.2">
      <c r="A302" s="292"/>
      <c r="B302" s="292"/>
      <c r="C302" s="292"/>
      <c r="D302" s="292"/>
    </row>
    <row r="303" spans="1:7" hidden="1" x14ac:dyDescent="0.2"/>
    <row r="304" spans="1:7" hidden="1" x14ac:dyDescent="0.2"/>
    <row r="305" spans="1:7" hidden="1" x14ac:dyDescent="0.2">
      <c r="A305" s="426" t="str">
        <f>"Таблица Б.15 Расчёт неопределенностей по результам измерения при температуре "&amp;""&amp; 't8'!$C39&amp; " °С"</f>
        <v>Таблица Б.15 Расчёт неопределенностей по результам измерения при температуре 65 °С</v>
      </c>
      <c r="B305" s="426"/>
      <c r="C305" s="426"/>
      <c r="D305" s="426"/>
      <c r="E305" s="426"/>
      <c r="F305" s="426"/>
      <c r="G305" s="426"/>
    </row>
    <row r="306" spans="1:7" ht="38.25" hidden="1" x14ac:dyDescent="0.2">
      <c r="A306" s="305"/>
      <c r="B306" s="306" t="s">
        <v>7</v>
      </c>
      <c r="C306" s="307" t="s">
        <v>84</v>
      </c>
      <c r="D306" s="306" t="s">
        <v>9</v>
      </c>
      <c r="E306" s="308" t="s">
        <v>10</v>
      </c>
      <c r="F306" s="334" t="s">
        <v>88</v>
      </c>
      <c r="G306" s="334" t="s">
        <v>87</v>
      </c>
    </row>
    <row r="307" spans="1:7" hidden="1" x14ac:dyDescent="0.2">
      <c r="A307" s="422" t="s">
        <v>32</v>
      </c>
      <c r="B307" s="77" t="str">
        <f>'t8'!S4</f>
        <v>Поверка</v>
      </c>
      <c r="C307" s="77">
        <f>'t8'!T4</f>
        <v>0.1</v>
      </c>
      <c r="D307" s="77" t="str">
        <f>'t8'!U4</f>
        <v>Нормальное</v>
      </c>
      <c r="E307" s="91">
        <f>'t8'!V4</f>
        <v>2</v>
      </c>
      <c r="F307" s="335">
        <f>'t8'!W4</f>
        <v>0.05</v>
      </c>
      <c r="G307" s="335">
        <f>'t8'!X4</f>
        <v>2.5000000000000005E-3</v>
      </c>
    </row>
    <row r="308" spans="1:7" hidden="1" x14ac:dyDescent="0.2">
      <c r="A308" s="423"/>
      <c r="B308" s="77" t="str">
        <f>'t8'!S5</f>
        <v>Повторяемость*</v>
      </c>
      <c r="C308" s="77">
        <f>'t8'!T5</f>
        <v>0.01</v>
      </c>
      <c r="D308" s="77" t="str">
        <f>'t8'!U5</f>
        <v>Нормальное</v>
      </c>
      <c r="E308" s="91">
        <f>'t8'!V5</f>
        <v>1</v>
      </c>
      <c r="F308" s="335">
        <f>'t8'!W5</f>
        <v>0.01</v>
      </c>
      <c r="G308" s="335">
        <f>'t8'!X5</f>
        <v>1E-4</v>
      </c>
    </row>
    <row r="309" spans="1:7" hidden="1" x14ac:dyDescent="0.2">
      <c r="A309" s="423"/>
      <c r="B309" s="77" t="str">
        <f>'t8'!S6</f>
        <v>Гистерезис</v>
      </c>
      <c r="C309" s="77">
        <f>'t8'!T6</f>
        <v>0.01</v>
      </c>
      <c r="D309" s="77" t="str">
        <f>'t8'!U6</f>
        <v>Прямоугольное</v>
      </c>
      <c r="E309" s="91">
        <f>'t8'!V6</f>
        <v>1.73</v>
      </c>
      <c r="F309" s="335">
        <f>'t8'!W6</f>
        <v>5.7803468208092491E-3</v>
      </c>
      <c r="G309" s="335">
        <f>'t8'!X6</f>
        <v>3.3412409368839592E-5</v>
      </c>
    </row>
    <row r="310" spans="1:7" ht="25.5" hidden="1" x14ac:dyDescent="0.2">
      <c r="A310" s="423"/>
      <c r="B310" s="77" t="str">
        <f>'t8'!S7</f>
        <v>Влияние температуры</v>
      </c>
      <c r="C310" s="77">
        <f>'t8'!T7</f>
        <v>0.01</v>
      </c>
      <c r="D310" s="77" t="str">
        <f>'t8'!U7</f>
        <v>Прямоугольное</v>
      </c>
      <c r="E310" s="91">
        <f>'t8'!V7</f>
        <v>1.73</v>
      </c>
      <c r="F310" s="335">
        <f>'t8'!W7</f>
        <v>5.7803468208092491E-3</v>
      </c>
      <c r="G310" s="335">
        <f>'t8'!X7</f>
        <v>3.3412409368839592E-5</v>
      </c>
    </row>
    <row r="311" spans="1:7" hidden="1" x14ac:dyDescent="0.2">
      <c r="A311" s="423"/>
      <c r="B311" s="77" t="str">
        <f>'t8'!S8</f>
        <v>Дрейф*</v>
      </c>
      <c r="C311" s="77">
        <f>'t8'!T8</f>
        <v>0.1</v>
      </c>
      <c r="D311" s="77" t="str">
        <f>'t8'!U8</f>
        <v>Прямоугольное</v>
      </c>
      <c r="E311" s="91">
        <f>'t8'!V8</f>
        <v>1.73</v>
      </c>
      <c r="F311" s="335">
        <f>'t8'!W8</f>
        <v>5.7803468208092491E-2</v>
      </c>
      <c r="G311" s="335">
        <f>'t8'!X8</f>
        <v>3.3412409368839594E-3</v>
      </c>
    </row>
    <row r="312" spans="1:7" hidden="1" x14ac:dyDescent="0.2">
      <c r="A312" s="423"/>
      <c r="B312" s="77" t="str">
        <f>'t8'!S9</f>
        <v>Линейность</v>
      </c>
      <c r="C312" s="77">
        <f>'t8'!T9</f>
        <v>0.02</v>
      </c>
      <c r="D312" s="77" t="str">
        <f>'t8'!U9</f>
        <v>Прямоугольное</v>
      </c>
      <c r="E312" s="91">
        <f>'t8'!V9</f>
        <v>1.73</v>
      </c>
      <c r="F312" s="335">
        <f>'t8'!W9</f>
        <v>1.1560693641618498E-2</v>
      </c>
      <c r="G312" s="335">
        <f>'t8'!X9</f>
        <v>1.3364963747535837E-4</v>
      </c>
    </row>
    <row r="313" spans="1:7" ht="25.5" hidden="1" x14ac:dyDescent="0.2">
      <c r="A313" s="424"/>
      <c r="B313" s="77" t="str">
        <f>'t8'!S10</f>
        <v>Разрешающая способность</v>
      </c>
      <c r="C313" s="77">
        <f>'t8'!T80</f>
        <v>0</v>
      </c>
      <c r="D313" s="77" t="str">
        <f>'t8'!U10</f>
        <v>Прямоугольное</v>
      </c>
      <c r="E313" s="91">
        <f>'t8'!V10</f>
        <v>1.73</v>
      </c>
      <c r="F313" s="335">
        <f>'t8'!W10</f>
        <v>5.7803468208092491E-3</v>
      </c>
      <c r="G313" s="335">
        <f>'t8'!X10</f>
        <v>3.3412409368839592E-5</v>
      </c>
    </row>
    <row r="314" spans="1:7" hidden="1" x14ac:dyDescent="0.2">
      <c r="A314" s="427" t="s">
        <v>34</v>
      </c>
      <c r="B314" s="77" t="str">
        <f>'t8'!S11</f>
        <v>Градиент</v>
      </c>
      <c r="C314" s="77">
        <f>'t8'!T81</f>
        <v>0</v>
      </c>
      <c r="D314" s="77" t="str">
        <f>'t8'!U11</f>
        <v>Нормальное</v>
      </c>
      <c r="E314" s="91">
        <f>'t8'!V11</f>
        <v>1</v>
      </c>
      <c r="F314" s="335">
        <f>'t8'!W11</f>
        <v>0.29847398512276063</v>
      </c>
      <c r="G314" s="335">
        <f>'t8'!X11</f>
        <v>8.9086719795061942E-2</v>
      </c>
    </row>
    <row r="315" spans="1:7" ht="25.5" hidden="1" x14ac:dyDescent="0.2">
      <c r="A315" s="428"/>
      <c r="B315" s="77" t="str">
        <f>'t8'!S12</f>
        <v>Флуктуации температуры</v>
      </c>
      <c r="C315" s="77">
        <f>'t8'!T82</f>
        <v>0</v>
      </c>
      <c r="D315" s="77" t="str">
        <f>'t8'!U12</f>
        <v>Нормальное</v>
      </c>
      <c r="E315" s="91">
        <f>'t8'!V12</f>
        <v>1</v>
      </c>
      <c r="F315" s="335">
        <f>'t8'!W12</f>
        <v>1.6305740366168459E-2</v>
      </c>
      <c r="G315" s="335">
        <f>'t8'!X12</f>
        <v>2.6587716888889552E-4</v>
      </c>
    </row>
    <row r="316" spans="1:7" hidden="1" x14ac:dyDescent="0.2">
      <c r="A316" s="429"/>
      <c r="B316" s="77" t="str">
        <f>'t8'!S13</f>
        <v>Общее среднее</v>
      </c>
      <c r="C316" s="77">
        <f>'t8'!T83</f>
        <v>0</v>
      </c>
      <c r="D316" s="77" t="str">
        <f>'t8'!U13</f>
        <v>Нормальное</v>
      </c>
      <c r="E316" s="91">
        <f>'t8'!V13</f>
        <v>1</v>
      </c>
      <c r="F316" s="335">
        <f>'t8'!W13</f>
        <v>8.3642631664474474E-4</v>
      </c>
      <c r="G316" s="335">
        <f>'t8'!X13</f>
        <v>6.9960898317589478E-7</v>
      </c>
    </row>
    <row r="317" spans="1:7" hidden="1" x14ac:dyDescent="0.2">
      <c r="A317" s="76"/>
      <c r="B317" s="76"/>
      <c r="C317" s="88"/>
      <c r="D317" s="76"/>
      <c r="E317" s="81"/>
      <c r="F317" s="336"/>
      <c r="G317" s="336"/>
    </row>
    <row r="318" spans="1:7" hidden="1" x14ac:dyDescent="0.2">
      <c r="A318" s="78" t="str">
        <f>"Cумма квадратов (σ²): "&amp;""&amp;'t8'!$S17</f>
        <v>Cумма квадратов (σ²): 0,09552842</v>
      </c>
      <c r="B318" s="76"/>
      <c r="C318" s="88"/>
      <c r="D318" s="76"/>
      <c r="E318" s="81"/>
      <c r="F318" s="336"/>
      <c r="G318" s="336"/>
    </row>
    <row r="319" spans="1:7" hidden="1" x14ac:dyDescent="0.2">
      <c r="A319" s="79" t="str">
        <f>"Общая среднеквадратичная неопределенность (σ): ±"&amp;""&amp;'t8'!$V17&amp;" °C"</f>
        <v>Общая среднеквадратичная неопределенность (σ): ±0,309 °C</v>
      </c>
      <c r="B319" s="76"/>
      <c r="C319" s="88"/>
      <c r="D319" s="80"/>
      <c r="E319" s="81"/>
      <c r="F319" s="336"/>
      <c r="G319" s="336"/>
    </row>
    <row r="320" spans="1:7" hidden="1" x14ac:dyDescent="0.2">
      <c r="A320" s="82" t="str">
        <f>"Расширенная неопределенность при 95 % доверительной вероятности (2σ): ±"&amp;""&amp;'t8'!$X17&amp;" °C"</f>
        <v>Расширенная неопределенность при 95 % доверительной вероятности (2σ): ±0,618 °C</v>
      </c>
      <c r="B320" s="76"/>
      <c r="C320" s="88"/>
      <c r="D320" s="76"/>
      <c r="E320" s="81"/>
      <c r="F320" s="336"/>
      <c r="G320" s="336"/>
    </row>
    <row r="321" spans="1:7" hidden="1" x14ac:dyDescent="0.2">
      <c r="A321" s="82"/>
      <c r="B321" s="76"/>
      <c r="C321" s="88"/>
      <c r="D321" s="76"/>
      <c r="E321" s="81"/>
      <c r="F321" s="336"/>
      <c r="G321" s="336"/>
    </row>
    <row r="322" spans="1:7" hidden="1" x14ac:dyDescent="0.2">
      <c r="A322" s="426" t="str">
        <f>"Таблица Б.16 Расчёт неопределенностей температур в каждой точке установки датчиков при "&amp;'t8'!$C39&amp;" °С"</f>
        <v>Таблица Б.16 Расчёт неопределенностей температур в каждой точке установки датчиков при 65 °С</v>
      </c>
      <c r="B322" s="426"/>
      <c r="C322" s="426"/>
      <c r="D322" s="426"/>
      <c r="E322" s="426"/>
      <c r="F322" s="426"/>
      <c r="G322" s="426"/>
    </row>
    <row r="323" spans="1:7" ht="38.25" hidden="1" x14ac:dyDescent="0.2">
      <c r="A323" s="305"/>
      <c r="B323" s="306" t="s">
        <v>7</v>
      </c>
      <c r="C323" s="307" t="s">
        <v>84</v>
      </c>
      <c r="D323" s="306" t="s">
        <v>9</v>
      </c>
      <c r="E323" s="308" t="s">
        <v>10</v>
      </c>
      <c r="F323" s="334" t="s">
        <v>88</v>
      </c>
      <c r="G323" s="334" t="s">
        <v>87</v>
      </c>
    </row>
    <row r="324" spans="1:7" hidden="1" x14ac:dyDescent="0.2">
      <c r="A324" s="422" t="s">
        <v>32</v>
      </c>
      <c r="B324" s="77" t="str">
        <f>'t8'!S22</f>
        <v>Поверка</v>
      </c>
      <c r="C324" s="77">
        <f>'t8'!T22</f>
        <v>0.1</v>
      </c>
      <c r="D324" s="77" t="str">
        <f>'t8'!U22</f>
        <v>Нормальное</v>
      </c>
      <c r="E324" s="91">
        <f>'t8'!V22</f>
        <v>2</v>
      </c>
      <c r="F324" s="335">
        <f>'t8'!W22</f>
        <v>0.05</v>
      </c>
      <c r="G324" s="335">
        <f>'t8'!X22</f>
        <v>2.5000000000000005E-3</v>
      </c>
    </row>
    <row r="325" spans="1:7" hidden="1" x14ac:dyDescent="0.2">
      <c r="A325" s="423"/>
      <c r="B325" s="77" t="str">
        <f>'t8'!S23</f>
        <v>Повторяемость*</v>
      </c>
      <c r="C325" s="77">
        <f>'t8'!T23</f>
        <v>0.01</v>
      </c>
      <c r="D325" s="77" t="str">
        <f>'t8'!U23</f>
        <v>Нормальное</v>
      </c>
      <c r="E325" s="91">
        <f>'t8'!V23</f>
        <v>1</v>
      </c>
      <c r="F325" s="335">
        <f>'t8'!W23</f>
        <v>0.01</v>
      </c>
      <c r="G325" s="335">
        <f>'t8'!X23</f>
        <v>1E-4</v>
      </c>
    </row>
    <row r="326" spans="1:7" hidden="1" x14ac:dyDescent="0.2">
      <c r="A326" s="423"/>
      <c r="B326" s="77" t="str">
        <f>'t8'!S24</f>
        <v>Гистерезис</v>
      </c>
      <c r="C326" s="77">
        <f>'t8'!T24</f>
        <v>0.01</v>
      </c>
      <c r="D326" s="77" t="str">
        <f>'t8'!U24</f>
        <v>Прямоугольное</v>
      </c>
      <c r="E326" s="91">
        <f>'t8'!V24</f>
        <v>1.73</v>
      </c>
      <c r="F326" s="335">
        <f>'t8'!W24</f>
        <v>5.7803468208092491E-3</v>
      </c>
      <c r="G326" s="335">
        <f>'t8'!X24</f>
        <v>3.3412409368839592E-5</v>
      </c>
    </row>
    <row r="327" spans="1:7" ht="25.5" hidden="1" x14ac:dyDescent="0.2">
      <c r="A327" s="423"/>
      <c r="B327" s="77" t="str">
        <f>'t8'!S25</f>
        <v>Влияние температуры</v>
      </c>
      <c r="C327" s="77">
        <f>'t8'!T25</f>
        <v>0.01</v>
      </c>
      <c r="D327" s="77" t="str">
        <f>'t8'!U25</f>
        <v>Прямоугольное</v>
      </c>
      <c r="E327" s="91">
        <f>'t8'!V25</f>
        <v>1.73</v>
      </c>
      <c r="F327" s="335">
        <f>'t8'!W25</f>
        <v>5.7803468208092491E-3</v>
      </c>
      <c r="G327" s="335">
        <f>'t8'!X25</f>
        <v>3.3412409368839592E-5</v>
      </c>
    </row>
    <row r="328" spans="1:7" hidden="1" x14ac:dyDescent="0.2">
      <c r="A328" s="423"/>
      <c r="B328" s="77" t="str">
        <f>'t8'!S26</f>
        <v>Дрейф*</v>
      </c>
      <c r="C328" s="77">
        <f>'t8'!T26</f>
        <v>0.1</v>
      </c>
      <c r="D328" s="77" t="str">
        <f>'t8'!U26</f>
        <v>Прямоугольное</v>
      </c>
      <c r="E328" s="91">
        <f>'t8'!V26</f>
        <v>1.73</v>
      </c>
      <c r="F328" s="335">
        <f>'t8'!W26</f>
        <v>5.7803468208092491E-2</v>
      </c>
      <c r="G328" s="335">
        <f>'t8'!X26</f>
        <v>3.3412409368839594E-3</v>
      </c>
    </row>
    <row r="329" spans="1:7" hidden="1" x14ac:dyDescent="0.2">
      <c r="A329" s="423"/>
      <c r="B329" s="77" t="str">
        <f>'t8'!S27</f>
        <v>Линейность</v>
      </c>
      <c r="C329" s="77">
        <f>'t8'!T27</f>
        <v>0.02</v>
      </c>
      <c r="D329" s="77" t="str">
        <f>'t8'!U27</f>
        <v>Прямоугольное</v>
      </c>
      <c r="E329" s="91">
        <f>'t8'!V27</f>
        <v>1.73</v>
      </c>
      <c r="F329" s="335">
        <f>'t8'!W27</f>
        <v>1.1560693641618498E-2</v>
      </c>
      <c r="G329" s="335">
        <f>'t8'!X27</f>
        <v>1.3364963747535837E-4</v>
      </c>
    </row>
    <row r="330" spans="1:7" ht="25.5" hidden="1" x14ac:dyDescent="0.2">
      <c r="A330" s="424"/>
      <c r="B330" s="77" t="str">
        <f>'t8'!S28</f>
        <v>Разрешающая способность</v>
      </c>
      <c r="C330" s="77">
        <f>'t8'!T28</f>
        <v>0.01</v>
      </c>
      <c r="D330" s="77" t="str">
        <f>'t8'!U28</f>
        <v>Прямоугольное</v>
      </c>
      <c r="E330" s="91">
        <f>'t8'!V28</f>
        <v>1.73</v>
      </c>
      <c r="F330" s="335">
        <f>'t8'!W28</f>
        <v>5.7803468208092491E-3</v>
      </c>
      <c r="G330" s="335">
        <f>'t8'!X28</f>
        <v>3.3412409368839592E-5</v>
      </c>
    </row>
    <row r="331" spans="1:7" ht="39" hidden="1" x14ac:dyDescent="0.2">
      <c r="A331" s="153" t="s">
        <v>34</v>
      </c>
      <c r="B331" s="77" t="str">
        <f>'t8'!S29</f>
        <v>Флуктуации температуры</v>
      </c>
      <c r="C331" s="77">
        <f>'t8'!T29</f>
        <v>1.6305740366168459E-2</v>
      </c>
      <c r="D331" s="77" t="str">
        <f>'t8'!U29</f>
        <v>Нормальное</v>
      </c>
      <c r="E331" s="91">
        <f>'t8'!V29</f>
        <v>1</v>
      </c>
      <c r="F331" s="335">
        <f>'t8'!W29</f>
        <v>1.6305740366168459E-2</v>
      </c>
      <c r="G331" s="335">
        <f>'t8'!X29</f>
        <v>2.6587716888889552E-4</v>
      </c>
    </row>
    <row r="332" spans="1:7" hidden="1" x14ac:dyDescent="0.2">
      <c r="A332" s="83"/>
      <c r="B332" s="83"/>
      <c r="C332" s="89"/>
      <c r="D332" s="83"/>
      <c r="E332" s="92"/>
      <c r="F332" s="337"/>
      <c r="G332" s="337"/>
    </row>
    <row r="333" spans="1:7" hidden="1" x14ac:dyDescent="0.2">
      <c r="A333" s="78" t="str">
        <f>"Cумма квадратов (σ²): "&amp;""&amp;'t8'!$S33</f>
        <v>Cумма квадратов (σ²): 0,006441</v>
      </c>
      <c r="B333" s="292"/>
      <c r="D333" s="292"/>
    </row>
    <row r="334" spans="1:7" hidden="1" x14ac:dyDescent="0.2">
      <c r="A334" s="79" t="str">
        <f>"Общая среднеквадратичная неопределенность (σ): ±"&amp;""&amp;'t8'!$V33&amp;" °C"</f>
        <v>Общая среднеквадратичная неопределенность (σ): ±0,08 °C</v>
      </c>
      <c r="B334" s="292"/>
      <c r="D334" s="292"/>
    </row>
    <row r="335" spans="1:7" hidden="1" x14ac:dyDescent="0.2">
      <c r="A335" s="82" t="str">
        <f>"Расширенная неопределенность при 95 % доверительной вероятности (2σ): ±"&amp;""&amp;'t8'!$X33&amp;" °C"</f>
        <v>Расширенная неопределенность при 95 % доверительной вероятности (2σ): ±0,161 °C</v>
      </c>
      <c r="B335" s="292"/>
      <c r="D335" s="292"/>
    </row>
    <row r="336" spans="1:7" hidden="1" x14ac:dyDescent="0.2">
      <c r="A336" s="292"/>
      <c r="B336" s="292"/>
      <c r="D336" s="292"/>
    </row>
    <row r="337" spans="1:7" hidden="1" x14ac:dyDescent="0.2">
      <c r="A337" s="425" t="s">
        <v>35</v>
      </c>
      <c r="B337" s="425"/>
      <c r="C337" s="425"/>
      <c r="D337" s="425"/>
      <c r="E337" s="425"/>
      <c r="F337" s="425"/>
      <c r="G337" s="425"/>
    </row>
    <row r="338" spans="1:7" hidden="1" x14ac:dyDescent="0.2">
      <c r="A338" s="425"/>
      <c r="B338" s="425"/>
      <c r="C338" s="425"/>
      <c r="D338" s="425"/>
      <c r="E338" s="425"/>
      <c r="F338" s="425"/>
      <c r="G338" s="425"/>
    </row>
    <row r="339" spans="1:7" hidden="1" x14ac:dyDescent="0.2">
      <c r="A339" s="425"/>
      <c r="B339" s="425"/>
      <c r="C339" s="425"/>
      <c r="D339" s="425"/>
      <c r="E339" s="425"/>
      <c r="F339" s="425"/>
      <c r="G339" s="425"/>
    </row>
    <row r="340" spans="1:7" hidden="1" x14ac:dyDescent="0.2">
      <c r="A340" s="425"/>
      <c r="B340" s="425"/>
      <c r="C340" s="425"/>
      <c r="D340" s="425"/>
      <c r="E340" s="425"/>
      <c r="F340" s="425"/>
      <c r="G340" s="425"/>
    </row>
    <row r="341" spans="1:7" hidden="1" x14ac:dyDescent="0.2">
      <c r="A341" s="425"/>
      <c r="B341" s="425"/>
      <c r="C341" s="425"/>
      <c r="D341" s="425"/>
      <c r="E341" s="425"/>
      <c r="F341" s="425"/>
      <c r="G341" s="425"/>
    </row>
    <row r="342" spans="1:7" hidden="1" x14ac:dyDescent="0.2">
      <c r="A342" s="292"/>
      <c r="B342" s="292"/>
      <c r="D342" s="292"/>
    </row>
    <row r="343" spans="1:7" hidden="1" x14ac:dyDescent="0.2">
      <c r="A343" s="292"/>
      <c r="B343" s="292"/>
      <c r="C343" s="292"/>
      <c r="D343" s="292"/>
    </row>
    <row r="344" spans="1:7" hidden="1" x14ac:dyDescent="0.2">
      <c r="A344" s="292"/>
      <c r="B344" s="292"/>
      <c r="C344" s="292"/>
      <c r="D344" s="292"/>
    </row>
    <row r="345" spans="1:7" hidden="1" x14ac:dyDescent="0.2">
      <c r="A345" s="292"/>
      <c r="B345" s="292"/>
      <c r="C345" s="292"/>
      <c r="D345" s="292"/>
    </row>
    <row r="346" spans="1:7" hidden="1" x14ac:dyDescent="0.2">
      <c r="A346" s="292"/>
      <c r="B346" s="292"/>
      <c r="C346" s="292"/>
      <c r="D346" s="292"/>
    </row>
    <row r="347" spans="1:7" hidden="1" x14ac:dyDescent="0.2"/>
    <row r="348" spans="1:7" hidden="1" x14ac:dyDescent="0.2"/>
    <row r="349" spans="1:7" hidden="1" x14ac:dyDescent="0.2"/>
    <row r="350" spans="1:7" hidden="1" x14ac:dyDescent="0.2"/>
    <row r="351" spans="1:7" hidden="1" x14ac:dyDescent="0.2"/>
    <row r="352" spans="1:7" hidden="1" x14ac:dyDescent="0.2"/>
    <row r="353" hidden="1" x14ac:dyDescent="0.2"/>
    <row r="354" hidden="1" x14ac:dyDescent="0.2"/>
    <row r="355" hidden="1" x14ac:dyDescent="0.2"/>
    <row r="356" hidden="1" x14ac:dyDescent="0.2"/>
    <row r="357" hidden="1" x14ac:dyDescent="0.2"/>
    <row r="358" hidden="1" x14ac:dyDescent="0.2"/>
    <row r="359" hidden="1" x14ac:dyDescent="0.2"/>
    <row r="360" hidden="1" x14ac:dyDescent="0.2"/>
    <row r="361" hidden="1" x14ac:dyDescent="0.2"/>
    <row r="362" hidden="1" x14ac:dyDescent="0.2"/>
    <row r="363" hidden="1" x14ac:dyDescent="0.2"/>
    <row r="364" hidden="1" x14ac:dyDescent="0.2"/>
    <row r="365" hidden="1" x14ac:dyDescent="0.2"/>
    <row r="366" hidden="1" x14ac:dyDescent="0.2"/>
    <row r="367" hidden="1" x14ac:dyDescent="0.2"/>
    <row r="368" hidden="1" x14ac:dyDescent="0.2"/>
    <row r="369" hidden="1" x14ac:dyDescent="0.2"/>
    <row r="370" hidden="1" x14ac:dyDescent="0.2"/>
    <row r="371" hidden="1" x14ac:dyDescent="0.2"/>
    <row r="372" hidden="1" x14ac:dyDescent="0.2"/>
    <row r="373" hidden="1" x14ac:dyDescent="0.2"/>
    <row r="374" hidden="1" x14ac:dyDescent="0.2"/>
    <row r="375" hidden="1" x14ac:dyDescent="0.2"/>
    <row r="376" hidden="1" x14ac:dyDescent="0.2"/>
    <row r="377" hidden="1" x14ac:dyDescent="0.2"/>
  </sheetData>
  <mergeCells count="48">
    <mergeCell ref="A33:G37"/>
    <mergeCell ref="A18:G18"/>
    <mergeCell ref="A1:G1"/>
    <mergeCell ref="A3:A9"/>
    <mergeCell ref="A10:A12"/>
    <mergeCell ref="A20:A26"/>
    <mergeCell ref="A44:G44"/>
    <mergeCell ref="A46:A52"/>
    <mergeCell ref="A53:A55"/>
    <mergeCell ref="A61:G61"/>
    <mergeCell ref="A63:A69"/>
    <mergeCell ref="A76:G80"/>
    <mergeCell ref="A86:G86"/>
    <mergeCell ref="A88:A94"/>
    <mergeCell ref="A95:A97"/>
    <mergeCell ref="A103:G103"/>
    <mergeCell ref="A105:A111"/>
    <mergeCell ref="A118:G122"/>
    <mergeCell ref="A130:G130"/>
    <mergeCell ref="A132:A138"/>
    <mergeCell ref="A139:A141"/>
    <mergeCell ref="A147:G147"/>
    <mergeCell ref="A149:A155"/>
    <mergeCell ref="A162:G166"/>
    <mergeCell ref="A173:G173"/>
    <mergeCell ref="A175:A181"/>
    <mergeCell ref="A182:A184"/>
    <mergeCell ref="A190:G190"/>
    <mergeCell ref="A192:A198"/>
    <mergeCell ref="A205:G209"/>
    <mergeCell ref="A217:G217"/>
    <mergeCell ref="A219:A225"/>
    <mergeCell ref="A226:A228"/>
    <mergeCell ref="A234:G234"/>
    <mergeCell ref="A236:A242"/>
    <mergeCell ref="A249:G253"/>
    <mergeCell ref="A261:G261"/>
    <mergeCell ref="A263:A269"/>
    <mergeCell ref="A270:A272"/>
    <mergeCell ref="A278:G278"/>
    <mergeCell ref="A280:A286"/>
    <mergeCell ref="A324:A330"/>
    <mergeCell ref="A337:G341"/>
    <mergeCell ref="A293:G297"/>
    <mergeCell ref="A305:G305"/>
    <mergeCell ref="A307:A313"/>
    <mergeCell ref="A314:A316"/>
    <mergeCell ref="A322:G322"/>
  </mergeCells>
  <pageMargins left="0.70866141732283461" right="0.70866141732283461" top="0.74803149606299213" bottom="0.74803149606299213" header="0.31496062992125984" footer="0.31496062992125984"/>
  <pageSetup paperSize="9" orientation="portrait" r:id="rId1"/>
  <headerFooter scaleWithDoc="0">
    <oddHeader>&amp;C&amp;16&amp;P</oddHeader>
    <oddFooter>&amp;C&amp;"Arial,&amp;ïîëóæèðíûé"&amp;14Протокол первичной аттестации от 18.05.2020г. № 1994.1</oddFooter>
    <evenHeader>&amp;C&amp;P</evenHeader>
    <firstHeader>&amp;C&amp;"Arial,обычный"&amp;P</firstHeader>
    <firstFooter>&amp;C&amp;"Arial,&amp;полужирный"&amp;14Протокол первичной аттестации от 18.05.2020г. № 1994.1</first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3"/>
  <dimension ref="A1:O470"/>
  <sheetViews>
    <sheetView view="pageLayout" topLeftCell="A53" zoomScale="70" zoomScaleNormal="100" zoomScalePageLayoutView="70" workbookViewId="0">
      <selection activeCell="H89" sqref="H88:H89"/>
    </sheetView>
  </sheetViews>
  <sheetFormatPr defaultColWidth="9" defaultRowHeight="14.25" x14ac:dyDescent="0.2"/>
  <cols>
    <col min="1" max="1" width="7.375" style="157" customWidth="1"/>
    <col min="2" max="10" width="6.25" customWidth="1"/>
    <col min="11" max="11" width="6.625" customWidth="1"/>
    <col min="12" max="12" width="5.5" customWidth="1"/>
    <col min="13" max="13" width="3.875" customWidth="1"/>
    <col min="15" max="15" width="6.625" customWidth="1"/>
  </cols>
  <sheetData>
    <row r="1" spans="1:12" ht="30.75" customHeight="1" x14ac:dyDescent="0.2">
      <c r="A1" s="417" t="s">
        <v>359</v>
      </c>
      <c r="B1" s="417"/>
      <c r="C1" s="417"/>
      <c r="D1" s="417"/>
      <c r="E1" s="417"/>
      <c r="F1" s="417"/>
      <c r="G1" s="417"/>
      <c r="H1" s="417"/>
      <c r="I1" s="417"/>
      <c r="J1" s="417"/>
      <c r="K1" s="417"/>
      <c r="L1" s="417"/>
    </row>
    <row r="2" spans="1:12" ht="18" customHeight="1" thickBot="1" x14ac:dyDescent="0.25">
      <c r="A2" s="430" t="str">
        <f>"Заданная температура = "&amp;rh_t1!C86&amp;" °С;  Заданная относительная влажность =  "&amp;$E$1&amp;rh_t1!C39 &amp;" %."</f>
        <v>Заданная температура = 40 °С;  Заданная относительная влажность =  98 %.</v>
      </c>
      <c r="B2" s="430"/>
      <c r="C2" s="430"/>
      <c r="D2" s="430"/>
      <c r="E2" s="430"/>
      <c r="F2" s="430"/>
      <c r="G2" s="430"/>
      <c r="H2" s="430"/>
      <c r="I2" s="430"/>
      <c r="J2" s="430"/>
      <c r="K2" s="430"/>
      <c r="L2" s="430"/>
    </row>
    <row r="3" spans="1:12" ht="29.25" customHeight="1" thickTop="1" thickBot="1" x14ac:dyDescent="0.25">
      <c r="A3" s="239" t="s">
        <v>89</v>
      </c>
      <c r="B3" s="419" t="s">
        <v>90</v>
      </c>
      <c r="C3" s="419"/>
      <c r="D3" s="419"/>
      <c r="E3" s="419"/>
      <c r="F3" s="419"/>
      <c r="G3" s="419"/>
      <c r="H3" s="419"/>
      <c r="I3" s="419"/>
      <c r="J3" s="419"/>
      <c r="K3" s="420" t="s">
        <v>91</v>
      </c>
      <c r="L3" s="420"/>
    </row>
    <row r="4" spans="1:12" ht="15.6" customHeight="1" thickTop="1" x14ac:dyDescent="0.2">
      <c r="A4" s="236"/>
      <c r="B4" s="235">
        <v>1</v>
      </c>
      <c r="C4" s="235">
        <v>2</v>
      </c>
      <c r="D4" s="235">
        <v>3</v>
      </c>
      <c r="E4" s="235">
        <v>4</v>
      </c>
      <c r="F4" s="235">
        <v>5</v>
      </c>
      <c r="G4" s="235">
        <v>6</v>
      </c>
      <c r="H4" s="235">
        <v>7</v>
      </c>
      <c r="I4" s="235">
        <v>8</v>
      </c>
      <c r="J4" s="235">
        <v>9</v>
      </c>
      <c r="K4" s="237" t="s">
        <v>92</v>
      </c>
      <c r="L4" s="238" t="s">
        <v>93</v>
      </c>
    </row>
    <row r="5" spans="1:12" ht="15.6" customHeight="1" x14ac:dyDescent="0.2">
      <c r="A5" s="226">
        <v>1</v>
      </c>
      <c r="B5" s="227">
        <f>rh_t1!C3</f>
        <v>99.23</v>
      </c>
      <c r="C5" s="227">
        <f>rh_t1!D3</f>
        <v>99.22</v>
      </c>
      <c r="D5" s="227">
        <f>rh_t1!E3</f>
        <v>99.21</v>
      </c>
      <c r="E5" s="227">
        <f>rh_t1!F3</f>
        <v>99.21</v>
      </c>
      <c r="F5" s="227">
        <f>rh_t1!G3</f>
        <v>99.21</v>
      </c>
      <c r="G5" s="227">
        <f>rh_t1!H3</f>
        <v>99.21</v>
      </c>
      <c r="H5" s="227">
        <f>rh_t1!I3</f>
        <v>99.21</v>
      </c>
      <c r="I5" s="227">
        <f>rh_t1!J3</f>
        <v>99.22</v>
      </c>
      <c r="J5" s="227">
        <f>rh_t1!K3</f>
        <v>99.24</v>
      </c>
      <c r="K5" s="227">
        <f>rh_t1!L3</f>
        <v>99.217777777777783</v>
      </c>
      <c r="L5" s="227">
        <f>rh_t1!M3</f>
        <v>1.0304020550552649E-2</v>
      </c>
    </row>
    <row r="6" spans="1:12" ht="15.6" customHeight="1" x14ac:dyDescent="0.2">
      <c r="A6" s="226">
        <v>2</v>
      </c>
      <c r="B6" s="227">
        <f>rh_t1!C4</f>
        <v>99.23</v>
      </c>
      <c r="C6" s="227">
        <f>rh_t1!D4</f>
        <v>99.22</v>
      </c>
      <c r="D6" s="227">
        <f>rh_t1!E4</f>
        <v>99.21</v>
      </c>
      <c r="E6" s="227">
        <f>rh_t1!F4</f>
        <v>99.21</v>
      </c>
      <c r="F6" s="227">
        <f>rh_t1!G4</f>
        <v>99.21</v>
      </c>
      <c r="G6" s="227">
        <f>rh_t1!H4</f>
        <v>99.21</v>
      </c>
      <c r="H6" s="227">
        <f>rh_t1!I4</f>
        <v>99.21</v>
      </c>
      <c r="I6" s="227">
        <f>rh_t1!J4</f>
        <v>99.22</v>
      </c>
      <c r="J6" s="227">
        <f>rh_t1!K4</f>
        <v>99.24</v>
      </c>
      <c r="K6" s="227">
        <f>rh_t1!L4</f>
        <v>99.217777777777783</v>
      </c>
      <c r="L6" s="227">
        <f>rh_t1!M4</f>
        <v>1.0304020550552649E-2</v>
      </c>
    </row>
    <row r="7" spans="1:12" ht="15.6" customHeight="1" x14ac:dyDescent="0.2">
      <c r="A7" s="226">
        <v>3</v>
      </c>
      <c r="B7" s="227">
        <f>rh_t1!C5</f>
        <v>99.23</v>
      </c>
      <c r="C7" s="227">
        <f>rh_t1!D5</f>
        <v>99.22</v>
      </c>
      <c r="D7" s="227">
        <f>rh_t1!E5</f>
        <v>99.21</v>
      </c>
      <c r="E7" s="227">
        <f>rh_t1!F5</f>
        <v>99.21</v>
      </c>
      <c r="F7" s="227">
        <f>rh_t1!G5</f>
        <v>99.21</v>
      </c>
      <c r="G7" s="227">
        <f>rh_t1!H5</f>
        <v>99.21</v>
      </c>
      <c r="H7" s="227">
        <f>rh_t1!I5</f>
        <v>99.21</v>
      </c>
      <c r="I7" s="227">
        <f>rh_t1!J5</f>
        <v>99.22</v>
      </c>
      <c r="J7" s="227">
        <f>rh_t1!K5</f>
        <v>99.24</v>
      </c>
      <c r="K7" s="227">
        <f>rh_t1!L5</f>
        <v>99.217777777777783</v>
      </c>
      <c r="L7" s="227">
        <f>rh_t1!M5</f>
        <v>1.0304020550552649E-2</v>
      </c>
    </row>
    <row r="8" spans="1:12" ht="15.6" customHeight="1" x14ac:dyDescent="0.2">
      <c r="A8" s="226">
        <v>4</v>
      </c>
      <c r="B8" s="227">
        <f>rh_t1!C6</f>
        <v>99.23</v>
      </c>
      <c r="C8" s="227">
        <f>rh_t1!D6</f>
        <v>99.22</v>
      </c>
      <c r="D8" s="227">
        <f>rh_t1!E6</f>
        <v>99.21</v>
      </c>
      <c r="E8" s="227">
        <f>rh_t1!F6</f>
        <v>99.21</v>
      </c>
      <c r="F8" s="227">
        <f>rh_t1!G6</f>
        <v>99.21</v>
      </c>
      <c r="G8" s="227">
        <f>rh_t1!H6</f>
        <v>99.21</v>
      </c>
      <c r="H8" s="227">
        <f>rh_t1!I6</f>
        <v>99.21</v>
      </c>
      <c r="I8" s="227">
        <f>rh_t1!J6</f>
        <v>99.22</v>
      </c>
      <c r="J8" s="227">
        <f>rh_t1!K6</f>
        <v>99.24</v>
      </c>
      <c r="K8" s="227">
        <f>rh_t1!L6</f>
        <v>99.217777777777783</v>
      </c>
      <c r="L8" s="227">
        <f>rh_t1!M6</f>
        <v>1.0304020550552649E-2</v>
      </c>
    </row>
    <row r="9" spans="1:12" ht="15.6" customHeight="1" x14ac:dyDescent="0.2">
      <c r="A9" s="226">
        <v>5</v>
      </c>
      <c r="B9" s="227">
        <f>rh_t1!C7</f>
        <v>99.23</v>
      </c>
      <c r="C9" s="227">
        <f>rh_t1!D7</f>
        <v>99.22</v>
      </c>
      <c r="D9" s="227">
        <f>rh_t1!E7</f>
        <v>99.21</v>
      </c>
      <c r="E9" s="227">
        <f>rh_t1!F7</f>
        <v>99.21</v>
      </c>
      <c r="F9" s="227">
        <f>rh_t1!G7</f>
        <v>99.21</v>
      </c>
      <c r="G9" s="227">
        <f>rh_t1!H7</f>
        <v>99.21</v>
      </c>
      <c r="H9" s="227">
        <f>rh_t1!I7</f>
        <v>99.21</v>
      </c>
      <c r="I9" s="227">
        <f>rh_t1!J7</f>
        <v>99.22</v>
      </c>
      <c r="J9" s="227">
        <f>rh_t1!K7</f>
        <v>99.24</v>
      </c>
      <c r="K9" s="227">
        <f>rh_t1!L7</f>
        <v>99.217777777777783</v>
      </c>
      <c r="L9" s="227">
        <f>rh_t1!M7</f>
        <v>1.0304020550552649E-2</v>
      </c>
    </row>
    <row r="10" spans="1:12" ht="15.6" customHeight="1" x14ac:dyDescent="0.2">
      <c r="A10" s="226">
        <v>6</v>
      </c>
      <c r="B10" s="227">
        <f>rh_t1!C8</f>
        <v>99.23</v>
      </c>
      <c r="C10" s="227">
        <f>rh_t1!D8</f>
        <v>99.22</v>
      </c>
      <c r="D10" s="227">
        <f>rh_t1!E8</f>
        <v>99.21</v>
      </c>
      <c r="E10" s="227">
        <f>rh_t1!F8</f>
        <v>99.21</v>
      </c>
      <c r="F10" s="227">
        <f>rh_t1!G8</f>
        <v>99.21</v>
      </c>
      <c r="G10" s="227">
        <f>rh_t1!H8</f>
        <v>99.21</v>
      </c>
      <c r="H10" s="227">
        <f>rh_t1!I8</f>
        <v>99.21</v>
      </c>
      <c r="I10" s="227">
        <f>rh_t1!J8</f>
        <v>99.22</v>
      </c>
      <c r="J10" s="227">
        <f>rh_t1!K8</f>
        <v>99.24</v>
      </c>
      <c r="K10" s="227">
        <f>rh_t1!L8</f>
        <v>99.217777777777783</v>
      </c>
      <c r="L10" s="227">
        <f>rh_t1!M8</f>
        <v>1.0304020550552649E-2</v>
      </c>
    </row>
    <row r="11" spans="1:12" ht="15.6" customHeight="1" x14ac:dyDescent="0.2">
      <c r="A11" s="226">
        <v>7</v>
      </c>
      <c r="B11" s="227">
        <f>rh_t1!C9</f>
        <v>99.23</v>
      </c>
      <c r="C11" s="227">
        <f>rh_t1!D9</f>
        <v>99.22</v>
      </c>
      <c r="D11" s="227">
        <f>rh_t1!E9</f>
        <v>99.21</v>
      </c>
      <c r="E11" s="227">
        <f>rh_t1!F9</f>
        <v>99.21</v>
      </c>
      <c r="F11" s="227">
        <f>rh_t1!G9</f>
        <v>99.21</v>
      </c>
      <c r="G11" s="227">
        <f>rh_t1!H9</f>
        <v>99.21</v>
      </c>
      <c r="H11" s="227">
        <f>rh_t1!I9</f>
        <v>99.21</v>
      </c>
      <c r="I11" s="227">
        <f>rh_t1!J9</f>
        <v>99.22</v>
      </c>
      <c r="J11" s="227">
        <f>rh_t1!K9</f>
        <v>99.24</v>
      </c>
      <c r="K11" s="227">
        <f>rh_t1!L9</f>
        <v>99.217777777777783</v>
      </c>
      <c r="L11" s="227">
        <f>rh_t1!M9</f>
        <v>1.0304020550552649E-2</v>
      </c>
    </row>
    <row r="12" spans="1:12" ht="15.6" customHeight="1" x14ac:dyDescent="0.2">
      <c r="A12" s="226">
        <v>8</v>
      </c>
      <c r="B12" s="227">
        <f>rh_t1!C10</f>
        <v>99.23</v>
      </c>
      <c r="C12" s="227">
        <f>rh_t1!D10</f>
        <v>99.22</v>
      </c>
      <c r="D12" s="227">
        <f>rh_t1!E10</f>
        <v>99.21</v>
      </c>
      <c r="E12" s="227">
        <f>rh_t1!F10</f>
        <v>99.21</v>
      </c>
      <c r="F12" s="227">
        <f>rh_t1!G10</f>
        <v>99.21</v>
      </c>
      <c r="G12" s="227">
        <f>rh_t1!H10</f>
        <v>99.21</v>
      </c>
      <c r="H12" s="227">
        <f>rh_t1!I10</f>
        <v>99.21</v>
      </c>
      <c r="I12" s="227">
        <f>rh_t1!J10</f>
        <v>99.22</v>
      </c>
      <c r="J12" s="227">
        <f>rh_t1!K10</f>
        <v>99.24</v>
      </c>
      <c r="K12" s="227">
        <f>rh_t1!L10</f>
        <v>99.217777777777783</v>
      </c>
      <c r="L12" s="227">
        <f>rh_t1!M10</f>
        <v>1.0304020550552649E-2</v>
      </c>
    </row>
    <row r="13" spans="1:12" ht="15.6" customHeight="1" x14ac:dyDescent="0.2">
      <c r="A13" s="226">
        <v>9</v>
      </c>
      <c r="B13" s="227">
        <f>rh_t1!C11</f>
        <v>99.23</v>
      </c>
      <c r="C13" s="227">
        <f>rh_t1!D11</f>
        <v>99.22</v>
      </c>
      <c r="D13" s="227">
        <f>rh_t1!E11</f>
        <v>99.21</v>
      </c>
      <c r="E13" s="227">
        <f>rh_t1!F11</f>
        <v>99.21</v>
      </c>
      <c r="F13" s="227">
        <f>rh_t1!G11</f>
        <v>99.21</v>
      </c>
      <c r="G13" s="227">
        <f>rh_t1!H11</f>
        <v>99.21</v>
      </c>
      <c r="H13" s="227">
        <f>rh_t1!I11</f>
        <v>99.21</v>
      </c>
      <c r="I13" s="227">
        <f>rh_t1!J11</f>
        <v>99.22</v>
      </c>
      <c r="J13" s="227">
        <f>rh_t1!K11</f>
        <v>99.24</v>
      </c>
      <c r="K13" s="227">
        <f>rh_t1!L11</f>
        <v>99.217777777777783</v>
      </c>
      <c r="L13" s="227">
        <f>rh_t1!M11</f>
        <v>1.0304020550552649E-2</v>
      </c>
    </row>
    <row r="14" spans="1:12" ht="15.6" customHeight="1" x14ac:dyDescent="0.2">
      <c r="A14" s="226">
        <v>10</v>
      </c>
      <c r="B14" s="227">
        <f>rh_t1!C12</f>
        <v>99.23</v>
      </c>
      <c r="C14" s="227">
        <f>rh_t1!D12</f>
        <v>99.22</v>
      </c>
      <c r="D14" s="227">
        <f>rh_t1!E12</f>
        <v>99.21</v>
      </c>
      <c r="E14" s="227">
        <f>rh_t1!F12</f>
        <v>99.21</v>
      </c>
      <c r="F14" s="227">
        <f>rh_t1!G12</f>
        <v>99.21</v>
      </c>
      <c r="G14" s="227">
        <f>rh_t1!H12</f>
        <v>99.21</v>
      </c>
      <c r="H14" s="227">
        <f>rh_t1!I12</f>
        <v>99.21</v>
      </c>
      <c r="I14" s="227">
        <f>rh_t1!J12</f>
        <v>99.22</v>
      </c>
      <c r="J14" s="227">
        <f>rh_t1!K12</f>
        <v>99.24</v>
      </c>
      <c r="K14" s="227">
        <f>rh_t1!L12</f>
        <v>99.217777777777783</v>
      </c>
      <c r="L14" s="227">
        <f>rh_t1!M12</f>
        <v>1.0304020550552649E-2</v>
      </c>
    </row>
    <row r="15" spans="1:12" ht="15.6" customHeight="1" x14ac:dyDescent="0.2">
      <c r="A15" s="226">
        <v>11</v>
      </c>
      <c r="B15" s="227">
        <f>rh_t1!C13</f>
        <v>99.22</v>
      </c>
      <c r="C15" s="227">
        <f>rh_t1!D13</f>
        <v>99.22</v>
      </c>
      <c r="D15" s="227">
        <f>rh_t1!E13</f>
        <v>99.21</v>
      </c>
      <c r="E15" s="227">
        <f>rh_t1!F13</f>
        <v>99.21</v>
      </c>
      <c r="F15" s="227">
        <f>rh_t1!G13</f>
        <v>99.21</v>
      </c>
      <c r="G15" s="227">
        <f>rh_t1!H13</f>
        <v>99.21</v>
      </c>
      <c r="H15" s="227">
        <f>rh_t1!I13</f>
        <v>99.21</v>
      </c>
      <c r="I15" s="227">
        <f>rh_t1!J13</f>
        <v>99.22</v>
      </c>
      <c r="J15" s="227">
        <f>rh_t1!K13</f>
        <v>99.24</v>
      </c>
      <c r="K15" s="227">
        <f>rh_t1!L13</f>
        <v>99.216666666666669</v>
      </c>
      <c r="L15" s="227">
        <f>rh_t1!M13</f>
        <v>9.4280904158215492E-3</v>
      </c>
    </row>
    <row r="16" spans="1:12" ht="15.6" customHeight="1" x14ac:dyDescent="0.2">
      <c r="A16" s="226">
        <v>12</v>
      </c>
      <c r="B16" s="227">
        <f>rh_t1!C14</f>
        <v>99.22</v>
      </c>
      <c r="C16" s="227">
        <f>rh_t1!D14</f>
        <v>99.22</v>
      </c>
      <c r="D16" s="227">
        <f>rh_t1!E14</f>
        <v>99.21</v>
      </c>
      <c r="E16" s="227">
        <f>rh_t1!F14</f>
        <v>99.21</v>
      </c>
      <c r="F16" s="227">
        <f>rh_t1!G14</f>
        <v>99.21</v>
      </c>
      <c r="G16" s="227">
        <f>rh_t1!H14</f>
        <v>99.21</v>
      </c>
      <c r="H16" s="227">
        <f>rh_t1!I14</f>
        <v>99.21</v>
      </c>
      <c r="I16" s="227">
        <f>rh_t1!J14</f>
        <v>99.22</v>
      </c>
      <c r="J16" s="227">
        <f>rh_t1!K14</f>
        <v>99.24</v>
      </c>
      <c r="K16" s="227">
        <f>rh_t1!L14</f>
        <v>99.216666666666669</v>
      </c>
      <c r="L16" s="227">
        <f>rh_t1!M14</f>
        <v>9.4280904158215492E-3</v>
      </c>
    </row>
    <row r="17" spans="1:12" ht="15.6" customHeight="1" x14ac:dyDescent="0.2">
      <c r="A17" s="226">
        <v>13</v>
      </c>
      <c r="B17" s="227">
        <f>rh_t1!C15</f>
        <v>99.22</v>
      </c>
      <c r="C17" s="227">
        <f>rh_t1!D15</f>
        <v>99.22</v>
      </c>
      <c r="D17" s="227">
        <f>rh_t1!E15</f>
        <v>99.21</v>
      </c>
      <c r="E17" s="227">
        <f>rh_t1!F15</f>
        <v>99.21</v>
      </c>
      <c r="F17" s="227">
        <f>rh_t1!G15</f>
        <v>99.21</v>
      </c>
      <c r="G17" s="227">
        <f>rh_t1!H15</f>
        <v>99.21</v>
      </c>
      <c r="H17" s="227">
        <f>rh_t1!I15</f>
        <v>99.21</v>
      </c>
      <c r="I17" s="227">
        <f>rh_t1!J15</f>
        <v>99.22</v>
      </c>
      <c r="J17" s="227">
        <f>rh_t1!K15</f>
        <v>99.24</v>
      </c>
      <c r="K17" s="227">
        <f>rh_t1!L15</f>
        <v>99.216666666666669</v>
      </c>
      <c r="L17" s="227">
        <f>rh_t1!M15</f>
        <v>9.4280904158215492E-3</v>
      </c>
    </row>
    <row r="18" spans="1:12" ht="15.6" customHeight="1" x14ac:dyDescent="0.2">
      <c r="A18" s="226">
        <v>14</v>
      </c>
      <c r="B18" s="227">
        <f>rh_t1!C16</f>
        <v>99.22</v>
      </c>
      <c r="C18" s="227">
        <f>rh_t1!D16</f>
        <v>99.22</v>
      </c>
      <c r="D18" s="227">
        <f>rh_t1!E16</f>
        <v>99.21</v>
      </c>
      <c r="E18" s="227">
        <f>rh_t1!F16</f>
        <v>99.21</v>
      </c>
      <c r="F18" s="227">
        <f>rh_t1!G16</f>
        <v>99.21</v>
      </c>
      <c r="G18" s="227">
        <f>rh_t1!H16</f>
        <v>99.21</v>
      </c>
      <c r="H18" s="227">
        <f>rh_t1!I16</f>
        <v>99.21</v>
      </c>
      <c r="I18" s="227">
        <f>rh_t1!J16</f>
        <v>99.22</v>
      </c>
      <c r="J18" s="227">
        <f>rh_t1!K16</f>
        <v>99.24</v>
      </c>
      <c r="K18" s="227">
        <f>rh_t1!L16</f>
        <v>99.216666666666669</v>
      </c>
      <c r="L18" s="227">
        <f>rh_t1!M16</f>
        <v>9.4280904158215492E-3</v>
      </c>
    </row>
    <row r="19" spans="1:12" ht="15.6" customHeight="1" x14ac:dyDescent="0.2">
      <c r="A19" s="226">
        <v>15</v>
      </c>
      <c r="B19" s="227">
        <f>rh_t1!C17</f>
        <v>99.22</v>
      </c>
      <c r="C19" s="227">
        <f>rh_t1!D17</f>
        <v>99.22</v>
      </c>
      <c r="D19" s="227">
        <f>rh_t1!E17</f>
        <v>99.21</v>
      </c>
      <c r="E19" s="227">
        <f>rh_t1!F17</f>
        <v>99.21</v>
      </c>
      <c r="F19" s="227">
        <f>rh_t1!G17</f>
        <v>99.21</v>
      </c>
      <c r="G19" s="227">
        <f>rh_t1!H17</f>
        <v>99.2</v>
      </c>
      <c r="H19" s="227">
        <f>rh_t1!I17</f>
        <v>99.21</v>
      </c>
      <c r="I19" s="227">
        <f>rh_t1!J17</f>
        <v>99.22</v>
      </c>
      <c r="J19" s="227">
        <f>rh_t1!K17</f>
        <v>99.23</v>
      </c>
      <c r="K19" s="227">
        <f>rh_t1!L17</f>
        <v>99.214444444444453</v>
      </c>
      <c r="L19" s="227">
        <f>rh_t1!M17</f>
        <v>8.3147941928324916E-3</v>
      </c>
    </row>
    <row r="20" spans="1:12" ht="15.6" customHeight="1" x14ac:dyDescent="0.2">
      <c r="A20" s="226">
        <v>16</v>
      </c>
      <c r="B20" s="227">
        <f>rh_t1!C18</f>
        <v>99.22</v>
      </c>
      <c r="C20" s="227">
        <f>rh_t1!D18</f>
        <v>99.21</v>
      </c>
      <c r="D20" s="227">
        <f>rh_t1!E18</f>
        <v>99.21</v>
      </c>
      <c r="E20" s="227">
        <f>rh_t1!F18</f>
        <v>99.21</v>
      </c>
      <c r="F20" s="227">
        <f>rh_t1!G18</f>
        <v>99.21</v>
      </c>
      <c r="G20" s="227">
        <f>rh_t1!H18</f>
        <v>99.2</v>
      </c>
      <c r="H20" s="227">
        <f>rh_t1!I18</f>
        <v>99.21</v>
      </c>
      <c r="I20" s="227">
        <f>rh_t1!J18</f>
        <v>99.22</v>
      </c>
      <c r="J20" s="227">
        <f>rh_t1!K18</f>
        <v>99.24</v>
      </c>
      <c r="K20" s="227">
        <f>rh_t1!L18</f>
        <v>99.214444444444453</v>
      </c>
      <c r="L20" s="227">
        <f>rh_t1!M18</f>
        <v>1.0657403385138903E-2</v>
      </c>
    </row>
    <row r="21" spans="1:12" ht="15.6" customHeight="1" x14ac:dyDescent="0.2">
      <c r="A21" s="226">
        <v>17</v>
      </c>
      <c r="B21" s="227">
        <f>rh_t1!C19</f>
        <v>99.22</v>
      </c>
      <c r="C21" s="227">
        <f>rh_t1!D19</f>
        <v>99.21</v>
      </c>
      <c r="D21" s="227">
        <f>rh_t1!E19</f>
        <v>99.21</v>
      </c>
      <c r="E21" s="227">
        <f>rh_t1!F19</f>
        <v>99.2</v>
      </c>
      <c r="F21" s="227">
        <f>rh_t1!G19</f>
        <v>99.21</v>
      </c>
      <c r="G21" s="227">
        <f>rh_t1!H19</f>
        <v>99.2</v>
      </c>
      <c r="H21" s="227">
        <f>rh_t1!I19</f>
        <v>99.21</v>
      </c>
      <c r="I21" s="227">
        <f>rh_t1!J19</f>
        <v>99.22</v>
      </c>
      <c r="J21" s="227">
        <f>rh_t1!K19</f>
        <v>99.24</v>
      </c>
      <c r="K21" s="227">
        <f>rh_t1!L19</f>
        <v>99.213333333333338</v>
      </c>
      <c r="L21" s="227">
        <f>rh_t1!M19</f>
        <v>1.154700538379113E-2</v>
      </c>
    </row>
    <row r="22" spans="1:12" ht="15.6" customHeight="1" x14ac:dyDescent="0.2">
      <c r="A22" s="226">
        <v>18</v>
      </c>
      <c r="B22" s="227">
        <f>rh_t1!C20</f>
        <v>99.22</v>
      </c>
      <c r="C22" s="227">
        <f>rh_t1!D20</f>
        <v>99.21</v>
      </c>
      <c r="D22" s="227">
        <f>rh_t1!E20</f>
        <v>99.21</v>
      </c>
      <c r="E22" s="227">
        <f>rh_t1!F20</f>
        <v>99.2</v>
      </c>
      <c r="F22" s="227">
        <f>rh_t1!G20</f>
        <v>99.21</v>
      </c>
      <c r="G22" s="227">
        <f>rh_t1!H20</f>
        <v>99.2</v>
      </c>
      <c r="H22" s="227">
        <f>rh_t1!I20</f>
        <v>99.21</v>
      </c>
      <c r="I22" s="227">
        <f>rh_t1!J20</f>
        <v>99.21</v>
      </c>
      <c r="J22" s="227">
        <f>rh_t1!K20</f>
        <v>99.23</v>
      </c>
      <c r="K22" s="227">
        <f>rh_t1!L20</f>
        <v>99.211111111111123</v>
      </c>
      <c r="L22" s="227">
        <f>rh_t1!M20</f>
        <v>8.7488976377913669E-3</v>
      </c>
    </row>
    <row r="23" spans="1:12" ht="15.6" customHeight="1" x14ac:dyDescent="0.2">
      <c r="A23" s="226">
        <v>19</v>
      </c>
      <c r="B23" s="227">
        <f>rh_t1!C21</f>
        <v>99.22</v>
      </c>
      <c r="C23" s="227">
        <f>rh_t1!D21</f>
        <v>99.21</v>
      </c>
      <c r="D23" s="227">
        <f>rh_t1!E21</f>
        <v>99.21</v>
      </c>
      <c r="E23" s="227">
        <f>rh_t1!F21</f>
        <v>99.2</v>
      </c>
      <c r="F23" s="227">
        <f>rh_t1!G21</f>
        <v>99.21</v>
      </c>
      <c r="G23" s="227">
        <f>rh_t1!H21</f>
        <v>99.08</v>
      </c>
      <c r="H23" s="227">
        <f>rh_t1!I21</f>
        <v>99.2</v>
      </c>
      <c r="I23" s="227">
        <f>rh_t1!J21</f>
        <v>99.21</v>
      </c>
      <c r="J23" s="227">
        <f>rh_t1!K21</f>
        <v>99.23</v>
      </c>
      <c r="K23" s="227">
        <f>rh_t1!L21</f>
        <v>99.196666666666673</v>
      </c>
      <c r="L23" s="227">
        <f>rh_t1!M21</f>
        <v>4.2163702135578365E-2</v>
      </c>
    </row>
    <row r="24" spans="1:12" ht="15.6" customHeight="1" x14ac:dyDescent="0.2">
      <c r="A24" s="226">
        <v>20</v>
      </c>
      <c r="B24" s="227">
        <f>rh_t1!C22</f>
        <v>99.22</v>
      </c>
      <c r="C24" s="227">
        <f>rh_t1!D22</f>
        <v>99.21</v>
      </c>
      <c r="D24" s="227">
        <f>rh_t1!E22</f>
        <v>99.21</v>
      </c>
      <c r="E24" s="227">
        <f>rh_t1!F22</f>
        <v>99.2</v>
      </c>
      <c r="F24" s="227">
        <f>rh_t1!G22</f>
        <v>99.2</v>
      </c>
      <c r="G24" s="227">
        <f>rh_t1!H22</f>
        <v>98.96</v>
      </c>
      <c r="H24" s="227">
        <f>rh_t1!I22</f>
        <v>99.2</v>
      </c>
      <c r="I24" s="227">
        <f>rh_t1!J22</f>
        <v>99.21</v>
      </c>
      <c r="J24" s="227">
        <f>rh_t1!K22</f>
        <v>99.23</v>
      </c>
      <c r="K24" s="227">
        <f>rh_t1!L22</f>
        <v>99.182222222222236</v>
      </c>
      <c r="L24" s="227">
        <f>rh_t1!M22</f>
        <v>7.913108362117878E-2</v>
      </c>
    </row>
    <row r="25" spans="1:12" ht="15.6" customHeight="1" x14ac:dyDescent="0.2">
      <c r="A25" s="226">
        <v>21</v>
      </c>
      <c r="B25" s="227">
        <f>rh_t1!C23</f>
        <v>99.22</v>
      </c>
      <c r="C25" s="227">
        <f>rh_t1!D23</f>
        <v>99.21</v>
      </c>
      <c r="D25" s="227">
        <f>rh_t1!E23</f>
        <v>99.21</v>
      </c>
      <c r="E25" s="227">
        <f>rh_t1!F23</f>
        <v>99.2</v>
      </c>
      <c r="F25" s="227">
        <f>rh_t1!G23</f>
        <v>99.2</v>
      </c>
      <c r="G25" s="227">
        <f>rh_t1!H23</f>
        <v>98.91</v>
      </c>
      <c r="H25" s="227">
        <f>rh_t1!I23</f>
        <v>99.2</v>
      </c>
      <c r="I25" s="227">
        <f>rh_t1!J23</f>
        <v>99.21</v>
      </c>
      <c r="J25" s="227">
        <f>rh_t1!K23</f>
        <v>99.23</v>
      </c>
      <c r="K25" s="227">
        <f>rh_t1!L23</f>
        <v>99.176666666666677</v>
      </c>
      <c r="L25" s="227">
        <f>rh_t1!M23</f>
        <v>9.4751136023680058E-2</v>
      </c>
    </row>
    <row r="26" spans="1:12" ht="15.6" customHeight="1" x14ac:dyDescent="0.2">
      <c r="A26" s="226">
        <v>22</v>
      </c>
      <c r="B26" s="227">
        <f>rh_t1!C24</f>
        <v>99.22</v>
      </c>
      <c r="C26" s="227">
        <f>rh_t1!D24</f>
        <v>99.21</v>
      </c>
      <c r="D26" s="227">
        <f>rh_t1!E24</f>
        <v>99.2</v>
      </c>
      <c r="E26" s="227">
        <f>rh_t1!F24</f>
        <v>99.1</v>
      </c>
      <c r="F26" s="227">
        <f>rh_t1!G24</f>
        <v>99.2</v>
      </c>
      <c r="G26" s="227">
        <f>rh_t1!H24</f>
        <v>98.79</v>
      </c>
      <c r="H26" s="227">
        <f>rh_t1!I24</f>
        <v>99.2</v>
      </c>
      <c r="I26" s="227">
        <f>rh_t1!J24</f>
        <v>99.21</v>
      </c>
      <c r="J26" s="227">
        <f>rh_t1!K24</f>
        <v>99.22</v>
      </c>
      <c r="K26" s="227">
        <f>rh_t1!L24</f>
        <v>99.15000000000002</v>
      </c>
      <c r="L26" s="227">
        <f>rh_t1!M24</f>
        <v>0.13190905958272711</v>
      </c>
    </row>
    <row r="27" spans="1:12" ht="15.6" customHeight="1" x14ac:dyDescent="0.2">
      <c r="A27" s="226">
        <v>23</v>
      </c>
      <c r="B27" s="227">
        <f>rh_t1!C25</f>
        <v>99.22</v>
      </c>
      <c r="C27" s="227">
        <f>rh_t1!D25</f>
        <v>99.21</v>
      </c>
      <c r="D27" s="227">
        <f>rh_t1!E25</f>
        <v>99.2</v>
      </c>
      <c r="E27" s="227">
        <f>rh_t1!F25</f>
        <v>98.96</v>
      </c>
      <c r="F27" s="227">
        <f>rh_t1!G25</f>
        <v>99.2</v>
      </c>
      <c r="G27" s="227">
        <f>rh_t1!H25</f>
        <v>98.69</v>
      </c>
      <c r="H27" s="227">
        <f>rh_t1!I25</f>
        <v>99.2</v>
      </c>
      <c r="I27" s="227">
        <f>rh_t1!J25</f>
        <v>99.21</v>
      </c>
      <c r="J27" s="227">
        <f>rh_t1!K25</f>
        <v>99.23</v>
      </c>
      <c r="K27" s="227">
        <f>rh_t1!L25</f>
        <v>99.124444444444464</v>
      </c>
      <c r="L27" s="227">
        <f>rh_t1!M25</f>
        <v>0.17250514395622654</v>
      </c>
    </row>
    <row r="28" spans="1:12" ht="15.6" customHeight="1" x14ac:dyDescent="0.2">
      <c r="A28" s="226">
        <v>24</v>
      </c>
      <c r="B28" s="227">
        <f>rh_t1!C26</f>
        <v>99.22</v>
      </c>
      <c r="C28" s="227">
        <f>rh_t1!D26</f>
        <v>99.21</v>
      </c>
      <c r="D28" s="227">
        <f>rh_t1!E26</f>
        <v>99.2</v>
      </c>
      <c r="E28" s="227">
        <f>rh_t1!F26</f>
        <v>98.83</v>
      </c>
      <c r="F28" s="227">
        <f>rh_t1!G26</f>
        <v>99.2</v>
      </c>
      <c r="G28" s="227">
        <f>rh_t1!H26</f>
        <v>98.58</v>
      </c>
      <c r="H28" s="227">
        <f>rh_t1!I26</f>
        <v>99.2</v>
      </c>
      <c r="I28" s="227">
        <f>rh_t1!J26</f>
        <v>99.21</v>
      </c>
      <c r="J28" s="227">
        <f>rh_t1!K26</f>
        <v>99.23</v>
      </c>
      <c r="K28" s="227">
        <f>rh_t1!L26</f>
        <v>99.097777777777793</v>
      </c>
      <c r="L28" s="227">
        <f>rh_t1!M26</f>
        <v>0.21826476163787817</v>
      </c>
    </row>
    <row r="29" spans="1:12" ht="15.6" customHeight="1" x14ac:dyDescent="0.2">
      <c r="A29" s="226">
        <v>25</v>
      </c>
      <c r="B29" s="227">
        <f>rh_t1!C27</f>
        <v>99.22</v>
      </c>
      <c r="C29" s="227">
        <f>rh_t1!D27</f>
        <v>99.21</v>
      </c>
      <c r="D29" s="227">
        <f>rh_t1!E27</f>
        <v>99.2</v>
      </c>
      <c r="E29" s="227">
        <f>rh_t1!F27</f>
        <v>98.7</v>
      </c>
      <c r="F29" s="227">
        <f>rh_t1!G27</f>
        <v>99.2</v>
      </c>
      <c r="G29" s="227">
        <f>rh_t1!H27</f>
        <v>98.52</v>
      </c>
      <c r="H29" s="227">
        <f>rh_t1!I27</f>
        <v>99.2</v>
      </c>
      <c r="I29" s="227">
        <f>rh_t1!J27</f>
        <v>99.21</v>
      </c>
      <c r="J29" s="227">
        <f>rh_t1!K27</f>
        <v>99.31</v>
      </c>
      <c r="K29" s="227">
        <f>rh_t1!L27</f>
        <v>99.085555555555558</v>
      </c>
      <c r="L29" s="227">
        <f>rh_t1!M27</f>
        <v>0.25974821616802174</v>
      </c>
    </row>
    <row r="30" spans="1:12" ht="15.6" customHeight="1" x14ac:dyDescent="0.2">
      <c r="A30" s="226">
        <v>26</v>
      </c>
      <c r="B30" s="227">
        <f>rh_t1!C28</f>
        <v>99.22</v>
      </c>
      <c r="C30" s="227">
        <f>rh_t1!D28</f>
        <v>99.21</v>
      </c>
      <c r="D30" s="227">
        <f>rh_t1!E28</f>
        <v>99.2</v>
      </c>
      <c r="E30" s="227">
        <f>rh_t1!F28</f>
        <v>98.59</v>
      </c>
      <c r="F30" s="227">
        <f>rh_t1!G28</f>
        <v>99.2</v>
      </c>
      <c r="G30" s="227">
        <f>rh_t1!H28</f>
        <v>98.48</v>
      </c>
      <c r="H30" s="227">
        <f>rh_t1!I28</f>
        <v>99.16</v>
      </c>
      <c r="I30" s="227">
        <f>rh_t1!J28</f>
        <v>99.21</v>
      </c>
      <c r="J30" s="227">
        <f>rh_t1!K28</f>
        <v>99.22</v>
      </c>
      <c r="K30" s="227">
        <f>rh_t1!L28</f>
        <v>99.054444444444442</v>
      </c>
      <c r="L30" s="227">
        <f>rh_t1!M28</f>
        <v>0.27936877703180368</v>
      </c>
    </row>
    <row r="31" spans="1:12" ht="15.6" customHeight="1" x14ac:dyDescent="0.2">
      <c r="A31" s="226">
        <v>27</v>
      </c>
      <c r="B31" s="227">
        <f>rh_t1!C29</f>
        <v>99.22</v>
      </c>
      <c r="C31" s="227">
        <f>rh_t1!D29</f>
        <v>99.21</v>
      </c>
      <c r="D31" s="227">
        <f>rh_t1!E29</f>
        <v>99.2</v>
      </c>
      <c r="E31" s="227">
        <f>rh_t1!F29</f>
        <v>98.54</v>
      </c>
      <c r="F31" s="227">
        <f>rh_t1!G29</f>
        <v>99.2</v>
      </c>
      <c r="G31" s="227">
        <f>rh_t1!H29</f>
        <v>98.48</v>
      </c>
      <c r="H31" s="227">
        <f>rh_t1!I29</f>
        <v>99.14</v>
      </c>
      <c r="I31" s="227">
        <f>rh_t1!J29</f>
        <v>99.21</v>
      </c>
      <c r="J31" s="227">
        <f>rh_t1!K29</f>
        <v>99.22</v>
      </c>
      <c r="K31" s="227">
        <f>rh_t1!L29</f>
        <v>99.046666666666681</v>
      </c>
      <c r="L31" s="227">
        <f>rh_t1!M29</f>
        <v>0.288097205817756</v>
      </c>
    </row>
    <row r="32" spans="1:12" ht="15.6" customHeight="1" x14ac:dyDescent="0.2">
      <c r="A32" s="226">
        <v>28</v>
      </c>
      <c r="B32" s="227">
        <f>rh_t1!C30</f>
        <v>99.21</v>
      </c>
      <c r="C32" s="227">
        <f>rh_t1!D30</f>
        <v>99.21</v>
      </c>
      <c r="D32" s="227">
        <f>rh_t1!E30</f>
        <v>99.2</v>
      </c>
      <c r="E32" s="227">
        <f>rh_t1!F30</f>
        <v>98.55</v>
      </c>
      <c r="F32" s="227">
        <f>rh_t1!G30</f>
        <v>99.18</v>
      </c>
      <c r="G32" s="227">
        <f>rh_t1!H30</f>
        <v>98.51</v>
      </c>
      <c r="H32" s="227">
        <f>rh_t1!I30</f>
        <v>99.12</v>
      </c>
      <c r="I32" s="227">
        <f>rh_t1!J30</f>
        <v>99.21</v>
      </c>
      <c r="J32" s="227">
        <f>rh_t1!K30</f>
        <v>99.23</v>
      </c>
      <c r="K32" s="227">
        <f>rh_t1!L30</f>
        <v>99.046666666666681</v>
      </c>
      <c r="L32" s="227">
        <f>rh_t1!M30</f>
        <v>0.27788886667555035</v>
      </c>
    </row>
    <row r="33" spans="1:12" ht="15.6" customHeight="1" x14ac:dyDescent="0.2">
      <c r="A33" s="226">
        <v>29</v>
      </c>
      <c r="B33" s="227">
        <f>rh_t1!C31</f>
        <v>99.21</v>
      </c>
      <c r="C33" s="227">
        <f>rh_t1!D31</f>
        <v>99.21</v>
      </c>
      <c r="D33" s="227">
        <f>rh_t1!E31</f>
        <v>99.2</v>
      </c>
      <c r="E33" s="227">
        <f>rh_t1!F31</f>
        <v>98.55</v>
      </c>
      <c r="F33" s="227">
        <f>rh_t1!G31</f>
        <v>99.18</v>
      </c>
      <c r="G33" s="227">
        <f>rh_t1!H31</f>
        <v>98.54</v>
      </c>
      <c r="H33" s="227">
        <f>rh_t1!I31</f>
        <v>99.07</v>
      </c>
      <c r="I33" s="227">
        <f>rh_t1!J31</f>
        <v>99.21</v>
      </c>
      <c r="J33" s="227">
        <f>rh_t1!K31</f>
        <v>99.22</v>
      </c>
      <c r="K33" s="227">
        <f>rh_t1!L31</f>
        <v>99.043333333333351</v>
      </c>
      <c r="L33" s="227">
        <f>rh_t1!M31</f>
        <v>0.26981475126463922</v>
      </c>
    </row>
    <row r="34" spans="1:12" ht="15.6" customHeight="1" x14ac:dyDescent="0.2">
      <c r="A34" s="226">
        <v>30</v>
      </c>
      <c r="B34" s="227">
        <f>rh_t1!C32</f>
        <v>99.21</v>
      </c>
      <c r="C34" s="227">
        <f>rh_t1!D32</f>
        <v>99.21</v>
      </c>
      <c r="D34" s="227">
        <f>rh_t1!E32</f>
        <v>99.2</v>
      </c>
      <c r="E34" s="227">
        <f>rh_t1!F32</f>
        <v>98.55</v>
      </c>
      <c r="F34" s="227">
        <f>rh_t1!G32</f>
        <v>99.18</v>
      </c>
      <c r="G34" s="227">
        <f>rh_t1!H32</f>
        <v>98.54</v>
      </c>
      <c r="H34" s="227">
        <f>rh_t1!I32</f>
        <v>99.07</v>
      </c>
      <c r="I34" s="227">
        <f>rh_t1!J32</f>
        <v>99.21</v>
      </c>
      <c r="J34" s="227">
        <f>rh_t1!K32</f>
        <v>99.22</v>
      </c>
      <c r="K34" s="227">
        <f>rh_t1!L32</f>
        <v>99.043333333333351</v>
      </c>
      <c r="L34" s="227">
        <f>rh_t1!M32</f>
        <v>0.26981475126463922</v>
      </c>
    </row>
    <row r="35" spans="1:12" ht="15.6" customHeight="1" x14ac:dyDescent="0.35">
      <c r="A35" s="228" t="s">
        <v>64</v>
      </c>
      <c r="B35" s="227">
        <f>rh_t1!C33</f>
        <v>99.22233333333331</v>
      </c>
      <c r="C35" s="227">
        <f>rh_t1!D33</f>
        <v>99.215000000000018</v>
      </c>
      <c r="D35" s="227">
        <f>rh_t1!E33</f>
        <v>99.206999999999951</v>
      </c>
      <c r="E35" s="227">
        <f>rh_t1!F33</f>
        <v>99.057666666666691</v>
      </c>
      <c r="F35" s="227">
        <f>rh_t1!G33</f>
        <v>99.204333333333295</v>
      </c>
      <c r="G35" s="227">
        <f>rh_t1!H33</f>
        <v>98.994000000000014</v>
      </c>
      <c r="H35" s="227">
        <f>rh_t1!I33</f>
        <v>99.191333333333333</v>
      </c>
      <c r="I35" s="227">
        <f>rh_t1!J33</f>
        <v>99.215666666666692</v>
      </c>
      <c r="J35" s="227">
        <f>rh_t1!K33</f>
        <v>99.236333333333292</v>
      </c>
      <c r="K35" s="137"/>
      <c r="L35" s="137"/>
    </row>
    <row r="36" spans="1:12" ht="15.6" customHeight="1" x14ac:dyDescent="0.35">
      <c r="A36" s="228" t="s">
        <v>39</v>
      </c>
      <c r="B36" s="227">
        <f>rh_t1!C34</f>
        <v>6.1553951042096133E-3</v>
      </c>
      <c r="C36" s="227">
        <f>rh_t1!D34</f>
        <v>5.0000000000025562E-3</v>
      </c>
      <c r="D36" s="227">
        <f>rh_t1!E34</f>
        <v>4.5825756949516719E-3</v>
      </c>
      <c r="E36" s="227">
        <f>rh_t1!F34</f>
        <v>0.25321510399043728</v>
      </c>
      <c r="F36" s="227">
        <f>rh_t1!G34</f>
        <v>9.1954094827512104E-3</v>
      </c>
      <c r="G36" s="227">
        <f>rh_t1!H34</f>
        <v>0.29117692216245128</v>
      </c>
      <c r="H36" s="227">
        <f>rh_t1!I34</f>
        <v>3.8706875645318981E-2</v>
      </c>
      <c r="I36" s="227">
        <f>rh_t1!J34</f>
        <v>4.9553562491087026E-3</v>
      </c>
      <c r="J36" s="227">
        <f>rh_t1!K34</f>
        <v>1.5595583420385598E-2</v>
      </c>
      <c r="K36" s="138"/>
      <c r="L36" s="138"/>
    </row>
    <row r="37" spans="1:12" ht="15.6" customHeight="1" x14ac:dyDescent="0.35">
      <c r="A37" s="228" t="s">
        <v>65</v>
      </c>
      <c r="B37" s="227">
        <f>rh_t1!C35</f>
        <v>7.6666666666937999E-3</v>
      </c>
      <c r="C37" s="227">
        <f>rh_t1!D35</f>
        <v>4.9999999999812417E-3</v>
      </c>
      <c r="D37" s="227">
        <f>rh_t1!E35</f>
        <v>3.0000000000427463E-3</v>
      </c>
      <c r="E37" s="227">
        <f>rh_t1!F35</f>
        <v>0.15233333333330279</v>
      </c>
      <c r="F37" s="227">
        <f>rh_t1!G35</f>
        <v>5.6666666666984611E-3</v>
      </c>
      <c r="G37" s="227">
        <f>rh_t1!H35</f>
        <v>0.21599999999997976</v>
      </c>
      <c r="H37" s="227">
        <f>rh_t1!I35</f>
        <v>1.8666666666661058E-2</v>
      </c>
      <c r="I37" s="227">
        <f>rh_t1!J35</f>
        <v>4.3333333333066548E-3</v>
      </c>
      <c r="J37" s="227">
        <f>rh_t1!K35</f>
        <v>7.3666666666710512E-2</v>
      </c>
      <c r="K37" s="416"/>
      <c r="L37" s="416"/>
    </row>
    <row r="38" spans="1:12" ht="15.6" customHeight="1" x14ac:dyDescent="0.35">
      <c r="A38" s="228" t="s">
        <v>66</v>
      </c>
      <c r="B38" s="227">
        <f>rh_t1!C36</f>
        <v>1.2333333333316432E-2</v>
      </c>
      <c r="C38" s="227">
        <f>rh_t1!D36</f>
        <v>5.0000000000238742E-3</v>
      </c>
      <c r="D38" s="227">
        <f>rh_t1!E36</f>
        <v>6.9999999999481588E-3</v>
      </c>
      <c r="E38" s="227">
        <f>rh_t1!F36</f>
        <v>0.5176666666666847</v>
      </c>
      <c r="F38" s="227">
        <f>rh_t1!G36</f>
        <v>2.4333333333288465E-2</v>
      </c>
      <c r="G38" s="227">
        <f>rh_t1!H36</f>
        <v>0.51400000000001</v>
      </c>
      <c r="H38" s="227">
        <f>rh_t1!I36</f>
        <v>0.12133333333333951</v>
      </c>
      <c r="I38" s="227">
        <f>rh_t1!J36</f>
        <v>5.6666666666984611E-3</v>
      </c>
      <c r="J38" s="227">
        <f>rh_t1!K36</f>
        <v>1.6333333333292899E-2</v>
      </c>
      <c r="K38" s="416"/>
      <c r="L38" s="416"/>
    </row>
    <row r="39" spans="1:12" ht="15.6" customHeight="1" x14ac:dyDescent="0.2">
      <c r="A39" s="229" t="s">
        <v>37</v>
      </c>
      <c r="B39" s="227">
        <f>rh_t1!C37</f>
        <v>1.0000000000005116E-2</v>
      </c>
      <c r="C39" s="227">
        <f>rh_t1!D37</f>
        <v>5.000000000002558E-3</v>
      </c>
      <c r="D39" s="227">
        <f>rh_t1!E37</f>
        <v>4.9999999999954525E-3</v>
      </c>
      <c r="E39" s="227">
        <f>rh_t1!F37</f>
        <v>0.33499999999999375</v>
      </c>
      <c r="F39" s="227">
        <f>rh_t1!G37</f>
        <v>1.4999999999993463E-2</v>
      </c>
      <c r="G39" s="227">
        <f>rh_t1!H37</f>
        <v>0.36499999999999488</v>
      </c>
      <c r="H39" s="227">
        <f>rh_t1!I37</f>
        <v>7.0000000000000284E-2</v>
      </c>
      <c r="I39" s="227">
        <f>rh_t1!J37</f>
        <v>5.000000000002558E-3</v>
      </c>
      <c r="J39" s="227">
        <f>rh_t1!K37</f>
        <v>4.5000000000001705E-2</v>
      </c>
      <c r="K39" s="416"/>
      <c r="L39" s="416"/>
    </row>
    <row r="40" spans="1:12" ht="15.6" customHeight="1" x14ac:dyDescent="0.35">
      <c r="A40" s="230" t="s">
        <v>67</v>
      </c>
      <c r="B40" s="227">
        <f>rh_t1!C38</f>
        <v>1.8000000000014893E-2</v>
      </c>
      <c r="C40" s="227">
        <f>rh_t1!D38</f>
        <v>1.0666666666722335E-2</v>
      </c>
      <c r="D40" s="227">
        <f>rh_t1!E38</f>
        <v>2.6666666666557148E-3</v>
      </c>
      <c r="E40" s="227">
        <f>rh_t1!F38</f>
        <v>-0.14666666666660433</v>
      </c>
      <c r="F40" s="227">
        <f>rh_t1!G38</f>
        <v>0</v>
      </c>
      <c r="G40" s="227">
        <f>rh_t1!H38</f>
        <v>-0.2103333333332813</v>
      </c>
      <c r="H40" s="227">
        <f>rh_t1!I38</f>
        <v>-1.2999999999962597E-2</v>
      </c>
      <c r="I40" s="227">
        <f>rh_t1!J38</f>
        <v>1.1333333333396922E-2</v>
      </c>
      <c r="J40" s="227">
        <f>rh_t1!K38</f>
        <v>3.1999999999996476E-2</v>
      </c>
      <c r="K40" s="139"/>
      <c r="L40" s="139"/>
    </row>
    <row r="41" spans="1:12" ht="15.6" customHeight="1" x14ac:dyDescent="0.35">
      <c r="A41" s="233" t="s">
        <v>69</v>
      </c>
      <c r="B41" s="232">
        <f>rh_t1!C40</f>
        <v>99.171518518518354</v>
      </c>
      <c r="C41" s="139"/>
      <c r="D41" s="139"/>
      <c r="E41" s="139"/>
      <c r="F41" s="139"/>
      <c r="G41" s="139"/>
      <c r="H41" s="139"/>
      <c r="I41" s="139"/>
      <c r="J41" s="139"/>
      <c r="K41" s="139"/>
      <c r="L41" s="139"/>
    </row>
    <row r="42" spans="1:12" s="167" customFormat="1" ht="15.6" customHeight="1" x14ac:dyDescent="0.35">
      <c r="A42" s="233" t="s">
        <v>70</v>
      </c>
      <c r="B42" s="232">
        <f>rh_t1!C41</f>
        <v>1.1715185185183543</v>
      </c>
      <c r="C42" s="139"/>
      <c r="D42" s="139"/>
      <c r="E42" s="139"/>
      <c r="F42" s="139"/>
      <c r="G42" s="139"/>
      <c r="H42" s="139"/>
      <c r="I42" s="139"/>
      <c r="J42" s="139"/>
      <c r="K42" s="139"/>
      <c r="L42" s="139"/>
    </row>
    <row r="43" spans="1:12" ht="15.6" customHeight="1" x14ac:dyDescent="0.35">
      <c r="A43" s="233" t="s">
        <v>270</v>
      </c>
      <c r="B43" s="232">
        <f>rh_t1!C46</f>
        <v>0.15226533137436651</v>
      </c>
      <c r="C43" s="139"/>
      <c r="D43" s="139"/>
      <c r="E43" s="139"/>
      <c r="F43" s="139"/>
      <c r="G43" s="139"/>
      <c r="H43" s="139"/>
      <c r="I43" s="139"/>
      <c r="J43" s="139"/>
      <c r="K43" s="139"/>
      <c r="L43" s="139"/>
    </row>
    <row r="44" spans="1:12" ht="15.6" customHeight="1" x14ac:dyDescent="0.35">
      <c r="A44" s="241" t="s">
        <v>71</v>
      </c>
      <c r="B44" s="232">
        <f>rh_t1!C42</f>
        <v>0.24233333333327778</v>
      </c>
      <c r="C44" s="139"/>
      <c r="D44" s="139"/>
      <c r="E44" s="139"/>
      <c r="F44" s="139"/>
      <c r="G44" s="139"/>
      <c r="H44" s="139"/>
      <c r="I44" s="139"/>
      <c r="J44" s="139"/>
      <c r="K44" s="139"/>
      <c r="L44" s="139"/>
    </row>
    <row r="45" spans="1:12" ht="15.6" customHeight="1" x14ac:dyDescent="0.35">
      <c r="A45" s="241" t="s">
        <v>72</v>
      </c>
      <c r="B45" s="240">
        <f>rh_t1!C43</f>
        <v>3.1999999999996476E-2</v>
      </c>
      <c r="C45" s="139"/>
      <c r="D45" s="139"/>
      <c r="E45" s="139"/>
      <c r="F45" s="139"/>
      <c r="G45" s="139"/>
      <c r="H45" s="139"/>
      <c r="I45" s="139"/>
      <c r="J45" s="139"/>
      <c r="K45" s="139"/>
      <c r="L45" s="139"/>
    </row>
    <row r="46" spans="1:12" ht="15.6" customHeight="1" x14ac:dyDescent="0.2">
      <c r="A46" s="283"/>
      <c r="B46" s="240">
        <f>rh_t1!C44</f>
        <v>-0.2103333333332813</v>
      </c>
      <c r="C46" s="140"/>
      <c r="D46" s="139"/>
      <c r="E46" s="139"/>
      <c r="F46" s="139"/>
      <c r="G46" s="139"/>
      <c r="H46" s="139"/>
      <c r="I46" s="139"/>
      <c r="J46" s="139"/>
      <c r="K46" s="139"/>
      <c r="L46" s="139"/>
    </row>
    <row r="47" spans="1:12" ht="18.75" x14ac:dyDescent="0.35">
      <c r="A47" s="242" t="s">
        <v>50</v>
      </c>
      <c r="B47" s="232">
        <f>rh_t1!C45</f>
        <v>9.4999999999998863E-2</v>
      </c>
      <c r="C47" s="139"/>
      <c r="D47" s="139"/>
      <c r="E47" s="139"/>
      <c r="F47" s="139"/>
      <c r="G47" s="139"/>
      <c r="H47" s="139"/>
      <c r="I47" s="139"/>
      <c r="J47" s="139"/>
      <c r="K47" s="139"/>
      <c r="L47" s="139"/>
    </row>
    <row r="48" spans="1:12" ht="29.25" customHeight="1" x14ac:dyDescent="0.2">
      <c r="A48" s="417" t="s">
        <v>352</v>
      </c>
      <c r="B48" s="417"/>
      <c r="C48" s="417"/>
      <c r="D48" s="417"/>
      <c r="E48" s="417"/>
      <c r="F48" s="417"/>
      <c r="G48" s="417"/>
      <c r="H48" s="417"/>
      <c r="I48" s="417"/>
      <c r="J48" s="417"/>
      <c r="K48" s="417"/>
      <c r="L48" s="417"/>
    </row>
    <row r="49" spans="1:12" ht="31.5" customHeight="1" thickBot="1" x14ac:dyDescent="0.25">
      <c r="A49" s="430" t="str">
        <f>"Заданная температура = "&amp;rh_t1!C86&amp;" °С;  Заданная относительная влажность =  "&amp;$E$1&amp;rh_t1!C39 &amp;" %."</f>
        <v>Заданная температура = 40 °С;  Заданная относительная влажность =  98 %.</v>
      </c>
      <c r="B49" s="430"/>
      <c r="C49" s="430"/>
      <c r="D49" s="430"/>
      <c r="E49" s="430"/>
      <c r="F49" s="430"/>
      <c r="G49" s="430"/>
      <c r="H49" s="430"/>
      <c r="I49" s="430"/>
      <c r="J49" s="430"/>
      <c r="K49" s="430"/>
      <c r="L49" s="430"/>
    </row>
    <row r="50" spans="1:12" ht="30.75" customHeight="1" thickTop="1" thickBot="1" x14ac:dyDescent="0.25">
      <c r="A50" s="239" t="s">
        <v>89</v>
      </c>
      <c r="B50" s="419" t="s">
        <v>94</v>
      </c>
      <c r="C50" s="419"/>
      <c r="D50" s="419"/>
      <c r="E50" s="419"/>
      <c r="F50" s="419"/>
      <c r="G50" s="419"/>
      <c r="H50" s="419"/>
      <c r="I50" s="419"/>
      <c r="J50" s="419"/>
      <c r="K50" s="420" t="s">
        <v>91</v>
      </c>
      <c r="L50" s="420"/>
    </row>
    <row r="51" spans="1:12" ht="15" customHeight="1" thickTop="1" x14ac:dyDescent="0.2">
      <c r="A51" s="236"/>
      <c r="B51" s="235">
        <v>1</v>
      </c>
      <c r="C51" s="235">
        <v>2</v>
      </c>
      <c r="D51" s="235">
        <v>3</v>
      </c>
      <c r="E51" s="235">
        <v>4</v>
      </c>
      <c r="F51" s="235">
        <v>5</v>
      </c>
      <c r="G51" s="235">
        <v>6</v>
      </c>
      <c r="H51" s="235">
        <v>7</v>
      </c>
      <c r="I51" s="235">
        <v>8</v>
      </c>
      <c r="J51" s="235">
        <v>9</v>
      </c>
      <c r="K51" s="237" t="s">
        <v>92</v>
      </c>
      <c r="L51" s="238" t="s">
        <v>93</v>
      </c>
    </row>
    <row r="52" spans="1:12" ht="15" customHeight="1" x14ac:dyDescent="0.2">
      <c r="A52" s="226">
        <v>1</v>
      </c>
      <c r="B52" s="227">
        <f>rh_t1!C50</f>
        <v>39.69003</v>
      </c>
      <c r="C52" s="227">
        <f>rh_t1!D50</f>
        <v>39.890059999999998</v>
      </c>
      <c r="D52" s="227">
        <f>rh_t1!E50</f>
        <v>39.800939999999997</v>
      </c>
      <c r="E52" s="227">
        <f>rh_t1!F50</f>
        <v>40.029969999999999</v>
      </c>
      <c r="F52" s="227">
        <f>rh_t1!G50</f>
        <v>39.7866</v>
      </c>
      <c r="G52" s="227">
        <f>rh_t1!H50</f>
        <v>39.702770000000001</v>
      </c>
      <c r="H52" s="227">
        <f>rh_t1!I50</f>
        <v>39.728859999999997</v>
      </c>
      <c r="I52" s="227">
        <f>rh_t1!J50</f>
        <v>39.519660000000002</v>
      </c>
      <c r="J52" s="227">
        <f>rh_t1!K50</f>
        <v>39.863959999999999</v>
      </c>
      <c r="K52" s="227">
        <f>rh_t1!L50</f>
        <v>39.779205555555556</v>
      </c>
      <c r="L52" s="227">
        <f>rh_t1!M50</f>
        <v>0.13604539210711991</v>
      </c>
    </row>
    <row r="53" spans="1:12" ht="15" customHeight="1" x14ac:dyDescent="0.2">
      <c r="A53" s="226">
        <v>2</v>
      </c>
      <c r="B53" s="227">
        <f>rh_t1!C51</f>
        <v>39.681750000000001</v>
      </c>
      <c r="C53" s="227">
        <f>rh_t1!D51</f>
        <v>39.884929999999997</v>
      </c>
      <c r="D53" s="227">
        <f>rh_t1!E51</f>
        <v>39.797649999999997</v>
      </c>
      <c r="E53" s="227">
        <f>rh_t1!F51</f>
        <v>40.025069999999999</v>
      </c>
      <c r="F53" s="227">
        <f>rh_t1!G51</f>
        <v>39.777160000000002</v>
      </c>
      <c r="G53" s="227">
        <f>rh_t1!H51</f>
        <v>39.693420000000003</v>
      </c>
      <c r="H53" s="227">
        <f>rh_t1!I51</f>
        <v>39.72146</v>
      </c>
      <c r="I53" s="227">
        <f>rh_t1!J51</f>
        <v>39.514279999999999</v>
      </c>
      <c r="J53" s="227">
        <f>rh_t1!K51</f>
        <v>39.856560000000002</v>
      </c>
      <c r="K53" s="227">
        <f>rh_t1!L51</f>
        <v>39.772475555555552</v>
      </c>
      <c r="L53" s="227">
        <f>rh_t1!M51</f>
        <v>0.13659521913799874</v>
      </c>
    </row>
    <row r="54" spans="1:12" ht="15" customHeight="1" x14ac:dyDescent="0.2">
      <c r="A54" s="226">
        <v>3</v>
      </c>
      <c r="B54" s="227">
        <f>rh_t1!C52</f>
        <v>39.674460000000003</v>
      </c>
      <c r="C54" s="227">
        <f>rh_t1!D52</f>
        <v>39.876220000000004</v>
      </c>
      <c r="D54" s="227">
        <f>rh_t1!E52</f>
        <v>39.790990000000001</v>
      </c>
      <c r="E54" s="227">
        <f>rh_t1!F52</f>
        <v>40.015439999999998</v>
      </c>
      <c r="F54" s="227">
        <f>rh_t1!G52</f>
        <v>39.765549999999998</v>
      </c>
      <c r="G54" s="227">
        <f>rh_t1!H52</f>
        <v>39.684570000000001</v>
      </c>
      <c r="H54" s="227">
        <f>rh_t1!I52</f>
        <v>39.711449999999999</v>
      </c>
      <c r="I54" s="227">
        <f>rh_t1!J52</f>
        <v>39.508580000000002</v>
      </c>
      <c r="J54" s="227">
        <f>rh_t1!K52</f>
        <v>39.849730000000001</v>
      </c>
      <c r="K54" s="227">
        <f>rh_t1!L52</f>
        <v>39.764109999999995</v>
      </c>
      <c r="L54" s="227">
        <f>rh_t1!M52</f>
        <v>0.13590160002328416</v>
      </c>
    </row>
    <row r="55" spans="1:12" ht="15" customHeight="1" x14ac:dyDescent="0.2">
      <c r="A55" s="226">
        <v>4</v>
      </c>
      <c r="B55" s="227">
        <f>rh_t1!C53</f>
        <v>39.672179999999997</v>
      </c>
      <c r="C55" s="227">
        <f>rh_t1!D53</f>
        <v>39.870190000000001</v>
      </c>
      <c r="D55" s="227">
        <f>rh_t1!E53</f>
        <v>39.786540000000002</v>
      </c>
      <c r="E55" s="227">
        <f>rh_t1!F53</f>
        <v>40.011139999999997</v>
      </c>
      <c r="F55" s="227">
        <f>rh_t1!G53</f>
        <v>39.761249999999997</v>
      </c>
      <c r="G55" s="227">
        <f>rh_t1!H53</f>
        <v>39.679839999999999</v>
      </c>
      <c r="H55" s="227">
        <f>rh_t1!I53</f>
        <v>39.706609999999998</v>
      </c>
      <c r="I55" s="227">
        <f>rh_t1!J53</f>
        <v>39.504309999999997</v>
      </c>
      <c r="J55" s="227">
        <f>rh_t1!K53</f>
        <v>39.84554</v>
      </c>
      <c r="K55" s="227">
        <f>rh_t1!L53</f>
        <v>39.75973333333333</v>
      </c>
      <c r="L55" s="227">
        <f>rh_t1!M53</f>
        <v>0.1356471597769586</v>
      </c>
    </row>
    <row r="56" spans="1:12" ht="15" customHeight="1" x14ac:dyDescent="0.2">
      <c r="A56" s="226">
        <v>5</v>
      </c>
      <c r="B56" s="227">
        <f>rh_t1!C54</f>
        <v>39.670569999999998</v>
      </c>
      <c r="C56" s="227">
        <f>rh_t1!D54</f>
        <v>39.868899999999996</v>
      </c>
      <c r="D56" s="227">
        <f>rh_t1!E54</f>
        <v>39.783459999999998</v>
      </c>
      <c r="E56" s="227">
        <f>rh_t1!F54</f>
        <v>40.008620000000001</v>
      </c>
      <c r="F56" s="227">
        <f>rh_t1!G54</f>
        <v>39.760420000000003</v>
      </c>
      <c r="G56" s="227">
        <f>rh_t1!H54</f>
        <v>39.680489999999999</v>
      </c>
      <c r="H56" s="227">
        <f>rh_t1!I54</f>
        <v>39.70449</v>
      </c>
      <c r="I56" s="227">
        <f>rh_t1!J54</f>
        <v>39.502130000000001</v>
      </c>
      <c r="J56" s="227">
        <f>rh_t1!K54</f>
        <v>39.844569999999997</v>
      </c>
      <c r="K56" s="227">
        <f>rh_t1!L54</f>
        <v>39.758183333333335</v>
      </c>
      <c r="L56" s="227">
        <f>rh_t1!M54</f>
        <v>0.13549985928651936</v>
      </c>
    </row>
    <row r="57" spans="1:12" ht="15" customHeight="1" x14ac:dyDescent="0.2">
      <c r="A57" s="226">
        <v>6</v>
      </c>
      <c r="B57" s="227">
        <f>rh_t1!C55</f>
        <v>39.669589999999999</v>
      </c>
      <c r="C57" s="227">
        <f>rh_t1!D55</f>
        <v>39.870109999999997</v>
      </c>
      <c r="D57" s="227">
        <f>rh_t1!E55</f>
        <v>39.783029999999997</v>
      </c>
      <c r="E57" s="227">
        <f>rh_t1!F55</f>
        <v>40.005470000000003</v>
      </c>
      <c r="F57" s="227">
        <f>rh_t1!G55</f>
        <v>39.760249999999999</v>
      </c>
      <c r="G57" s="227">
        <f>rh_t1!H55</f>
        <v>39.679079999999999</v>
      </c>
      <c r="H57" s="227">
        <f>rh_t1!I55</f>
        <v>39.703200000000002</v>
      </c>
      <c r="I57" s="227">
        <f>rh_t1!J55</f>
        <v>39.500999999999998</v>
      </c>
      <c r="J57" s="227">
        <f>rh_t1!K55</f>
        <v>39.843069999999997</v>
      </c>
      <c r="K57" s="227">
        <f>rh_t1!L55</f>
        <v>39.75719999999999</v>
      </c>
      <c r="L57" s="227">
        <f>rh_t1!M55</f>
        <v>0.13530603000441507</v>
      </c>
    </row>
    <row r="58" spans="1:12" ht="15" customHeight="1" x14ac:dyDescent="0.2">
      <c r="A58" s="226">
        <v>7</v>
      </c>
      <c r="B58" s="227">
        <f>rh_t1!C56</f>
        <v>39.673169999999999</v>
      </c>
      <c r="C58" s="227">
        <f>rh_t1!D56</f>
        <v>39.873399999999997</v>
      </c>
      <c r="D58" s="227">
        <f>rh_t1!E56</f>
        <v>39.782539999999997</v>
      </c>
      <c r="E58" s="227">
        <f>rh_t1!F56</f>
        <v>40.00703</v>
      </c>
      <c r="F58" s="227">
        <f>rh_t1!G56</f>
        <v>39.76238</v>
      </c>
      <c r="G58" s="227">
        <f>rh_t1!H56</f>
        <v>39.683059999999998</v>
      </c>
      <c r="H58" s="227">
        <f>rh_t1!I56</f>
        <v>39.708100000000002</v>
      </c>
      <c r="I58" s="227">
        <f>rh_t1!J56</f>
        <v>39.504710000000003</v>
      </c>
      <c r="J58" s="227">
        <f>rh_t1!K56</f>
        <v>39.846530000000001</v>
      </c>
      <c r="K58" s="227">
        <f>rh_t1!L56</f>
        <v>39.760102222222223</v>
      </c>
      <c r="L58" s="227">
        <f>rh_t1!M56</f>
        <v>0.13466429468024632</v>
      </c>
    </row>
    <row r="59" spans="1:12" ht="15" customHeight="1" x14ac:dyDescent="0.2">
      <c r="A59" s="226">
        <v>8</v>
      </c>
      <c r="B59" s="227">
        <f>rh_t1!C57</f>
        <v>39.676960000000001</v>
      </c>
      <c r="C59" s="227">
        <f>rh_t1!D57</f>
        <v>39.87426</v>
      </c>
      <c r="D59" s="227">
        <f>rh_t1!E57</f>
        <v>39.785069999999997</v>
      </c>
      <c r="E59" s="227">
        <f>rh_t1!F57</f>
        <v>40.015099999999997</v>
      </c>
      <c r="F59" s="227">
        <f>rh_t1!G57</f>
        <v>39.768030000000003</v>
      </c>
      <c r="G59" s="227">
        <f>rh_t1!H57</f>
        <v>39.687869999999997</v>
      </c>
      <c r="H59" s="227">
        <f>rh_t1!I57</f>
        <v>39.712510000000002</v>
      </c>
      <c r="I59" s="227">
        <f>rh_t1!J57</f>
        <v>39.506239999999998</v>
      </c>
      <c r="J59" s="227">
        <f>rh_t1!K57</f>
        <v>39.849550000000001</v>
      </c>
      <c r="K59" s="227">
        <f>rh_t1!L57</f>
        <v>39.763954444444444</v>
      </c>
      <c r="L59" s="227">
        <f>rh_t1!M57</f>
        <v>0.13558540704098307</v>
      </c>
    </row>
    <row r="60" spans="1:12" ht="15" customHeight="1" x14ac:dyDescent="0.2">
      <c r="A60" s="226">
        <v>9</v>
      </c>
      <c r="B60" s="227">
        <f>rh_t1!C58</f>
        <v>39.677930000000003</v>
      </c>
      <c r="C60" s="227">
        <f>rh_t1!D58</f>
        <v>39.87574</v>
      </c>
      <c r="D60" s="227">
        <f>rh_t1!E58</f>
        <v>39.787039999999998</v>
      </c>
      <c r="E60" s="227">
        <f>rh_t1!F58</f>
        <v>40.018030000000003</v>
      </c>
      <c r="F60" s="227">
        <f>rh_t1!G58</f>
        <v>39.770040000000002</v>
      </c>
      <c r="G60" s="227">
        <f>rh_t1!H58</f>
        <v>39.689169999999997</v>
      </c>
      <c r="H60" s="227">
        <f>rh_t1!I58</f>
        <v>39.711649999999999</v>
      </c>
      <c r="I60" s="227">
        <f>rh_t1!J58</f>
        <v>39.508800000000001</v>
      </c>
      <c r="J60" s="227">
        <f>rh_t1!K58</f>
        <v>39.849629999999998</v>
      </c>
      <c r="K60" s="227">
        <f>rh_t1!L58</f>
        <v>39.76533666666667</v>
      </c>
      <c r="L60" s="227">
        <f>rh_t1!M58</f>
        <v>0.13571864065861514</v>
      </c>
    </row>
    <row r="61" spans="1:12" ht="15" customHeight="1" x14ac:dyDescent="0.2">
      <c r="A61" s="226">
        <v>10</v>
      </c>
      <c r="B61" s="227">
        <f>rh_t1!C59</f>
        <v>39.677720000000001</v>
      </c>
      <c r="C61" s="227">
        <f>rh_t1!D59</f>
        <v>39.877400000000002</v>
      </c>
      <c r="D61" s="227">
        <f>rh_t1!E59</f>
        <v>39.79</v>
      </c>
      <c r="E61" s="227">
        <f>rh_t1!F59</f>
        <v>40.020339999999997</v>
      </c>
      <c r="F61" s="227">
        <f>rh_t1!G59</f>
        <v>39.769390000000001</v>
      </c>
      <c r="G61" s="227">
        <f>rh_t1!H59</f>
        <v>39.69126</v>
      </c>
      <c r="H61" s="227">
        <f>rh_t1!I59</f>
        <v>39.715809999999998</v>
      </c>
      <c r="I61" s="227">
        <f>rh_t1!J59</f>
        <v>39.509979999999999</v>
      </c>
      <c r="J61" s="227">
        <f>rh_t1!K59</f>
        <v>39.852119999999999</v>
      </c>
      <c r="K61" s="227">
        <f>rh_t1!L59</f>
        <v>39.767113333333334</v>
      </c>
      <c r="L61" s="227">
        <f>rh_t1!M59</f>
        <v>0.13602960829662522</v>
      </c>
    </row>
    <row r="62" spans="1:12" ht="15" customHeight="1" x14ac:dyDescent="0.2">
      <c r="A62" s="226">
        <v>11</v>
      </c>
      <c r="B62" s="227">
        <f>rh_t1!C60</f>
        <v>39.672899999999998</v>
      </c>
      <c r="C62" s="227">
        <f>rh_t1!D60</f>
        <v>39.873179999999998</v>
      </c>
      <c r="D62" s="227">
        <f>rh_t1!E60</f>
        <v>39.788400000000003</v>
      </c>
      <c r="E62" s="227">
        <f>rh_t1!F60</f>
        <v>40.019829999999999</v>
      </c>
      <c r="F62" s="227">
        <f>rh_t1!G60</f>
        <v>39.764180000000003</v>
      </c>
      <c r="G62" s="227">
        <f>rh_t1!H60</f>
        <v>39.687390000000001</v>
      </c>
      <c r="H62" s="227">
        <f>rh_t1!I60</f>
        <v>39.713039999999999</v>
      </c>
      <c r="I62" s="227">
        <f>rh_t1!J60</f>
        <v>39.506</v>
      </c>
      <c r="J62" s="227">
        <f>rh_t1!K60</f>
        <v>39.847990000000003</v>
      </c>
      <c r="K62" s="227">
        <f>rh_t1!L60</f>
        <v>39.763656666666662</v>
      </c>
      <c r="L62" s="227">
        <f>rh_t1!M60</f>
        <v>0.1367670918020851</v>
      </c>
    </row>
    <row r="63" spans="1:12" ht="15" customHeight="1" x14ac:dyDescent="0.2">
      <c r="A63" s="226">
        <v>12</v>
      </c>
      <c r="B63" s="227">
        <f>rh_t1!C61</f>
        <v>39.667740000000002</v>
      </c>
      <c r="C63" s="227">
        <f>rh_t1!D61</f>
        <v>39.870519999999999</v>
      </c>
      <c r="D63" s="227">
        <f>rh_t1!E61</f>
        <v>39.78434</v>
      </c>
      <c r="E63" s="227">
        <f>rh_t1!F61</f>
        <v>40.013300000000001</v>
      </c>
      <c r="F63" s="227">
        <f>rh_t1!G61</f>
        <v>39.752510000000001</v>
      </c>
      <c r="G63" s="227">
        <f>rh_t1!H61</f>
        <v>39.681019999999997</v>
      </c>
      <c r="H63" s="227">
        <f>rh_t1!I61</f>
        <v>39.703629999999997</v>
      </c>
      <c r="I63" s="227">
        <f>rh_t1!J61</f>
        <v>39.50047</v>
      </c>
      <c r="J63" s="227">
        <f>rh_t1!K61</f>
        <v>39.844889999999999</v>
      </c>
      <c r="K63" s="227">
        <f>rh_t1!L61</f>
        <v>39.757602222222225</v>
      </c>
      <c r="L63" s="227">
        <f>rh_t1!M61</f>
        <v>0.13721913130122129</v>
      </c>
    </row>
    <row r="64" spans="1:12" ht="15" customHeight="1" x14ac:dyDescent="0.2">
      <c r="A64" s="226">
        <v>13</v>
      </c>
      <c r="B64" s="227">
        <f>rh_t1!C62</f>
        <v>39.674410000000002</v>
      </c>
      <c r="C64" s="227">
        <f>rh_t1!D62</f>
        <v>39.87697</v>
      </c>
      <c r="D64" s="227">
        <f>rh_t1!E62</f>
        <v>39.78031</v>
      </c>
      <c r="E64" s="227">
        <f>rh_t1!F62</f>
        <v>40.012999999999998</v>
      </c>
      <c r="F64" s="227">
        <f>rh_t1!G62</f>
        <v>39.751730000000002</v>
      </c>
      <c r="G64" s="227">
        <f>rh_t1!H62</f>
        <v>39.683219999999999</v>
      </c>
      <c r="H64" s="227">
        <f>rh_t1!I62</f>
        <v>39.707880000000003</v>
      </c>
      <c r="I64" s="227">
        <f>rh_t1!J62</f>
        <v>39.503399999999999</v>
      </c>
      <c r="J64" s="227">
        <f>rh_t1!K62</f>
        <v>39.850299999999997</v>
      </c>
      <c r="K64" s="227">
        <f>rh_t1!L62</f>
        <v>39.760135555555557</v>
      </c>
      <c r="L64" s="227">
        <f>rh_t1!M62</f>
        <v>0.13666937616103597</v>
      </c>
    </row>
    <row r="65" spans="1:12" ht="15" customHeight="1" x14ac:dyDescent="0.2">
      <c r="A65" s="226">
        <v>14</v>
      </c>
      <c r="B65" s="227">
        <f>rh_t1!C63</f>
        <v>39.679380000000002</v>
      </c>
      <c r="C65" s="227">
        <f>rh_t1!D63</f>
        <v>39.882129999999997</v>
      </c>
      <c r="D65" s="227">
        <f>rh_t1!E63</f>
        <v>39.786169999999998</v>
      </c>
      <c r="E65" s="227">
        <f>rh_t1!F63</f>
        <v>40.019390000000001</v>
      </c>
      <c r="F65" s="227">
        <f>rh_t1!G63</f>
        <v>39.765659999999997</v>
      </c>
      <c r="G65" s="227">
        <f>rh_t1!H63</f>
        <v>39.692070000000001</v>
      </c>
      <c r="H65" s="227">
        <f>rh_t1!I63</f>
        <v>39.714840000000002</v>
      </c>
      <c r="I65" s="227">
        <f>rh_t1!J63</f>
        <v>39.509169999999997</v>
      </c>
      <c r="J65" s="227">
        <f>rh_t1!K63</f>
        <v>39.852939999999997</v>
      </c>
      <c r="K65" s="227">
        <f>rh_t1!L63</f>
        <v>39.766861111111112</v>
      </c>
      <c r="L65" s="227">
        <f>rh_t1!M63</f>
        <v>0.13629998259105158</v>
      </c>
    </row>
    <row r="66" spans="1:12" ht="15" customHeight="1" x14ac:dyDescent="0.2">
      <c r="A66" s="226">
        <v>15</v>
      </c>
      <c r="B66" s="227">
        <f>rh_t1!C64</f>
        <v>39.685670000000002</v>
      </c>
      <c r="C66" s="227">
        <f>rh_t1!D64</f>
        <v>39.887729999999998</v>
      </c>
      <c r="D66" s="227">
        <f>rh_t1!E64</f>
        <v>39.790019999999998</v>
      </c>
      <c r="E66" s="227">
        <f>rh_t1!F64</f>
        <v>40.023159999999997</v>
      </c>
      <c r="F66" s="227">
        <f>rh_t1!G64</f>
        <v>39.777250000000002</v>
      </c>
      <c r="G66" s="227">
        <f>rh_t1!H64</f>
        <v>39.698569999999997</v>
      </c>
      <c r="H66" s="227">
        <f>rh_t1!I64</f>
        <v>39.720739999999999</v>
      </c>
      <c r="I66" s="227">
        <f>rh_t1!J64</f>
        <v>39.514740000000003</v>
      </c>
      <c r="J66" s="227">
        <f>rh_t1!K64</f>
        <v>39.85839</v>
      </c>
      <c r="K66" s="227">
        <f>rh_t1!L64</f>
        <v>39.772918888888881</v>
      </c>
      <c r="L66" s="227">
        <f>rh_t1!M64</f>
        <v>0.13578488841173481</v>
      </c>
    </row>
    <row r="67" spans="1:12" ht="15" customHeight="1" x14ac:dyDescent="0.2">
      <c r="A67" s="226">
        <v>16</v>
      </c>
      <c r="B67" s="227">
        <f>rh_t1!C65</f>
        <v>39.681669999999997</v>
      </c>
      <c r="C67" s="227">
        <f>rh_t1!D65</f>
        <v>39.880740000000003</v>
      </c>
      <c r="D67" s="227">
        <f>rh_t1!E65</f>
        <v>39.79419</v>
      </c>
      <c r="E67" s="227">
        <f>rh_t1!F65</f>
        <v>40.025069999999999</v>
      </c>
      <c r="F67" s="227">
        <f>rh_t1!G65</f>
        <v>39.771419999999999</v>
      </c>
      <c r="G67" s="227">
        <f>rh_t1!H65</f>
        <v>39.694389999999999</v>
      </c>
      <c r="H67" s="227">
        <f>rh_t1!I65</f>
        <v>39.715299999999999</v>
      </c>
      <c r="I67" s="227">
        <f>rh_t1!J65</f>
        <v>39.513689999999997</v>
      </c>
      <c r="J67" s="227">
        <f>rh_t1!K65</f>
        <v>39.852800000000002</v>
      </c>
      <c r="K67" s="227">
        <f>rh_t1!L65</f>
        <v>39.769918888888888</v>
      </c>
      <c r="L67" s="227">
        <f>rh_t1!M65</f>
        <v>0.13620775507734584</v>
      </c>
    </row>
    <row r="68" spans="1:12" ht="15" customHeight="1" x14ac:dyDescent="0.2">
      <c r="A68" s="226">
        <v>17</v>
      </c>
      <c r="B68" s="227">
        <f>rh_t1!C66</f>
        <v>39.673409999999997</v>
      </c>
      <c r="C68" s="227">
        <f>rh_t1!D66</f>
        <v>39.872459999999997</v>
      </c>
      <c r="D68" s="227">
        <f>rh_t1!E66</f>
        <v>39.790950000000002</v>
      </c>
      <c r="E68" s="227">
        <f>rh_t1!F66</f>
        <v>40.015439999999998</v>
      </c>
      <c r="F68" s="227">
        <f>rh_t1!G66</f>
        <v>39.759450000000001</v>
      </c>
      <c r="G68" s="227">
        <f>rh_t1!H66</f>
        <v>39.679920000000003</v>
      </c>
      <c r="H68" s="227">
        <f>rh_t1!I66</f>
        <v>39.70608</v>
      </c>
      <c r="I68" s="227">
        <f>rh_t1!J66</f>
        <v>39.50656</v>
      </c>
      <c r="J68" s="227">
        <f>rh_t1!K66</f>
        <v>39.844329999999999</v>
      </c>
      <c r="K68" s="227">
        <f>rh_t1!L66</f>
        <v>39.760955555555562</v>
      </c>
      <c r="L68" s="227">
        <f>rh_t1!M66</f>
        <v>0.1362221289831104</v>
      </c>
    </row>
    <row r="69" spans="1:12" ht="15" customHeight="1" x14ac:dyDescent="0.2">
      <c r="A69" s="226">
        <v>18</v>
      </c>
      <c r="B69" s="227">
        <f>rh_t1!C67</f>
        <v>39.670250000000003</v>
      </c>
      <c r="C69" s="227">
        <f>rh_t1!D67</f>
        <v>39.873289999999997</v>
      </c>
      <c r="D69" s="227">
        <f>rh_t1!E67</f>
        <v>39.785769999999999</v>
      </c>
      <c r="E69" s="227">
        <f>rh_t1!F67</f>
        <v>40.01155</v>
      </c>
      <c r="F69" s="227">
        <f>rh_t1!G67</f>
        <v>39.754710000000003</v>
      </c>
      <c r="G69" s="227">
        <f>rh_t1!H67</f>
        <v>39.675379999999997</v>
      </c>
      <c r="H69" s="227">
        <f>rh_t1!I67</f>
        <v>39.701970000000003</v>
      </c>
      <c r="I69" s="227">
        <f>rh_t1!J67</f>
        <v>39.504600000000003</v>
      </c>
      <c r="J69" s="227">
        <f>rh_t1!K67</f>
        <v>39.842559999999999</v>
      </c>
      <c r="K69" s="227">
        <f>rh_t1!L67</f>
        <v>39.757786666666661</v>
      </c>
      <c r="L69" s="227">
        <f>rh_t1!M67</f>
        <v>0.13637709786552094</v>
      </c>
    </row>
    <row r="70" spans="1:12" ht="15" customHeight="1" x14ac:dyDescent="0.2">
      <c r="A70" s="226">
        <v>19</v>
      </c>
      <c r="B70" s="227">
        <f>rh_t1!C68</f>
        <v>39.667119999999997</v>
      </c>
      <c r="C70" s="227">
        <f>rh_t1!D68</f>
        <v>39.872369999999997</v>
      </c>
      <c r="D70" s="227">
        <f>rh_t1!E68</f>
        <v>39.78389</v>
      </c>
      <c r="E70" s="227">
        <f>rh_t1!F68</f>
        <v>40.010440000000003</v>
      </c>
      <c r="F70" s="227">
        <f>rh_t1!G68</f>
        <v>39.748690000000003</v>
      </c>
      <c r="G70" s="227">
        <f>rh_t1!H68</f>
        <v>39.672580000000004</v>
      </c>
      <c r="H70" s="227">
        <f>rh_t1!I68</f>
        <v>39.697719999999997</v>
      </c>
      <c r="I70" s="227">
        <f>rh_t1!J68</f>
        <v>39.501080000000002</v>
      </c>
      <c r="J70" s="227">
        <f>rh_t1!K68</f>
        <v>39.840000000000003</v>
      </c>
      <c r="K70" s="227">
        <f>rh_t1!L68</f>
        <v>39.754876666666668</v>
      </c>
      <c r="L70" s="227">
        <f>rh_t1!M68</f>
        <v>0.1371928640029553</v>
      </c>
    </row>
    <row r="71" spans="1:12" ht="15" customHeight="1" x14ac:dyDescent="0.2">
      <c r="A71" s="226">
        <v>20</v>
      </c>
      <c r="B71" s="227">
        <f>rh_t1!C69</f>
        <v>39.66769</v>
      </c>
      <c r="C71" s="227">
        <f>rh_t1!D69</f>
        <v>39.874899999999997</v>
      </c>
      <c r="D71" s="227">
        <f>rh_t1!E69</f>
        <v>39.782359999999997</v>
      </c>
      <c r="E71" s="227">
        <f>rh_t1!F69</f>
        <v>40.009099999999997</v>
      </c>
      <c r="F71" s="227">
        <f>rh_t1!G69</f>
        <v>39.748049999999999</v>
      </c>
      <c r="G71" s="227">
        <f>rh_t1!H69</f>
        <v>39.673189999999998</v>
      </c>
      <c r="H71" s="227">
        <f>rh_t1!I69</f>
        <v>39.700319999999998</v>
      </c>
      <c r="I71" s="227">
        <f>rh_t1!J69</f>
        <v>39.499250000000004</v>
      </c>
      <c r="J71" s="227">
        <f>rh_t1!K69</f>
        <v>39.841769999999997</v>
      </c>
      <c r="K71" s="227">
        <f>rh_t1!L69</f>
        <v>39.755181111111114</v>
      </c>
      <c r="L71" s="227">
        <f>rh_t1!M69</f>
        <v>0.13742970198488319</v>
      </c>
    </row>
    <row r="72" spans="1:12" ht="15" customHeight="1" x14ac:dyDescent="0.2">
      <c r="A72" s="226">
        <v>21</v>
      </c>
      <c r="B72" s="227">
        <f>rh_t1!C70</f>
        <v>39.669029999999999</v>
      </c>
      <c r="C72" s="227">
        <f>rh_t1!D70</f>
        <v>39.877400000000002</v>
      </c>
      <c r="D72" s="227">
        <f>rh_t1!E70</f>
        <v>39.785339999999998</v>
      </c>
      <c r="E72" s="227">
        <f>rh_t1!F70</f>
        <v>40.014420000000001</v>
      </c>
      <c r="F72" s="227">
        <f>rh_t1!G70</f>
        <v>39.751710000000003</v>
      </c>
      <c r="G72" s="227">
        <f>rh_t1!H70</f>
        <v>39.678870000000003</v>
      </c>
      <c r="H72" s="227">
        <f>rh_t1!I70</f>
        <v>39.704700000000003</v>
      </c>
      <c r="I72" s="227">
        <f>rh_t1!J70</f>
        <v>39.502099999999999</v>
      </c>
      <c r="J72" s="227">
        <f>rh_t1!K70</f>
        <v>39.843150000000001</v>
      </c>
      <c r="K72" s="227">
        <f>rh_t1!L70</f>
        <v>39.75852444444444</v>
      </c>
      <c r="L72" s="227">
        <f>rh_t1!M70</f>
        <v>0.13765721558447</v>
      </c>
    </row>
    <row r="73" spans="1:12" ht="15" customHeight="1" x14ac:dyDescent="0.2">
      <c r="A73" s="226">
        <v>22</v>
      </c>
      <c r="B73" s="227">
        <f>rh_t1!C71</f>
        <v>39.673070000000003</v>
      </c>
      <c r="C73" s="227">
        <f>rh_t1!D71</f>
        <v>39.87697</v>
      </c>
      <c r="D73" s="227">
        <f>rh_t1!E71</f>
        <v>39.786009999999997</v>
      </c>
      <c r="E73" s="227">
        <f>rh_t1!F71</f>
        <v>40.016959999999997</v>
      </c>
      <c r="F73" s="227">
        <f>rh_t1!G71</f>
        <v>39.753419999999998</v>
      </c>
      <c r="G73" s="227">
        <f>rh_t1!H71</f>
        <v>39.681080000000001</v>
      </c>
      <c r="H73" s="227">
        <f>rh_t1!I71</f>
        <v>39.706699999999998</v>
      </c>
      <c r="I73" s="227">
        <f>rh_t1!J71</f>
        <v>39.503979999999999</v>
      </c>
      <c r="J73" s="227">
        <f>rh_t1!K71</f>
        <v>39.843600000000002</v>
      </c>
      <c r="K73" s="227">
        <f>rh_t1!L71</f>
        <v>39.760198888888887</v>
      </c>
      <c r="L73" s="227">
        <f>rh_t1!M71</f>
        <v>0.13727149282793491</v>
      </c>
    </row>
    <row r="74" spans="1:12" ht="15" customHeight="1" x14ac:dyDescent="0.2">
      <c r="A74" s="226">
        <v>23</v>
      </c>
      <c r="B74" s="227">
        <f>rh_t1!C72</f>
        <v>39.671390000000002</v>
      </c>
      <c r="C74" s="227">
        <f>rh_t1!D72</f>
        <v>39.872329999999998</v>
      </c>
      <c r="D74" s="227">
        <f>rh_t1!E72</f>
        <v>39.788319999999999</v>
      </c>
      <c r="E74" s="227">
        <f>rh_t1!F72</f>
        <v>40.016930000000002</v>
      </c>
      <c r="F74" s="227">
        <f>rh_t1!G72</f>
        <v>39.753369999999997</v>
      </c>
      <c r="G74" s="227">
        <f>rh_t1!H72</f>
        <v>39.680320000000002</v>
      </c>
      <c r="H74" s="227">
        <f>rh_t1!I72</f>
        <v>39.705919999999999</v>
      </c>
      <c r="I74" s="227">
        <f>rh_t1!J72</f>
        <v>39.504440000000002</v>
      </c>
      <c r="J74" s="227">
        <f>rh_t1!K72</f>
        <v>39.842750000000002</v>
      </c>
      <c r="K74" s="227">
        <f>rh_t1!L72</f>
        <v>39.759530000000005</v>
      </c>
      <c r="L74" s="227">
        <f>rh_t1!M72</f>
        <v>0.13693421048079951</v>
      </c>
    </row>
    <row r="75" spans="1:12" ht="15" customHeight="1" x14ac:dyDescent="0.2">
      <c r="A75" s="226">
        <v>24</v>
      </c>
      <c r="B75" s="227">
        <f>rh_t1!C73</f>
        <v>39.676960000000001</v>
      </c>
      <c r="C75" s="227">
        <f>rh_t1!D73</f>
        <v>39.880710000000001</v>
      </c>
      <c r="D75" s="227">
        <f>rh_t1!E73</f>
        <v>39.786630000000002</v>
      </c>
      <c r="E75" s="227">
        <f>rh_t1!F73</f>
        <v>40.013840000000002</v>
      </c>
      <c r="F75" s="227">
        <f>rh_t1!G73</f>
        <v>39.754100000000001</v>
      </c>
      <c r="G75" s="227">
        <f>rh_t1!H73</f>
        <v>39.67653</v>
      </c>
      <c r="H75" s="227">
        <f>rh_t1!I73</f>
        <v>39.706960000000002</v>
      </c>
      <c r="I75" s="227">
        <f>rh_t1!J73</f>
        <v>39.50667</v>
      </c>
      <c r="J75" s="227">
        <f>rh_t1!K73</f>
        <v>39.8461</v>
      </c>
      <c r="K75" s="227">
        <f>rh_t1!L73</f>
        <v>39.760944444444441</v>
      </c>
      <c r="L75" s="227">
        <f>rh_t1!M73</f>
        <v>0.13662886136546989</v>
      </c>
    </row>
    <row r="76" spans="1:12" ht="15" customHeight="1" x14ac:dyDescent="0.2">
      <c r="A76" s="226">
        <v>25</v>
      </c>
      <c r="B76" s="227">
        <f>rh_t1!C74</f>
        <v>39.684930000000001</v>
      </c>
      <c r="C76" s="227">
        <f>rh_t1!D74</f>
        <v>39.885010000000001</v>
      </c>
      <c r="D76" s="227">
        <f>rh_t1!E74</f>
        <v>39.790599999999998</v>
      </c>
      <c r="E76" s="227">
        <f>rh_t1!F74</f>
        <v>40.020659999999999</v>
      </c>
      <c r="F76" s="227">
        <f>rh_t1!G74</f>
        <v>39.767859999999999</v>
      </c>
      <c r="G76" s="227">
        <f>rh_t1!H74</f>
        <v>39.687130000000003</v>
      </c>
      <c r="H76" s="227">
        <f>rh_t1!I74</f>
        <v>39.716189999999997</v>
      </c>
      <c r="I76" s="227">
        <f>rh_t1!J74</f>
        <v>39.513019999999997</v>
      </c>
      <c r="J76" s="227">
        <f>rh_t1!K74</f>
        <v>39.852849999999997</v>
      </c>
      <c r="K76" s="227">
        <f>rh_t1!L74</f>
        <v>39.768694444444442</v>
      </c>
      <c r="L76" s="227">
        <f>rh_t1!M74</f>
        <v>0.1359632449607133</v>
      </c>
    </row>
    <row r="77" spans="1:12" ht="15" customHeight="1" x14ac:dyDescent="0.2">
      <c r="A77" s="226">
        <v>26</v>
      </c>
      <c r="B77" s="227">
        <f>rh_t1!C75</f>
        <v>39.686160000000001</v>
      </c>
      <c r="C77" s="227">
        <f>rh_t1!D75</f>
        <v>39.878369999999997</v>
      </c>
      <c r="D77" s="227">
        <f>rh_t1!E75</f>
        <v>39.797249999999998</v>
      </c>
      <c r="E77" s="227">
        <f>rh_t1!F75</f>
        <v>40.025419999999997</v>
      </c>
      <c r="F77" s="227">
        <f>rh_t1!G75</f>
        <v>39.774799999999999</v>
      </c>
      <c r="G77" s="227">
        <f>rh_t1!H75</f>
        <v>39.690460000000002</v>
      </c>
      <c r="H77" s="227">
        <f>rh_t1!I75</f>
        <v>39.718690000000002</v>
      </c>
      <c r="I77" s="227">
        <f>rh_t1!J75</f>
        <v>39.514679999999998</v>
      </c>
      <c r="J77" s="227">
        <f>rh_t1!K75</f>
        <v>39.8521</v>
      </c>
      <c r="K77" s="227">
        <f>rh_t1!L75</f>
        <v>39.770881111111109</v>
      </c>
      <c r="L77" s="227">
        <f>rh_t1!M75</f>
        <v>0.13567085754742642</v>
      </c>
    </row>
    <row r="78" spans="1:12" ht="15" customHeight="1" x14ac:dyDescent="0.2">
      <c r="A78" s="226">
        <v>27</v>
      </c>
      <c r="B78" s="227">
        <f>rh_t1!C76</f>
        <v>39.682899999999997</v>
      </c>
      <c r="C78" s="227">
        <f>rh_t1!D76</f>
        <v>39.872590000000002</v>
      </c>
      <c r="D78" s="227">
        <f>rh_t1!E76</f>
        <v>39.797280000000001</v>
      </c>
      <c r="E78" s="227">
        <f>rh_t1!F76</f>
        <v>40.023069999999997</v>
      </c>
      <c r="F78" s="227">
        <f>rh_t1!G76</f>
        <v>39.769970000000001</v>
      </c>
      <c r="G78" s="227">
        <f>rh_t1!H76</f>
        <v>39.685459999999999</v>
      </c>
      <c r="H78" s="227">
        <f>rh_t1!I76</f>
        <v>39.716610000000003</v>
      </c>
      <c r="I78" s="227">
        <f>rh_t1!J76</f>
        <v>39.513420000000004</v>
      </c>
      <c r="J78" s="227">
        <f>rh_t1!K76</f>
        <v>39.850700000000003</v>
      </c>
      <c r="K78" s="227">
        <f>rh_t1!L76</f>
        <v>39.768000000000001</v>
      </c>
      <c r="L78" s="227">
        <f>rh_t1!M76</f>
        <v>0.13548555987016897</v>
      </c>
    </row>
    <row r="79" spans="1:12" ht="15" customHeight="1" x14ac:dyDescent="0.2">
      <c r="A79" s="226">
        <v>28</v>
      </c>
      <c r="B79" s="227">
        <f>rh_t1!C77</f>
        <v>39.677500000000002</v>
      </c>
      <c r="C79" s="227">
        <f>rh_t1!D77</f>
        <v>39.868070000000003</v>
      </c>
      <c r="D79" s="227">
        <f>rh_t1!E77</f>
        <v>39.797080000000001</v>
      </c>
      <c r="E79" s="227">
        <f>rh_t1!F77</f>
        <v>40.018590000000003</v>
      </c>
      <c r="F79" s="227">
        <f>rh_t1!G77</f>
        <v>39.763269999999999</v>
      </c>
      <c r="G79" s="227">
        <f>rh_t1!H77</f>
        <v>39.681150000000002</v>
      </c>
      <c r="H79" s="227">
        <f>rh_t1!I77</f>
        <v>39.711239999999997</v>
      </c>
      <c r="I79" s="227">
        <f>rh_t1!J77</f>
        <v>39.509059999999998</v>
      </c>
      <c r="J79" s="227">
        <f>rh_t1!K77</f>
        <v>39.846429999999998</v>
      </c>
      <c r="K79" s="227">
        <f>rh_t1!L77</f>
        <v>39.763598888888886</v>
      </c>
      <c r="L79" s="227">
        <f>rh_t1!M77</f>
        <v>0.13567080374072607</v>
      </c>
    </row>
    <row r="80" spans="1:12" ht="15" customHeight="1" x14ac:dyDescent="0.2">
      <c r="A80" s="226">
        <v>29</v>
      </c>
      <c r="B80" s="227">
        <f>rh_t1!C78</f>
        <v>39.680079999999997</v>
      </c>
      <c r="C80" s="227">
        <f>rh_t1!D78</f>
        <v>39.873420000000003</v>
      </c>
      <c r="D80" s="227">
        <f>rh_t1!E78</f>
        <v>39.793869999999998</v>
      </c>
      <c r="E80" s="227">
        <f>rh_t1!F78</f>
        <v>40.016039999999997</v>
      </c>
      <c r="F80" s="227">
        <f>rh_t1!G78</f>
        <v>39.759990000000002</v>
      </c>
      <c r="G80" s="227">
        <f>rh_t1!H78</f>
        <v>39.685540000000003</v>
      </c>
      <c r="H80" s="227">
        <f>rh_t1!I78</f>
        <v>39.71275</v>
      </c>
      <c r="I80" s="227">
        <f>rh_t1!J78</f>
        <v>39.51108</v>
      </c>
      <c r="J80" s="227">
        <f>rh_t1!K78</f>
        <v>39.850700000000003</v>
      </c>
      <c r="K80" s="227">
        <f>rh_t1!L78</f>
        <v>39.764830000000003</v>
      </c>
      <c r="L80" s="227">
        <f>rh_t1!M78</f>
        <v>0.13487010697539881</v>
      </c>
    </row>
    <row r="81" spans="1:12" ht="15" customHeight="1" x14ac:dyDescent="0.2">
      <c r="A81" s="226">
        <v>30</v>
      </c>
      <c r="B81" s="227">
        <f>rh_t1!C79</f>
        <v>39.675669999999997</v>
      </c>
      <c r="C81" s="227">
        <f>rh_t1!D79</f>
        <v>39.868630000000003</v>
      </c>
      <c r="D81" s="227">
        <f>rh_t1!E79</f>
        <v>39.795090000000002</v>
      </c>
      <c r="E81" s="227">
        <f>rh_t1!F79</f>
        <v>40.020099999999999</v>
      </c>
      <c r="F81" s="227">
        <f>rh_t1!G79</f>
        <v>39.757759999999998</v>
      </c>
      <c r="G81" s="227">
        <f>rh_t1!H79</f>
        <v>39.680669999999999</v>
      </c>
      <c r="H81" s="227">
        <f>rh_t1!I79</f>
        <v>39.707369999999997</v>
      </c>
      <c r="I81" s="227">
        <f>rh_t1!J79</f>
        <v>39.506990000000002</v>
      </c>
      <c r="J81" s="227">
        <f>rh_t1!K79</f>
        <v>39.846429999999998</v>
      </c>
      <c r="K81" s="227">
        <f>rh_t1!L79</f>
        <v>39.76207888888888</v>
      </c>
      <c r="L81" s="227">
        <f>rh_t1!M79</f>
        <v>0.13675153311709731</v>
      </c>
    </row>
    <row r="82" spans="1:12" ht="15" customHeight="1" x14ac:dyDescent="0.35">
      <c r="A82" s="228" t="s">
        <v>40</v>
      </c>
      <c r="B82" s="227">
        <f>rh_t1!C80</f>
        <v>39.676076333333334</v>
      </c>
      <c r="C82" s="227">
        <f>rh_t1!D80</f>
        <v>39.875966666666663</v>
      </c>
      <c r="D82" s="227">
        <f>rh_t1!E80</f>
        <v>39.789037666666673</v>
      </c>
      <c r="E82" s="227">
        <f>rh_t1!F80</f>
        <v>40.016750666666667</v>
      </c>
      <c r="F82" s="227">
        <f>rh_t1!G80</f>
        <v>39.762699000000005</v>
      </c>
      <c r="G82" s="227">
        <f>rh_t1!H80</f>
        <v>39.68454899999999</v>
      </c>
      <c r="H82" s="227">
        <f>rh_t1!I80</f>
        <v>39.710426333333331</v>
      </c>
      <c r="I82" s="227">
        <f>rh_t1!J80</f>
        <v>39.507469666666672</v>
      </c>
      <c r="J82" s="227">
        <f>rh_t1!K80</f>
        <v>39.848401333333335</v>
      </c>
      <c r="K82" s="137"/>
      <c r="L82" s="137"/>
    </row>
    <row r="83" spans="1:12" ht="15" customHeight="1" x14ac:dyDescent="0.35">
      <c r="A83" s="228" t="s">
        <v>39</v>
      </c>
      <c r="B83" s="227">
        <f>rh_t1!C81</f>
        <v>5.9635942648336611E-3</v>
      </c>
      <c r="C83" s="227">
        <f>rh_t1!D81</f>
        <v>5.596957109795157E-3</v>
      </c>
      <c r="D83" s="227">
        <f>rh_t1!E81</f>
        <v>5.3771347285419199E-3</v>
      </c>
      <c r="E83" s="227">
        <f>rh_t1!F81</f>
        <v>5.8353891234617606E-3</v>
      </c>
      <c r="F83" s="227">
        <f>rh_t1!G81</f>
        <v>9.2428604338699646E-3</v>
      </c>
      <c r="G83" s="227">
        <f>rh_t1!H81</f>
        <v>7.0839185719015815E-3</v>
      </c>
      <c r="H83" s="227">
        <f>rh_t1!I81</f>
        <v>6.8364105997876399E-3</v>
      </c>
      <c r="I83" s="227">
        <f>rh_t1!J81</f>
        <v>5.0272792398626783E-3</v>
      </c>
      <c r="J83" s="227">
        <f>rh_t1!K81</f>
        <v>5.2996941630834736E-3</v>
      </c>
      <c r="K83" s="138"/>
      <c r="L83" s="138"/>
    </row>
    <row r="84" spans="1:12" ht="15" customHeight="1" x14ac:dyDescent="0.35">
      <c r="A84" s="228" t="s">
        <v>52</v>
      </c>
      <c r="B84" s="227">
        <f>rh_t1!C82</f>
        <v>1.3953666666665754E-2</v>
      </c>
      <c r="C84" s="227">
        <f>rh_t1!D82</f>
        <v>1.4093333333335067E-2</v>
      </c>
      <c r="D84" s="227">
        <f>rh_t1!E82</f>
        <v>1.1902333333324577E-2</v>
      </c>
      <c r="E84" s="227">
        <f>rh_t1!F82</f>
        <v>1.3219333333331917E-2</v>
      </c>
      <c r="F84" s="227">
        <f>rh_t1!G82</f>
        <v>2.3900999999995065E-2</v>
      </c>
      <c r="G84" s="227">
        <f>rh_t1!H82</f>
        <v>1.8221000000011145E-2</v>
      </c>
      <c r="H84" s="227">
        <f>rh_t1!I82</f>
        <v>1.8433666666666682E-2</v>
      </c>
      <c r="I84" s="227">
        <f>rh_t1!J82</f>
        <v>1.2190333333329306E-2</v>
      </c>
      <c r="J84" s="227">
        <f>rh_t1!K82</f>
        <v>1.5558666666663612E-2</v>
      </c>
      <c r="K84" s="416"/>
      <c r="L84" s="416"/>
    </row>
    <row r="85" spans="1:12" ht="15" customHeight="1" x14ac:dyDescent="0.35">
      <c r="A85" s="228" t="s">
        <v>51</v>
      </c>
      <c r="B85" s="227">
        <f>rh_t1!C83</f>
        <v>8.9563333333373407E-3</v>
      </c>
      <c r="C85" s="227">
        <f>rh_t1!D83</f>
        <v>7.8966666666602237E-3</v>
      </c>
      <c r="D85" s="227">
        <f>rh_t1!E83</f>
        <v>8.7276666666724623E-3</v>
      </c>
      <c r="E85" s="227">
        <f>rh_t1!F83</f>
        <v>1.1280666666664274E-2</v>
      </c>
      <c r="F85" s="227">
        <f>rh_t1!G83</f>
        <v>1.4649000000005685E-2</v>
      </c>
      <c r="G85" s="227">
        <f>rh_t1!H83</f>
        <v>1.1968999999986352E-2</v>
      </c>
      <c r="H85" s="227">
        <f>rh_t1!I83</f>
        <v>1.270633333333393E-2</v>
      </c>
      <c r="I85" s="227">
        <f>rh_t1!J83</f>
        <v>8.2196666666689566E-3</v>
      </c>
      <c r="J85" s="227">
        <f>rh_t1!K83</f>
        <v>8.4013333333317064E-3</v>
      </c>
      <c r="K85" s="416"/>
      <c r="L85" s="416"/>
    </row>
    <row r="86" spans="1:12" ht="15" customHeight="1" x14ac:dyDescent="0.35">
      <c r="A86" s="229" t="s">
        <v>44</v>
      </c>
      <c r="B86" s="227">
        <f>rh_t1!C84</f>
        <v>1.1455000000001547E-2</v>
      </c>
      <c r="C86" s="227">
        <f>rh_t1!D84</f>
        <v>1.0994999999997646E-2</v>
      </c>
      <c r="D86" s="227">
        <f>rh_t1!E84</f>
        <v>1.031499999999852E-2</v>
      </c>
      <c r="E86" s="227">
        <f>rh_t1!F84</f>
        <v>1.2249999999998096E-2</v>
      </c>
      <c r="F86" s="227">
        <f>rh_t1!G84</f>
        <v>1.9275000000000375E-2</v>
      </c>
      <c r="G86" s="227">
        <f>rh_t1!H84</f>
        <v>1.5094999999998748E-2</v>
      </c>
      <c r="H86" s="227">
        <f>rh_t1!I84</f>
        <v>1.5570000000000306E-2</v>
      </c>
      <c r="I86" s="227">
        <f>rh_t1!J84</f>
        <v>1.0204999999999131E-2</v>
      </c>
      <c r="J86" s="227">
        <f>rh_t1!K84</f>
        <v>1.1979999999997659E-2</v>
      </c>
      <c r="K86" s="416"/>
      <c r="L86" s="416"/>
    </row>
    <row r="87" spans="1:12" ht="15" customHeight="1" x14ac:dyDescent="0.35">
      <c r="A87" s="230" t="s">
        <v>43</v>
      </c>
      <c r="B87" s="227">
        <f>rh_t1!C85</f>
        <v>-8.6622666666670511E-2</v>
      </c>
      <c r="C87" s="227">
        <f>rh_t1!D85</f>
        <v>0.11326766666665833</v>
      </c>
      <c r="D87" s="227">
        <f>rh_t1!E85</f>
        <v>2.6338666666667621E-2</v>
      </c>
      <c r="E87" s="227">
        <f>rh_t1!F85</f>
        <v>0.2540516666666619</v>
      </c>
      <c r="F87" s="227">
        <f>rh_t1!G85</f>
        <v>0</v>
      </c>
      <c r="G87" s="227">
        <f>rh_t1!H85</f>
        <v>-7.8150000000015041E-2</v>
      </c>
      <c r="H87" s="227">
        <f>rh_t1!I85</f>
        <v>-5.2272666666674183E-2</v>
      </c>
      <c r="I87" s="227">
        <f>rh_t1!J85</f>
        <v>-0.25522933333333242</v>
      </c>
      <c r="J87" s="227">
        <f>rh_t1!K85</f>
        <v>8.5702333333330216E-2</v>
      </c>
      <c r="K87" s="139"/>
      <c r="L87" s="139"/>
    </row>
    <row r="88" spans="1:12" ht="15" customHeight="1" x14ac:dyDescent="0.35">
      <c r="A88" s="231" t="s">
        <v>95</v>
      </c>
      <c r="B88" s="282">
        <f>rh_t1!C87</f>
        <v>39.763486296296307</v>
      </c>
      <c r="C88" s="139"/>
      <c r="D88" s="139"/>
      <c r="E88" s="139"/>
      <c r="F88" s="139"/>
      <c r="G88" s="139"/>
      <c r="H88" s="139"/>
      <c r="I88" s="139"/>
      <c r="J88" s="139"/>
      <c r="K88" s="139"/>
      <c r="L88" s="139"/>
    </row>
    <row r="89" spans="1:12" s="167" customFormat="1" ht="15" customHeight="1" x14ac:dyDescent="0.35">
      <c r="A89" s="233" t="s">
        <v>47</v>
      </c>
      <c r="B89" s="232">
        <f>rh_t1!C88</f>
        <v>-0.23651370370369307</v>
      </c>
      <c r="C89" s="139"/>
      <c r="D89" s="139"/>
      <c r="E89" s="139"/>
      <c r="F89" s="139"/>
      <c r="G89" s="139"/>
      <c r="H89" s="139"/>
      <c r="I89" s="139"/>
      <c r="J89" s="139"/>
      <c r="K89" s="139"/>
      <c r="L89" s="139"/>
    </row>
    <row r="90" spans="1:12" ht="15" customHeight="1" x14ac:dyDescent="0.35">
      <c r="A90" s="233" t="s">
        <v>270</v>
      </c>
      <c r="B90" s="232">
        <f>rh_t1!C93</f>
        <v>0.13632305115662899</v>
      </c>
      <c r="C90" s="139"/>
      <c r="D90" s="139"/>
      <c r="E90" s="139"/>
      <c r="F90" s="139"/>
      <c r="G90" s="139"/>
      <c r="H90" s="139"/>
      <c r="I90" s="139"/>
      <c r="J90" s="139"/>
      <c r="K90" s="139"/>
      <c r="L90" s="139"/>
    </row>
    <row r="91" spans="1:12" ht="15" customHeight="1" x14ac:dyDescent="0.35">
      <c r="A91" s="241" t="s">
        <v>48</v>
      </c>
      <c r="B91" s="232">
        <f>rh_t1!C89</f>
        <v>0.50928099999999432</v>
      </c>
      <c r="C91" s="139"/>
      <c r="D91" s="139"/>
      <c r="E91" s="139"/>
      <c r="F91" s="139"/>
      <c r="G91" s="139"/>
      <c r="H91" s="139"/>
      <c r="I91" s="139"/>
      <c r="J91" s="139"/>
      <c r="K91" s="139"/>
      <c r="L91" s="139"/>
    </row>
    <row r="92" spans="1:12" ht="15" customHeight="1" x14ac:dyDescent="0.35">
      <c r="A92" s="241" t="s">
        <v>49</v>
      </c>
      <c r="B92" s="240">
        <f>rh_t1!C90</f>
        <v>0.2540516666666619</v>
      </c>
      <c r="C92" s="139"/>
      <c r="D92" s="139"/>
      <c r="E92" s="139"/>
      <c r="F92" s="139"/>
      <c r="G92" s="139"/>
      <c r="H92" s="139"/>
      <c r="I92" s="139"/>
      <c r="J92" s="139"/>
      <c r="K92" s="139"/>
      <c r="L92" s="139"/>
    </row>
    <row r="93" spans="1:12" ht="15" customHeight="1" x14ac:dyDescent="0.2">
      <c r="A93" s="242"/>
      <c r="B93" s="240">
        <f>rh_t1!C91</f>
        <v>-0.25522933333333242</v>
      </c>
      <c r="C93" s="140"/>
      <c r="D93" s="139"/>
      <c r="E93" s="139"/>
      <c r="F93" s="139"/>
      <c r="G93" s="139"/>
      <c r="H93" s="139"/>
      <c r="I93" s="139"/>
      <c r="J93" s="139"/>
      <c r="K93" s="139"/>
      <c r="L93" s="139"/>
    </row>
    <row r="94" spans="1:12" ht="18.75" x14ac:dyDescent="0.35">
      <c r="A94" s="242" t="s">
        <v>50</v>
      </c>
      <c r="B94" s="232">
        <f>rh_t1!C92</f>
        <v>1.301555555555467E-2</v>
      </c>
      <c r="C94" s="139"/>
      <c r="D94" s="139"/>
      <c r="E94" s="139"/>
      <c r="F94" s="139"/>
      <c r="G94" s="139"/>
      <c r="H94" s="139"/>
      <c r="I94" s="139"/>
      <c r="J94" s="139"/>
      <c r="K94" s="139"/>
      <c r="L94" s="139"/>
    </row>
    <row r="95" spans="1:12" s="292" customFormat="1" ht="30.75" hidden="1" customHeight="1" x14ac:dyDescent="0.2">
      <c r="A95" s="417" t="s">
        <v>358</v>
      </c>
      <c r="B95" s="417"/>
      <c r="C95" s="417"/>
      <c r="D95" s="417"/>
      <c r="E95" s="417"/>
      <c r="F95" s="417"/>
      <c r="G95" s="417"/>
      <c r="H95" s="417"/>
      <c r="I95" s="417"/>
      <c r="J95" s="417"/>
      <c r="K95" s="417"/>
      <c r="L95" s="417"/>
    </row>
    <row r="96" spans="1:12" s="292" customFormat="1" ht="18" hidden="1" customHeight="1" thickBot="1" x14ac:dyDescent="0.25">
      <c r="A96" s="430" t="str">
        <f>"Заданная температура = "&amp;rh_t1!C86&amp;" °С;  Заданная относительная влажность =  "&amp;$E$1&amp;rh_t1!C39 &amp;" %."</f>
        <v>Заданная температура = 40 °С;  Заданная относительная влажность =  98 %.</v>
      </c>
      <c r="B96" s="430"/>
      <c r="C96" s="430"/>
      <c r="D96" s="430"/>
      <c r="E96" s="430"/>
      <c r="F96" s="430"/>
      <c r="G96" s="430"/>
      <c r="H96" s="430"/>
      <c r="I96" s="430"/>
      <c r="J96" s="430"/>
      <c r="K96" s="430"/>
      <c r="L96" s="430"/>
    </row>
    <row r="97" spans="1:12" s="292" customFormat="1" ht="29.25" hidden="1" customHeight="1" thickBot="1" x14ac:dyDescent="0.25">
      <c r="A97" s="239" t="s">
        <v>89</v>
      </c>
      <c r="B97" s="419" t="s">
        <v>90</v>
      </c>
      <c r="C97" s="419"/>
      <c r="D97" s="419"/>
      <c r="E97" s="419"/>
      <c r="F97" s="419"/>
      <c r="G97" s="419"/>
      <c r="H97" s="419"/>
      <c r="I97" s="419"/>
      <c r="J97" s="419"/>
      <c r="K97" s="420" t="s">
        <v>91</v>
      </c>
      <c r="L97" s="420"/>
    </row>
    <row r="98" spans="1:12" s="292" customFormat="1" ht="15.6" hidden="1" customHeight="1" x14ac:dyDescent="0.2">
      <c r="A98" s="236"/>
      <c r="B98" s="235">
        <v>1</v>
      </c>
      <c r="C98" s="235">
        <v>2</v>
      </c>
      <c r="D98" s="235">
        <v>3</v>
      </c>
      <c r="E98" s="235">
        <v>4</v>
      </c>
      <c r="F98" s="235">
        <v>5</v>
      </c>
      <c r="G98" s="235">
        <v>6</v>
      </c>
      <c r="H98" s="235">
        <v>7</v>
      </c>
      <c r="I98" s="235">
        <v>8</v>
      </c>
      <c r="J98" s="235">
        <v>9</v>
      </c>
      <c r="K98" s="237" t="s">
        <v>92</v>
      </c>
      <c r="L98" s="238" t="s">
        <v>93</v>
      </c>
    </row>
    <row r="99" spans="1:12" s="292" customFormat="1" ht="15.6" hidden="1" customHeight="1" x14ac:dyDescent="0.2">
      <c r="A99" s="226">
        <v>1</v>
      </c>
      <c r="B99" s="227">
        <f>rh_t1!C3</f>
        <v>99.23</v>
      </c>
      <c r="C99" s="227">
        <f>rh_t1!D3</f>
        <v>99.22</v>
      </c>
      <c r="D99" s="227">
        <f>rh_t1!E3</f>
        <v>99.21</v>
      </c>
      <c r="E99" s="227">
        <f>rh_t1!F3</f>
        <v>99.21</v>
      </c>
      <c r="F99" s="227">
        <f>rh_t1!G3</f>
        <v>99.21</v>
      </c>
      <c r="G99" s="227">
        <f>rh_t1!H3</f>
        <v>99.21</v>
      </c>
      <c r="H99" s="227">
        <f>rh_t1!I3</f>
        <v>99.21</v>
      </c>
      <c r="I99" s="227">
        <f>rh_t1!J3</f>
        <v>99.22</v>
      </c>
      <c r="J99" s="227">
        <f>rh_t1!K3</f>
        <v>99.24</v>
      </c>
      <c r="K99" s="227">
        <f>rh_t1!L3</f>
        <v>99.217777777777783</v>
      </c>
      <c r="L99" s="227">
        <f>rh_t1!M3</f>
        <v>1.0304020550552649E-2</v>
      </c>
    </row>
    <row r="100" spans="1:12" s="292" customFormat="1" ht="15.6" hidden="1" customHeight="1" x14ac:dyDescent="0.2">
      <c r="A100" s="226">
        <v>2</v>
      </c>
      <c r="B100" s="227">
        <f>rh_t1!C4</f>
        <v>99.23</v>
      </c>
      <c r="C100" s="227">
        <f>rh_t1!D4</f>
        <v>99.22</v>
      </c>
      <c r="D100" s="227">
        <f>rh_t1!E4</f>
        <v>99.21</v>
      </c>
      <c r="E100" s="227">
        <f>rh_t1!F4</f>
        <v>99.21</v>
      </c>
      <c r="F100" s="227">
        <f>rh_t1!G4</f>
        <v>99.21</v>
      </c>
      <c r="G100" s="227">
        <f>rh_t1!H4</f>
        <v>99.21</v>
      </c>
      <c r="H100" s="227">
        <f>rh_t1!I4</f>
        <v>99.21</v>
      </c>
      <c r="I100" s="227">
        <f>rh_t1!J4</f>
        <v>99.22</v>
      </c>
      <c r="J100" s="227">
        <f>rh_t1!K4</f>
        <v>99.24</v>
      </c>
      <c r="K100" s="227">
        <f>rh_t1!L4</f>
        <v>99.217777777777783</v>
      </c>
      <c r="L100" s="227">
        <f>rh_t1!M4</f>
        <v>1.0304020550552649E-2</v>
      </c>
    </row>
    <row r="101" spans="1:12" s="292" customFormat="1" ht="15.6" hidden="1" customHeight="1" x14ac:dyDescent="0.2">
      <c r="A101" s="226">
        <v>3</v>
      </c>
      <c r="B101" s="227">
        <f>rh_t1!C5</f>
        <v>99.23</v>
      </c>
      <c r="C101" s="227">
        <f>rh_t1!D5</f>
        <v>99.22</v>
      </c>
      <c r="D101" s="227">
        <f>rh_t1!E5</f>
        <v>99.21</v>
      </c>
      <c r="E101" s="227">
        <f>rh_t1!F5</f>
        <v>99.21</v>
      </c>
      <c r="F101" s="227">
        <f>rh_t1!G5</f>
        <v>99.21</v>
      </c>
      <c r="G101" s="227">
        <f>rh_t1!H5</f>
        <v>99.21</v>
      </c>
      <c r="H101" s="227">
        <f>rh_t1!I5</f>
        <v>99.21</v>
      </c>
      <c r="I101" s="227">
        <f>rh_t1!J5</f>
        <v>99.22</v>
      </c>
      <c r="J101" s="227">
        <f>rh_t1!K5</f>
        <v>99.24</v>
      </c>
      <c r="K101" s="227">
        <f>rh_t1!L5</f>
        <v>99.217777777777783</v>
      </c>
      <c r="L101" s="227">
        <f>rh_t1!M5</f>
        <v>1.0304020550552649E-2</v>
      </c>
    </row>
    <row r="102" spans="1:12" s="292" customFormat="1" ht="15.6" hidden="1" customHeight="1" x14ac:dyDescent="0.2">
      <c r="A102" s="226">
        <v>4</v>
      </c>
      <c r="B102" s="227">
        <f>rh_t1!C6</f>
        <v>99.23</v>
      </c>
      <c r="C102" s="227">
        <f>rh_t1!D6</f>
        <v>99.22</v>
      </c>
      <c r="D102" s="227">
        <f>rh_t1!E6</f>
        <v>99.21</v>
      </c>
      <c r="E102" s="227">
        <f>rh_t1!F6</f>
        <v>99.21</v>
      </c>
      <c r="F102" s="227">
        <f>rh_t1!G6</f>
        <v>99.21</v>
      </c>
      <c r="G102" s="227">
        <f>rh_t1!H6</f>
        <v>99.21</v>
      </c>
      <c r="H102" s="227">
        <f>rh_t1!I6</f>
        <v>99.21</v>
      </c>
      <c r="I102" s="227">
        <f>rh_t1!J6</f>
        <v>99.22</v>
      </c>
      <c r="J102" s="227">
        <f>rh_t1!K6</f>
        <v>99.24</v>
      </c>
      <c r="K102" s="227">
        <f>rh_t1!L6</f>
        <v>99.217777777777783</v>
      </c>
      <c r="L102" s="227">
        <f>rh_t1!M6</f>
        <v>1.0304020550552649E-2</v>
      </c>
    </row>
    <row r="103" spans="1:12" s="292" customFormat="1" ht="15.6" hidden="1" customHeight="1" x14ac:dyDescent="0.2">
      <c r="A103" s="226">
        <v>5</v>
      </c>
      <c r="B103" s="227">
        <f>rh_t1!C7</f>
        <v>99.23</v>
      </c>
      <c r="C103" s="227">
        <f>rh_t1!D7</f>
        <v>99.22</v>
      </c>
      <c r="D103" s="227">
        <f>rh_t1!E7</f>
        <v>99.21</v>
      </c>
      <c r="E103" s="227">
        <f>rh_t1!F7</f>
        <v>99.21</v>
      </c>
      <c r="F103" s="227">
        <f>rh_t1!G7</f>
        <v>99.21</v>
      </c>
      <c r="G103" s="227">
        <f>rh_t1!H7</f>
        <v>99.21</v>
      </c>
      <c r="H103" s="227">
        <f>rh_t1!I7</f>
        <v>99.21</v>
      </c>
      <c r="I103" s="227">
        <f>rh_t1!J7</f>
        <v>99.22</v>
      </c>
      <c r="J103" s="227">
        <f>rh_t1!K7</f>
        <v>99.24</v>
      </c>
      <c r="K103" s="227">
        <f>rh_t1!L7</f>
        <v>99.217777777777783</v>
      </c>
      <c r="L103" s="227">
        <f>rh_t1!M7</f>
        <v>1.0304020550552649E-2</v>
      </c>
    </row>
    <row r="104" spans="1:12" s="292" customFormat="1" ht="15.6" hidden="1" customHeight="1" x14ac:dyDescent="0.2">
      <c r="A104" s="226">
        <v>6</v>
      </c>
      <c r="B104" s="227">
        <f>rh_t1!C8</f>
        <v>99.23</v>
      </c>
      <c r="C104" s="227">
        <f>rh_t1!D8</f>
        <v>99.22</v>
      </c>
      <c r="D104" s="227">
        <f>rh_t1!E8</f>
        <v>99.21</v>
      </c>
      <c r="E104" s="227">
        <f>rh_t1!F8</f>
        <v>99.21</v>
      </c>
      <c r="F104" s="227">
        <f>rh_t1!G8</f>
        <v>99.21</v>
      </c>
      <c r="G104" s="227">
        <f>rh_t1!H8</f>
        <v>99.21</v>
      </c>
      <c r="H104" s="227">
        <f>rh_t1!I8</f>
        <v>99.21</v>
      </c>
      <c r="I104" s="227">
        <f>rh_t1!J8</f>
        <v>99.22</v>
      </c>
      <c r="J104" s="227">
        <f>rh_t1!K8</f>
        <v>99.24</v>
      </c>
      <c r="K104" s="227">
        <f>rh_t1!L8</f>
        <v>99.217777777777783</v>
      </c>
      <c r="L104" s="227">
        <f>rh_t1!M8</f>
        <v>1.0304020550552649E-2</v>
      </c>
    </row>
    <row r="105" spans="1:12" s="292" customFormat="1" ht="15.6" hidden="1" customHeight="1" x14ac:dyDescent="0.2">
      <c r="A105" s="226">
        <v>7</v>
      </c>
      <c r="B105" s="227">
        <f>rh_t1!C9</f>
        <v>99.23</v>
      </c>
      <c r="C105" s="227">
        <f>rh_t1!D9</f>
        <v>99.22</v>
      </c>
      <c r="D105" s="227">
        <f>rh_t1!E9</f>
        <v>99.21</v>
      </c>
      <c r="E105" s="227">
        <f>rh_t1!F9</f>
        <v>99.21</v>
      </c>
      <c r="F105" s="227">
        <f>rh_t1!G9</f>
        <v>99.21</v>
      </c>
      <c r="G105" s="227">
        <f>rh_t1!H9</f>
        <v>99.21</v>
      </c>
      <c r="H105" s="227">
        <f>rh_t1!I9</f>
        <v>99.21</v>
      </c>
      <c r="I105" s="227">
        <f>rh_t1!J9</f>
        <v>99.22</v>
      </c>
      <c r="J105" s="227">
        <f>rh_t1!K9</f>
        <v>99.24</v>
      </c>
      <c r="K105" s="227">
        <f>rh_t1!L9</f>
        <v>99.217777777777783</v>
      </c>
      <c r="L105" s="227">
        <f>rh_t1!M9</f>
        <v>1.0304020550552649E-2</v>
      </c>
    </row>
    <row r="106" spans="1:12" s="292" customFormat="1" ht="15.6" hidden="1" customHeight="1" x14ac:dyDescent="0.2">
      <c r="A106" s="226">
        <v>8</v>
      </c>
      <c r="B106" s="227">
        <f>rh_t1!C10</f>
        <v>99.23</v>
      </c>
      <c r="C106" s="227">
        <f>rh_t1!D10</f>
        <v>99.22</v>
      </c>
      <c r="D106" s="227">
        <f>rh_t1!E10</f>
        <v>99.21</v>
      </c>
      <c r="E106" s="227">
        <f>rh_t1!F10</f>
        <v>99.21</v>
      </c>
      <c r="F106" s="227">
        <f>rh_t1!G10</f>
        <v>99.21</v>
      </c>
      <c r="G106" s="227">
        <f>rh_t1!H10</f>
        <v>99.21</v>
      </c>
      <c r="H106" s="227">
        <f>rh_t1!I10</f>
        <v>99.21</v>
      </c>
      <c r="I106" s="227">
        <f>rh_t1!J10</f>
        <v>99.22</v>
      </c>
      <c r="J106" s="227">
        <f>rh_t1!K10</f>
        <v>99.24</v>
      </c>
      <c r="K106" s="227">
        <f>rh_t1!L10</f>
        <v>99.217777777777783</v>
      </c>
      <c r="L106" s="227">
        <f>rh_t1!M10</f>
        <v>1.0304020550552649E-2</v>
      </c>
    </row>
    <row r="107" spans="1:12" s="292" customFormat="1" ht="15.6" hidden="1" customHeight="1" x14ac:dyDescent="0.2">
      <c r="A107" s="226">
        <v>9</v>
      </c>
      <c r="B107" s="227">
        <f>rh_t1!C11</f>
        <v>99.23</v>
      </c>
      <c r="C107" s="227">
        <f>rh_t1!D11</f>
        <v>99.22</v>
      </c>
      <c r="D107" s="227">
        <f>rh_t1!E11</f>
        <v>99.21</v>
      </c>
      <c r="E107" s="227">
        <f>rh_t1!F11</f>
        <v>99.21</v>
      </c>
      <c r="F107" s="227">
        <f>rh_t1!G11</f>
        <v>99.21</v>
      </c>
      <c r="G107" s="227">
        <f>rh_t1!H11</f>
        <v>99.21</v>
      </c>
      <c r="H107" s="227">
        <f>rh_t1!I11</f>
        <v>99.21</v>
      </c>
      <c r="I107" s="227">
        <f>rh_t1!J11</f>
        <v>99.22</v>
      </c>
      <c r="J107" s="227">
        <f>rh_t1!K11</f>
        <v>99.24</v>
      </c>
      <c r="K107" s="227">
        <f>rh_t1!L11</f>
        <v>99.217777777777783</v>
      </c>
      <c r="L107" s="227">
        <f>rh_t1!M11</f>
        <v>1.0304020550552649E-2</v>
      </c>
    </row>
    <row r="108" spans="1:12" s="292" customFormat="1" ht="15.6" hidden="1" customHeight="1" x14ac:dyDescent="0.2">
      <c r="A108" s="226">
        <v>10</v>
      </c>
      <c r="B108" s="227">
        <f>rh_t1!C12</f>
        <v>99.23</v>
      </c>
      <c r="C108" s="227">
        <f>rh_t1!D12</f>
        <v>99.22</v>
      </c>
      <c r="D108" s="227">
        <f>rh_t1!E12</f>
        <v>99.21</v>
      </c>
      <c r="E108" s="227">
        <f>rh_t1!F12</f>
        <v>99.21</v>
      </c>
      <c r="F108" s="227">
        <f>rh_t1!G12</f>
        <v>99.21</v>
      </c>
      <c r="G108" s="227">
        <f>rh_t1!H12</f>
        <v>99.21</v>
      </c>
      <c r="H108" s="227">
        <f>rh_t1!I12</f>
        <v>99.21</v>
      </c>
      <c r="I108" s="227">
        <f>rh_t1!J12</f>
        <v>99.22</v>
      </c>
      <c r="J108" s="227">
        <f>rh_t1!K12</f>
        <v>99.24</v>
      </c>
      <c r="K108" s="227">
        <f>rh_t1!L12</f>
        <v>99.217777777777783</v>
      </c>
      <c r="L108" s="227">
        <f>rh_t1!M12</f>
        <v>1.0304020550552649E-2</v>
      </c>
    </row>
    <row r="109" spans="1:12" s="292" customFormat="1" ht="15.6" hidden="1" customHeight="1" x14ac:dyDescent="0.2">
      <c r="A109" s="226">
        <v>11</v>
      </c>
      <c r="B109" s="227">
        <f>rh_t1!C13</f>
        <v>99.22</v>
      </c>
      <c r="C109" s="227">
        <f>rh_t1!D13</f>
        <v>99.22</v>
      </c>
      <c r="D109" s="227">
        <f>rh_t1!E13</f>
        <v>99.21</v>
      </c>
      <c r="E109" s="227">
        <f>rh_t1!F13</f>
        <v>99.21</v>
      </c>
      <c r="F109" s="227">
        <f>rh_t1!G13</f>
        <v>99.21</v>
      </c>
      <c r="G109" s="227">
        <f>rh_t1!H13</f>
        <v>99.21</v>
      </c>
      <c r="H109" s="227">
        <f>rh_t1!I13</f>
        <v>99.21</v>
      </c>
      <c r="I109" s="227">
        <f>rh_t1!J13</f>
        <v>99.22</v>
      </c>
      <c r="J109" s="227">
        <f>rh_t1!K13</f>
        <v>99.24</v>
      </c>
      <c r="K109" s="227">
        <f>rh_t1!L13</f>
        <v>99.216666666666669</v>
      </c>
      <c r="L109" s="227">
        <f>rh_t1!M13</f>
        <v>9.4280904158215492E-3</v>
      </c>
    </row>
    <row r="110" spans="1:12" s="292" customFormat="1" ht="15.6" hidden="1" customHeight="1" x14ac:dyDescent="0.2">
      <c r="A110" s="226">
        <v>12</v>
      </c>
      <c r="B110" s="227">
        <f>rh_t1!C14</f>
        <v>99.22</v>
      </c>
      <c r="C110" s="227">
        <f>rh_t1!D14</f>
        <v>99.22</v>
      </c>
      <c r="D110" s="227">
        <f>rh_t1!E14</f>
        <v>99.21</v>
      </c>
      <c r="E110" s="227">
        <f>rh_t1!F14</f>
        <v>99.21</v>
      </c>
      <c r="F110" s="227">
        <f>rh_t1!G14</f>
        <v>99.21</v>
      </c>
      <c r="G110" s="227">
        <f>rh_t1!H14</f>
        <v>99.21</v>
      </c>
      <c r="H110" s="227">
        <f>rh_t1!I14</f>
        <v>99.21</v>
      </c>
      <c r="I110" s="227">
        <f>rh_t1!J14</f>
        <v>99.22</v>
      </c>
      <c r="J110" s="227">
        <f>rh_t1!K14</f>
        <v>99.24</v>
      </c>
      <c r="K110" s="227">
        <f>rh_t1!L14</f>
        <v>99.216666666666669</v>
      </c>
      <c r="L110" s="227">
        <f>rh_t1!M14</f>
        <v>9.4280904158215492E-3</v>
      </c>
    </row>
    <row r="111" spans="1:12" s="292" customFormat="1" ht="15.6" hidden="1" customHeight="1" x14ac:dyDescent="0.2">
      <c r="A111" s="226">
        <v>13</v>
      </c>
      <c r="B111" s="227">
        <f>rh_t1!C15</f>
        <v>99.22</v>
      </c>
      <c r="C111" s="227">
        <f>rh_t1!D15</f>
        <v>99.22</v>
      </c>
      <c r="D111" s="227">
        <f>rh_t1!E15</f>
        <v>99.21</v>
      </c>
      <c r="E111" s="227">
        <f>rh_t1!F15</f>
        <v>99.21</v>
      </c>
      <c r="F111" s="227">
        <f>rh_t1!G15</f>
        <v>99.21</v>
      </c>
      <c r="G111" s="227">
        <f>rh_t1!H15</f>
        <v>99.21</v>
      </c>
      <c r="H111" s="227">
        <f>rh_t1!I15</f>
        <v>99.21</v>
      </c>
      <c r="I111" s="227">
        <f>rh_t1!J15</f>
        <v>99.22</v>
      </c>
      <c r="J111" s="227">
        <f>rh_t1!K15</f>
        <v>99.24</v>
      </c>
      <c r="K111" s="227">
        <f>rh_t1!L15</f>
        <v>99.216666666666669</v>
      </c>
      <c r="L111" s="227">
        <f>rh_t1!M15</f>
        <v>9.4280904158215492E-3</v>
      </c>
    </row>
    <row r="112" spans="1:12" s="292" customFormat="1" ht="15.6" hidden="1" customHeight="1" x14ac:dyDescent="0.2">
      <c r="A112" s="226">
        <v>14</v>
      </c>
      <c r="B112" s="227">
        <f>rh_t1!C16</f>
        <v>99.22</v>
      </c>
      <c r="C112" s="227">
        <f>rh_t1!D16</f>
        <v>99.22</v>
      </c>
      <c r="D112" s="227">
        <f>rh_t1!E16</f>
        <v>99.21</v>
      </c>
      <c r="E112" s="227">
        <f>rh_t1!F16</f>
        <v>99.21</v>
      </c>
      <c r="F112" s="227">
        <f>rh_t1!G16</f>
        <v>99.21</v>
      </c>
      <c r="G112" s="227">
        <f>rh_t1!H16</f>
        <v>99.21</v>
      </c>
      <c r="H112" s="227">
        <f>rh_t1!I16</f>
        <v>99.21</v>
      </c>
      <c r="I112" s="227">
        <f>rh_t1!J16</f>
        <v>99.22</v>
      </c>
      <c r="J112" s="227">
        <f>rh_t1!K16</f>
        <v>99.24</v>
      </c>
      <c r="K112" s="227">
        <f>rh_t1!L16</f>
        <v>99.216666666666669</v>
      </c>
      <c r="L112" s="227">
        <f>rh_t1!M16</f>
        <v>9.4280904158215492E-3</v>
      </c>
    </row>
    <row r="113" spans="1:12" s="292" customFormat="1" ht="15.6" hidden="1" customHeight="1" x14ac:dyDescent="0.2">
      <c r="A113" s="226">
        <v>15</v>
      </c>
      <c r="B113" s="227">
        <f>rh_t1!C17</f>
        <v>99.22</v>
      </c>
      <c r="C113" s="227">
        <f>rh_t1!D17</f>
        <v>99.22</v>
      </c>
      <c r="D113" s="227">
        <f>rh_t1!E17</f>
        <v>99.21</v>
      </c>
      <c r="E113" s="227">
        <f>rh_t1!F17</f>
        <v>99.21</v>
      </c>
      <c r="F113" s="227">
        <f>rh_t1!G17</f>
        <v>99.21</v>
      </c>
      <c r="G113" s="227">
        <f>rh_t1!H17</f>
        <v>99.2</v>
      </c>
      <c r="H113" s="227">
        <f>rh_t1!I17</f>
        <v>99.21</v>
      </c>
      <c r="I113" s="227">
        <f>rh_t1!J17</f>
        <v>99.22</v>
      </c>
      <c r="J113" s="227">
        <f>rh_t1!K17</f>
        <v>99.23</v>
      </c>
      <c r="K113" s="227">
        <f>rh_t1!L17</f>
        <v>99.214444444444453</v>
      </c>
      <c r="L113" s="227">
        <f>rh_t1!M17</f>
        <v>8.3147941928324916E-3</v>
      </c>
    </row>
    <row r="114" spans="1:12" s="292" customFormat="1" ht="15.6" hidden="1" customHeight="1" x14ac:dyDescent="0.2">
      <c r="A114" s="226">
        <v>16</v>
      </c>
      <c r="B114" s="227">
        <f>rh_t1!C18</f>
        <v>99.22</v>
      </c>
      <c r="C114" s="227">
        <f>rh_t1!D18</f>
        <v>99.21</v>
      </c>
      <c r="D114" s="227">
        <f>rh_t1!E18</f>
        <v>99.21</v>
      </c>
      <c r="E114" s="227">
        <f>rh_t1!F18</f>
        <v>99.21</v>
      </c>
      <c r="F114" s="227">
        <f>rh_t1!G18</f>
        <v>99.21</v>
      </c>
      <c r="G114" s="227">
        <f>rh_t1!H18</f>
        <v>99.2</v>
      </c>
      <c r="H114" s="227">
        <f>rh_t1!I18</f>
        <v>99.21</v>
      </c>
      <c r="I114" s="227">
        <f>rh_t1!J18</f>
        <v>99.22</v>
      </c>
      <c r="J114" s="227">
        <f>rh_t1!K18</f>
        <v>99.24</v>
      </c>
      <c r="K114" s="227">
        <f>rh_t1!L18</f>
        <v>99.214444444444453</v>
      </c>
      <c r="L114" s="227">
        <f>rh_t1!M18</f>
        <v>1.0657403385138903E-2</v>
      </c>
    </row>
    <row r="115" spans="1:12" s="292" customFormat="1" ht="15.6" hidden="1" customHeight="1" x14ac:dyDescent="0.2">
      <c r="A115" s="226">
        <v>17</v>
      </c>
      <c r="B115" s="227">
        <f>rh_t1!C19</f>
        <v>99.22</v>
      </c>
      <c r="C115" s="227">
        <f>rh_t1!D19</f>
        <v>99.21</v>
      </c>
      <c r="D115" s="227">
        <f>rh_t1!E19</f>
        <v>99.21</v>
      </c>
      <c r="E115" s="227">
        <f>rh_t1!F19</f>
        <v>99.2</v>
      </c>
      <c r="F115" s="227">
        <f>rh_t1!G19</f>
        <v>99.21</v>
      </c>
      <c r="G115" s="227">
        <f>rh_t1!H19</f>
        <v>99.2</v>
      </c>
      <c r="H115" s="227">
        <f>rh_t1!I19</f>
        <v>99.21</v>
      </c>
      <c r="I115" s="227">
        <f>rh_t1!J19</f>
        <v>99.22</v>
      </c>
      <c r="J115" s="227">
        <f>rh_t1!K19</f>
        <v>99.24</v>
      </c>
      <c r="K115" s="227">
        <f>rh_t1!L19</f>
        <v>99.213333333333338</v>
      </c>
      <c r="L115" s="227">
        <f>rh_t1!M19</f>
        <v>1.154700538379113E-2</v>
      </c>
    </row>
    <row r="116" spans="1:12" s="292" customFormat="1" ht="15.6" hidden="1" customHeight="1" x14ac:dyDescent="0.2">
      <c r="A116" s="226">
        <v>18</v>
      </c>
      <c r="B116" s="227">
        <f>rh_t1!C20</f>
        <v>99.22</v>
      </c>
      <c r="C116" s="227">
        <f>rh_t1!D20</f>
        <v>99.21</v>
      </c>
      <c r="D116" s="227">
        <f>rh_t1!E20</f>
        <v>99.21</v>
      </c>
      <c r="E116" s="227">
        <f>rh_t1!F20</f>
        <v>99.2</v>
      </c>
      <c r="F116" s="227">
        <f>rh_t1!G20</f>
        <v>99.21</v>
      </c>
      <c r="G116" s="227">
        <f>rh_t1!H20</f>
        <v>99.2</v>
      </c>
      <c r="H116" s="227">
        <f>rh_t1!I20</f>
        <v>99.21</v>
      </c>
      <c r="I116" s="227">
        <f>rh_t1!J20</f>
        <v>99.21</v>
      </c>
      <c r="J116" s="227">
        <f>rh_t1!K20</f>
        <v>99.23</v>
      </c>
      <c r="K116" s="227">
        <f>rh_t1!L20</f>
        <v>99.211111111111123</v>
      </c>
      <c r="L116" s="227">
        <f>rh_t1!M20</f>
        <v>8.7488976377913669E-3</v>
      </c>
    </row>
    <row r="117" spans="1:12" s="292" customFormat="1" ht="15.6" hidden="1" customHeight="1" x14ac:dyDescent="0.2">
      <c r="A117" s="226">
        <v>19</v>
      </c>
      <c r="B117" s="227">
        <f>rh_t1!C21</f>
        <v>99.22</v>
      </c>
      <c r="C117" s="227">
        <f>rh_t1!D21</f>
        <v>99.21</v>
      </c>
      <c r="D117" s="227">
        <f>rh_t1!E21</f>
        <v>99.21</v>
      </c>
      <c r="E117" s="227">
        <f>rh_t1!F21</f>
        <v>99.2</v>
      </c>
      <c r="F117" s="227">
        <f>rh_t1!G21</f>
        <v>99.21</v>
      </c>
      <c r="G117" s="227">
        <f>rh_t1!H21</f>
        <v>99.08</v>
      </c>
      <c r="H117" s="227">
        <f>rh_t1!I21</f>
        <v>99.2</v>
      </c>
      <c r="I117" s="227">
        <f>rh_t1!J21</f>
        <v>99.21</v>
      </c>
      <c r="J117" s="227">
        <f>rh_t1!K21</f>
        <v>99.23</v>
      </c>
      <c r="K117" s="227">
        <f>rh_t1!L21</f>
        <v>99.196666666666673</v>
      </c>
      <c r="L117" s="227">
        <f>rh_t1!M21</f>
        <v>4.2163702135578365E-2</v>
      </c>
    </row>
    <row r="118" spans="1:12" s="292" customFormat="1" ht="15.6" hidden="1" customHeight="1" x14ac:dyDescent="0.2">
      <c r="A118" s="226">
        <v>20</v>
      </c>
      <c r="B118" s="227">
        <f>rh_t1!C22</f>
        <v>99.22</v>
      </c>
      <c r="C118" s="227">
        <f>rh_t1!D22</f>
        <v>99.21</v>
      </c>
      <c r="D118" s="227">
        <f>rh_t1!E22</f>
        <v>99.21</v>
      </c>
      <c r="E118" s="227">
        <f>rh_t1!F22</f>
        <v>99.2</v>
      </c>
      <c r="F118" s="227">
        <f>rh_t1!G22</f>
        <v>99.2</v>
      </c>
      <c r="G118" s="227">
        <f>rh_t1!H22</f>
        <v>98.96</v>
      </c>
      <c r="H118" s="227">
        <f>rh_t1!I22</f>
        <v>99.2</v>
      </c>
      <c r="I118" s="227">
        <f>rh_t1!J22</f>
        <v>99.21</v>
      </c>
      <c r="J118" s="227">
        <f>rh_t1!K22</f>
        <v>99.23</v>
      </c>
      <c r="K118" s="227">
        <f>rh_t1!L22</f>
        <v>99.182222222222236</v>
      </c>
      <c r="L118" s="227">
        <f>rh_t1!M22</f>
        <v>7.913108362117878E-2</v>
      </c>
    </row>
    <row r="119" spans="1:12" s="292" customFormat="1" ht="15.6" hidden="1" customHeight="1" x14ac:dyDescent="0.2">
      <c r="A119" s="226">
        <v>21</v>
      </c>
      <c r="B119" s="227">
        <f>rh_t1!C23</f>
        <v>99.22</v>
      </c>
      <c r="C119" s="227">
        <f>rh_t1!D23</f>
        <v>99.21</v>
      </c>
      <c r="D119" s="227">
        <f>rh_t1!E23</f>
        <v>99.21</v>
      </c>
      <c r="E119" s="227">
        <f>rh_t1!F23</f>
        <v>99.2</v>
      </c>
      <c r="F119" s="227">
        <f>rh_t1!G23</f>
        <v>99.2</v>
      </c>
      <c r="G119" s="227">
        <f>rh_t1!H23</f>
        <v>98.91</v>
      </c>
      <c r="H119" s="227">
        <f>rh_t1!I23</f>
        <v>99.2</v>
      </c>
      <c r="I119" s="227">
        <f>rh_t1!J23</f>
        <v>99.21</v>
      </c>
      <c r="J119" s="227">
        <f>rh_t1!K23</f>
        <v>99.23</v>
      </c>
      <c r="K119" s="227">
        <f>rh_t1!L23</f>
        <v>99.176666666666677</v>
      </c>
      <c r="L119" s="227">
        <f>rh_t1!M23</f>
        <v>9.4751136023680058E-2</v>
      </c>
    </row>
    <row r="120" spans="1:12" s="292" customFormat="1" ht="15.6" hidden="1" customHeight="1" x14ac:dyDescent="0.2">
      <c r="A120" s="226">
        <v>22</v>
      </c>
      <c r="B120" s="227">
        <f>rh_t1!C24</f>
        <v>99.22</v>
      </c>
      <c r="C120" s="227">
        <f>rh_t1!D24</f>
        <v>99.21</v>
      </c>
      <c r="D120" s="227">
        <f>rh_t1!E24</f>
        <v>99.2</v>
      </c>
      <c r="E120" s="227">
        <f>rh_t1!F24</f>
        <v>99.1</v>
      </c>
      <c r="F120" s="227">
        <f>rh_t1!G24</f>
        <v>99.2</v>
      </c>
      <c r="G120" s="227">
        <f>rh_t1!H24</f>
        <v>98.79</v>
      </c>
      <c r="H120" s="227">
        <f>rh_t1!I24</f>
        <v>99.2</v>
      </c>
      <c r="I120" s="227">
        <f>rh_t1!J24</f>
        <v>99.21</v>
      </c>
      <c r="J120" s="227">
        <f>rh_t1!K24</f>
        <v>99.22</v>
      </c>
      <c r="K120" s="227">
        <f>rh_t1!L24</f>
        <v>99.15000000000002</v>
      </c>
      <c r="L120" s="227">
        <f>rh_t1!M24</f>
        <v>0.13190905958272711</v>
      </c>
    </row>
    <row r="121" spans="1:12" s="292" customFormat="1" ht="15.6" hidden="1" customHeight="1" x14ac:dyDescent="0.2">
      <c r="A121" s="226">
        <v>23</v>
      </c>
      <c r="B121" s="227">
        <f>rh_t1!C25</f>
        <v>99.22</v>
      </c>
      <c r="C121" s="227">
        <f>rh_t1!D25</f>
        <v>99.21</v>
      </c>
      <c r="D121" s="227">
        <f>rh_t1!E25</f>
        <v>99.2</v>
      </c>
      <c r="E121" s="227">
        <f>rh_t1!F25</f>
        <v>98.96</v>
      </c>
      <c r="F121" s="227">
        <f>rh_t1!G25</f>
        <v>99.2</v>
      </c>
      <c r="G121" s="227">
        <f>rh_t1!H25</f>
        <v>98.69</v>
      </c>
      <c r="H121" s="227">
        <f>rh_t1!I25</f>
        <v>99.2</v>
      </c>
      <c r="I121" s="227">
        <f>rh_t1!J25</f>
        <v>99.21</v>
      </c>
      <c r="J121" s="227">
        <f>rh_t1!K25</f>
        <v>99.23</v>
      </c>
      <c r="K121" s="227">
        <f>rh_t1!L25</f>
        <v>99.124444444444464</v>
      </c>
      <c r="L121" s="227">
        <f>rh_t1!M25</f>
        <v>0.17250514395622654</v>
      </c>
    </row>
    <row r="122" spans="1:12" s="292" customFormat="1" ht="15.6" hidden="1" customHeight="1" x14ac:dyDescent="0.2">
      <c r="A122" s="226">
        <v>24</v>
      </c>
      <c r="B122" s="227">
        <f>rh_t1!C26</f>
        <v>99.22</v>
      </c>
      <c r="C122" s="227">
        <f>rh_t1!D26</f>
        <v>99.21</v>
      </c>
      <c r="D122" s="227">
        <f>rh_t1!E26</f>
        <v>99.2</v>
      </c>
      <c r="E122" s="227">
        <f>rh_t1!F26</f>
        <v>98.83</v>
      </c>
      <c r="F122" s="227">
        <f>rh_t1!G26</f>
        <v>99.2</v>
      </c>
      <c r="G122" s="227">
        <f>rh_t1!H26</f>
        <v>98.58</v>
      </c>
      <c r="H122" s="227">
        <f>rh_t1!I26</f>
        <v>99.2</v>
      </c>
      <c r="I122" s="227">
        <f>rh_t1!J26</f>
        <v>99.21</v>
      </c>
      <c r="J122" s="227">
        <f>rh_t1!K26</f>
        <v>99.23</v>
      </c>
      <c r="K122" s="227">
        <f>rh_t1!L26</f>
        <v>99.097777777777793</v>
      </c>
      <c r="L122" s="227">
        <f>rh_t1!M26</f>
        <v>0.21826476163787817</v>
      </c>
    </row>
    <row r="123" spans="1:12" s="292" customFormat="1" ht="15.6" hidden="1" customHeight="1" x14ac:dyDescent="0.2">
      <c r="A123" s="226">
        <v>25</v>
      </c>
      <c r="B123" s="227">
        <f>rh_t1!C27</f>
        <v>99.22</v>
      </c>
      <c r="C123" s="227">
        <f>rh_t1!D27</f>
        <v>99.21</v>
      </c>
      <c r="D123" s="227">
        <f>rh_t1!E27</f>
        <v>99.2</v>
      </c>
      <c r="E123" s="227">
        <f>rh_t1!F27</f>
        <v>98.7</v>
      </c>
      <c r="F123" s="227">
        <f>rh_t1!G27</f>
        <v>99.2</v>
      </c>
      <c r="G123" s="227">
        <f>rh_t1!H27</f>
        <v>98.52</v>
      </c>
      <c r="H123" s="227">
        <f>rh_t1!I27</f>
        <v>99.2</v>
      </c>
      <c r="I123" s="227">
        <f>rh_t1!J27</f>
        <v>99.21</v>
      </c>
      <c r="J123" s="227">
        <f>rh_t1!K27</f>
        <v>99.31</v>
      </c>
      <c r="K123" s="227">
        <f>rh_t1!L27</f>
        <v>99.085555555555558</v>
      </c>
      <c r="L123" s="227">
        <f>rh_t1!M27</f>
        <v>0.25974821616802174</v>
      </c>
    </row>
    <row r="124" spans="1:12" s="292" customFormat="1" ht="15.6" hidden="1" customHeight="1" x14ac:dyDescent="0.2">
      <c r="A124" s="226">
        <v>26</v>
      </c>
      <c r="B124" s="227">
        <f>rh_t1!C28</f>
        <v>99.22</v>
      </c>
      <c r="C124" s="227">
        <f>rh_t1!D28</f>
        <v>99.21</v>
      </c>
      <c r="D124" s="227">
        <f>rh_t1!E28</f>
        <v>99.2</v>
      </c>
      <c r="E124" s="227">
        <f>rh_t1!F28</f>
        <v>98.59</v>
      </c>
      <c r="F124" s="227">
        <f>rh_t1!G28</f>
        <v>99.2</v>
      </c>
      <c r="G124" s="227">
        <f>rh_t1!H28</f>
        <v>98.48</v>
      </c>
      <c r="H124" s="227">
        <f>rh_t1!I28</f>
        <v>99.16</v>
      </c>
      <c r="I124" s="227">
        <f>rh_t1!J28</f>
        <v>99.21</v>
      </c>
      <c r="J124" s="227">
        <f>rh_t1!K28</f>
        <v>99.22</v>
      </c>
      <c r="K124" s="227">
        <f>rh_t1!L28</f>
        <v>99.054444444444442</v>
      </c>
      <c r="L124" s="227">
        <f>rh_t1!M28</f>
        <v>0.27936877703180368</v>
      </c>
    </row>
    <row r="125" spans="1:12" s="292" customFormat="1" ht="15.6" hidden="1" customHeight="1" x14ac:dyDescent="0.2">
      <c r="A125" s="226">
        <v>27</v>
      </c>
      <c r="B125" s="227">
        <f>rh_t1!C29</f>
        <v>99.22</v>
      </c>
      <c r="C125" s="227">
        <f>rh_t1!D29</f>
        <v>99.21</v>
      </c>
      <c r="D125" s="227">
        <f>rh_t1!E29</f>
        <v>99.2</v>
      </c>
      <c r="E125" s="227">
        <f>rh_t1!F29</f>
        <v>98.54</v>
      </c>
      <c r="F125" s="227">
        <f>rh_t1!G29</f>
        <v>99.2</v>
      </c>
      <c r="G125" s="227">
        <f>rh_t1!H29</f>
        <v>98.48</v>
      </c>
      <c r="H125" s="227">
        <f>rh_t1!I29</f>
        <v>99.14</v>
      </c>
      <c r="I125" s="227">
        <f>rh_t1!J29</f>
        <v>99.21</v>
      </c>
      <c r="J125" s="227">
        <f>rh_t1!K29</f>
        <v>99.22</v>
      </c>
      <c r="K125" s="227">
        <f>rh_t1!L29</f>
        <v>99.046666666666681</v>
      </c>
      <c r="L125" s="227">
        <f>rh_t1!M29</f>
        <v>0.288097205817756</v>
      </c>
    </row>
    <row r="126" spans="1:12" s="292" customFormat="1" ht="15.6" hidden="1" customHeight="1" x14ac:dyDescent="0.2">
      <c r="A126" s="226">
        <v>28</v>
      </c>
      <c r="B126" s="227">
        <f>rh_t1!C30</f>
        <v>99.21</v>
      </c>
      <c r="C126" s="227">
        <f>rh_t1!D30</f>
        <v>99.21</v>
      </c>
      <c r="D126" s="227">
        <f>rh_t1!E30</f>
        <v>99.2</v>
      </c>
      <c r="E126" s="227">
        <f>rh_t1!F30</f>
        <v>98.55</v>
      </c>
      <c r="F126" s="227">
        <f>rh_t1!G30</f>
        <v>99.18</v>
      </c>
      <c r="G126" s="227">
        <f>rh_t1!H30</f>
        <v>98.51</v>
      </c>
      <c r="H126" s="227">
        <f>rh_t1!I30</f>
        <v>99.12</v>
      </c>
      <c r="I126" s="227">
        <f>rh_t1!J30</f>
        <v>99.21</v>
      </c>
      <c r="J126" s="227">
        <f>rh_t1!K30</f>
        <v>99.23</v>
      </c>
      <c r="K126" s="227">
        <f>rh_t1!L30</f>
        <v>99.046666666666681</v>
      </c>
      <c r="L126" s="227">
        <f>rh_t1!M30</f>
        <v>0.27788886667555035</v>
      </c>
    </row>
    <row r="127" spans="1:12" s="292" customFormat="1" ht="15.6" hidden="1" customHeight="1" x14ac:dyDescent="0.2">
      <c r="A127" s="226">
        <v>29</v>
      </c>
      <c r="B127" s="227">
        <f>rh_t1!C31</f>
        <v>99.21</v>
      </c>
      <c r="C127" s="227">
        <f>rh_t1!D31</f>
        <v>99.21</v>
      </c>
      <c r="D127" s="227">
        <f>rh_t1!E31</f>
        <v>99.2</v>
      </c>
      <c r="E127" s="227">
        <f>rh_t1!F31</f>
        <v>98.55</v>
      </c>
      <c r="F127" s="227">
        <f>rh_t1!G31</f>
        <v>99.18</v>
      </c>
      <c r="G127" s="227">
        <f>rh_t1!H31</f>
        <v>98.54</v>
      </c>
      <c r="H127" s="227">
        <f>rh_t1!I31</f>
        <v>99.07</v>
      </c>
      <c r="I127" s="227">
        <f>rh_t1!J31</f>
        <v>99.21</v>
      </c>
      <c r="J127" s="227">
        <f>rh_t1!K31</f>
        <v>99.22</v>
      </c>
      <c r="K127" s="227">
        <f>rh_t1!L31</f>
        <v>99.043333333333351</v>
      </c>
      <c r="L127" s="227">
        <f>rh_t1!M31</f>
        <v>0.26981475126463922</v>
      </c>
    </row>
    <row r="128" spans="1:12" s="292" customFormat="1" ht="15.6" hidden="1" customHeight="1" x14ac:dyDescent="0.2">
      <c r="A128" s="226">
        <v>30</v>
      </c>
      <c r="B128" s="227">
        <f>rh_t1!C32</f>
        <v>99.21</v>
      </c>
      <c r="C128" s="227">
        <f>rh_t1!D32</f>
        <v>99.21</v>
      </c>
      <c r="D128" s="227">
        <f>rh_t1!E32</f>
        <v>99.2</v>
      </c>
      <c r="E128" s="227">
        <f>rh_t1!F32</f>
        <v>98.55</v>
      </c>
      <c r="F128" s="227">
        <f>rh_t1!G32</f>
        <v>99.18</v>
      </c>
      <c r="G128" s="227">
        <f>rh_t1!H32</f>
        <v>98.54</v>
      </c>
      <c r="H128" s="227">
        <f>rh_t1!I32</f>
        <v>99.07</v>
      </c>
      <c r="I128" s="227">
        <f>rh_t1!J32</f>
        <v>99.21</v>
      </c>
      <c r="J128" s="227">
        <f>rh_t1!K32</f>
        <v>99.22</v>
      </c>
      <c r="K128" s="227">
        <f>rh_t1!L32</f>
        <v>99.043333333333351</v>
      </c>
      <c r="L128" s="227">
        <f>rh_t1!M32</f>
        <v>0.26981475126463922</v>
      </c>
    </row>
    <row r="129" spans="1:15" s="292" customFormat="1" ht="15.6" hidden="1" customHeight="1" x14ac:dyDescent="0.35">
      <c r="A129" s="228" t="s">
        <v>64</v>
      </c>
      <c r="B129" s="227">
        <f>rh_t1!C33</f>
        <v>99.22233333333331</v>
      </c>
      <c r="C129" s="227">
        <f>rh_t1!D33</f>
        <v>99.215000000000018</v>
      </c>
      <c r="D129" s="227">
        <f>rh_t1!E33</f>
        <v>99.206999999999951</v>
      </c>
      <c r="E129" s="227">
        <f>rh_t1!F33</f>
        <v>99.057666666666691</v>
      </c>
      <c r="F129" s="227">
        <f>rh_t1!G33</f>
        <v>99.204333333333295</v>
      </c>
      <c r="G129" s="227">
        <f>rh_t1!H33</f>
        <v>98.994000000000014</v>
      </c>
      <c r="H129" s="227">
        <f>rh_t1!I33</f>
        <v>99.191333333333333</v>
      </c>
      <c r="I129" s="227">
        <f>rh_t1!J33</f>
        <v>99.215666666666692</v>
      </c>
      <c r="J129" s="227">
        <f>rh_t1!K33</f>
        <v>99.236333333333292</v>
      </c>
      <c r="K129" s="137"/>
      <c r="L129" s="137"/>
    </row>
    <row r="130" spans="1:15" s="292" customFormat="1" ht="14.25" hidden="1" customHeight="1" x14ac:dyDescent="0.35">
      <c r="A130" s="228" t="s">
        <v>39</v>
      </c>
      <c r="B130" s="227">
        <f>rh_t1!C34</f>
        <v>6.1553951042096133E-3</v>
      </c>
      <c r="C130" s="227">
        <f>rh_t1!D34</f>
        <v>5.0000000000025562E-3</v>
      </c>
      <c r="D130" s="227">
        <f>rh_t1!E34</f>
        <v>4.5825756949516719E-3</v>
      </c>
      <c r="E130" s="227">
        <f>rh_t1!F34</f>
        <v>0.25321510399043728</v>
      </c>
      <c r="F130" s="227">
        <f>rh_t1!G34</f>
        <v>9.1954094827512104E-3</v>
      </c>
      <c r="G130" s="227">
        <f>rh_t1!H34</f>
        <v>0.29117692216245128</v>
      </c>
      <c r="H130" s="227">
        <f>rh_t1!I34</f>
        <v>3.8706875645318981E-2</v>
      </c>
      <c r="I130" s="227">
        <f>rh_t1!J34</f>
        <v>4.9553562491087026E-3</v>
      </c>
      <c r="J130" s="227">
        <f>rh_t1!K34</f>
        <v>1.5595583420385598E-2</v>
      </c>
      <c r="K130" s="294"/>
      <c r="L130" s="294"/>
      <c r="N130" s="157"/>
      <c r="O130" s="157"/>
    </row>
    <row r="131" spans="1:15" s="292" customFormat="1" ht="15.6" hidden="1" customHeight="1" x14ac:dyDescent="0.35">
      <c r="A131" s="228" t="s">
        <v>65</v>
      </c>
      <c r="B131" s="227">
        <f>rh_t1!C35</f>
        <v>7.6666666666937999E-3</v>
      </c>
      <c r="C131" s="227">
        <f>rh_t1!D35</f>
        <v>4.9999999999812417E-3</v>
      </c>
      <c r="D131" s="227">
        <f>rh_t1!E35</f>
        <v>3.0000000000427463E-3</v>
      </c>
      <c r="E131" s="227">
        <f>rh_t1!F35</f>
        <v>0.15233333333330279</v>
      </c>
      <c r="F131" s="227">
        <f>rh_t1!G35</f>
        <v>5.6666666666984611E-3</v>
      </c>
      <c r="G131" s="227">
        <f>rh_t1!H35</f>
        <v>0.21599999999997976</v>
      </c>
      <c r="H131" s="227">
        <f>rh_t1!I35</f>
        <v>1.8666666666661058E-2</v>
      </c>
      <c r="I131" s="227">
        <f>rh_t1!J35</f>
        <v>4.3333333333066548E-3</v>
      </c>
      <c r="J131" s="227">
        <f>rh_t1!K35</f>
        <v>7.3666666666710512E-2</v>
      </c>
      <c r="K131" s="416"/>
      <c r="L131" s="416"/>
    </row>
    <row r="132" spans="1:15" s="292" customFormat="1" ht="15.6" hidden="1" customHeight="1" x14ac:dyDescent="0.35">
      <c r="A132" s="228" t="s">
        <v>66</v>
      </c>
      <c r="B132" s="227">
        <f>rh_t1!C36</f>
        <v>1.2333333333316432E-2</v>
      </c>
      <c r="C132" s="227">
        <f>rh_t1!D36</f>
        <v>5.0000000000238742E-3</v>
      </c>
      <c r="D132" s="227">
        <f>rh_t1!E36</f>
        <v>6.9999999999481588E-3</v>
      </c>
      <c r="E132" s="227">
        <f>rh_t1!F36</f>
        <v>0.5176666666666847</v>
      </c>
      <c r="F132" s="227">
        <f>rh_t1!G36</f>
        <v>2.4333333333288465E-2</v>
      </c>
      <c r="G132" s="227">
        <f>rh_t1!H36</f>
        <v>0.51400000000001</v>
      </c>
      <c r="H132" s="227">
        <f>rh_t1!I36</f>
        <v>0.12133333333333951</v>
      </c>
      <c r="I132" s="227">
        <f>rh_t1!J36</f>
        <v>5.6666666666984611E-3</v>
      </c>
      <c r="J132" s="227">
        <f>rh_t1!K36</f>
        <v>1.6333333333292899E-2</v>
      </c>
      <c r="K132" s="416"/>
      <c r="L132" s="416"/>
    </row>
    <row r="133" spans="1:15" s="292" customFormat="1" ht="15" hidden="1" x14ac:dyDescent="0.2">
      <c r="A133" s="229" t="s">
        <v>37</v>
      </c>
      <c r="B133" s="227">
        <f>rh_t1!C37</f>
        <v>1.0000000000005116E-2</v>
      </c>
      <c r="C133" s="227">
        <f>rh_t1!D37</f>
        <v>5.000000000002558E-3</v>
      </c>
      <c r="D133" s="227">
        <f>rh_t1!E37</f>
        <v>4.9999999999954525E-3</v>
      </c>
      <c r="E133" s="227">
        <f>rh_t1!F37</f>
        <v>0.33499999999999375</v>
      </c>
      <c r="F133" s="227">
        <f>rh_t1!G37</f>
        <v>1.4999999999993463E-2</v>
      </c>
      <c r="G133" s="227">
        <f>rh_t1!H37</f>
        <v>0.36499999999999488</v>
      </c>
      <c r="H133" s="227">
        <f>rh_t1!I37</f>
        <v>7.0000000000000284E-2</v>
      </c>
      <c r="I133" s="227">
        <f>rh_t1!J37</f>
        <v>5.000000000002558E-3</v>
      </c>
      <c r="J133" s="227">
        <f>rh_t1!K37</f>
        <v>4.5000000000001705E-2</v>
      </c>
      <c r="K133" s="416"/>
      <c r="L133" s="416"/>
    </row>
    <row r="134" spans="1:15" s="292" customFormat="1" ht="15.6" hidden="1" customHeight="1" x14ac:dyDescent="0.35">
      <c r="A134" s="230" t="s">
        <v>67</v>
      </c>
      <c r="B134" s="227">
        <f>rh_t1!C38</f>
        <v>1.8000000000014893E-2</v>
      </c>
      <c r="C134" s="227">
        <f>rh_t1!D38</f>
        <v>1.0666666666722335E-2</v>
      </c>
      <c r="D134" s="227">
        <f>rh_t1!E38</f>
        <v>2.6666666666557148E-3</v>
      </c>
      <c r="E134" s="227">
        <f>rh_t1!F38</f>
        <v>-0.14666666666660433</v>
      </c>
      <c r="F134" s="227">
        <f>rh_t1!G38</f>
        <v>0</v>
      </c>
      <c r="G134" s="227">
        <f>rh_t1!H38</f>
        <v>-0.2103333333332813</v>
      </c>
      <c r="H134" s="227">
        <f>rh_t1!I38</f>
        <v>-1.2999999999962597E-2</v>
      </c>
      <c r="I134" s="227">
        <f>rh_t1!J38</f>
        <v>1.1333333333396922E-2</v>
      </c>
      <c r="J134" s="227">
        <f>rh_t1!K38</f>
        <v>3.1999999999996476E-2</v>
      </c>
      <c r="K134" s="139"/>
      <c r="L134" s="139"/>
    </row>
    <row r="135" spans="1:15" s="292" customFormat="1" ht="15.6" hidden="1" customHeight="1" x14ac:dyDescent="0.35">
      <c r="A135" s="233" t="s">
        <v>69</v>
      </c>
      <c r="B135" s="232">
        <f>rh_t1!C40</f>
        <v>99.171518518518354</v>
      </c>
      <c r="C135" s="139"/>
      <c r="D135" s="139"/>
      <c r="E135" s="139"/>
      <c r="F135" s="139"/>
      <c r="G135" s="139"/>
      <c r="H135" s="139"/>
      <c r="I135" s="139"/>
      <c r="J135" s="139"/>
      <c r="K135" s="139"/>
      <c r="L135" s="139"/>
    </row>
    <row r="136" spans="1:15" s="292" customFormat="1" ht="15.6" hidden="1" customHeight="1" x14ac:dyDescent="0.35">
      <c r="A136" s="233" t="s">
        <v>70</v>
      </c>
      <c r="B136" s="232">
        <f>rh_t1!C41</f>
        <v>1.1715185185183543</v>
      </c>
      <c r="C136" s="139"/>
      <c r="D136" s="139"/>
      <c r="E136" s="139"/>
      <c r="F136" s="139"/>
      <c r="G136" s="139"/>
      <c r="H136" s="139"/>
      <c r="I136" s="139"/>
      <c r="J136" s="139"/>
      <c r="K136" s="139"/>
      <c r="L136" s="139"/>
    </row>
    <row r="137" spans="1:15" s="292" customFormat="1" ht="15.6" hidden="1" customHeight="1" x14ac:dyDescent="0.35">
      <c r="A137" s="233" t="s">
        <v>270</v>
      </c>
      <c r="B137" s="232">
        <f>rh_t1!C46</f>
        <v>0.15226533137436651</v>
      </c>
      <c r="C137" s="139"/>
      <c r="D137" s="139"/>
      <c r="E137" s="139"/>
      <c r="F137" s="139"/>
      <c r="G137" s="139"/>
      <c r="H137" s="139"/>
      <c r="I137" s="139"/>
      <c r="J137" s="139"/>
      <c r="K137" s="139"/>
      <c r="L137" s="139"/>
    </row>
    <row r="138" spans="1:15" s="292" customFormat="1" ht="15.6" hidden="1" customHeight="1" x14ac:dyDescent="0.35">
      <c r="A138" s="241" t="s">
        <v>71</v>
      </c>
      <c r="B138" s="232">
        <f>rh_t1!C42</f>
        <v>0.24233333333327778</v>
      </c>
      <c r="C138" s="139"/>
      <c r="D138" s="139"/>
      <c r="E138" s="139"/>
      <c r="F138" s="139"/>
      <c r="G138" s="139"/>
      <c r="H138" s="139"/>
      <c r="I138" s="139"/>
      <c r="J138" s="139"/>
      <c r="K138" s="139"/>
      <c r="L138" s="139"/>
    </row>
    <row r="139" spans="1:15" s="292" customFormat="1" ht="15.6" hidden="1" customHeight="1" x14ac:dyDescent="0.35">
      <c r="A139" s="241" t="s">
        <v>72</v>
      </c>
      <c r="B139" s="240">
        <f>rh_t1!C43</f>
        <v>3.1999999999996476E-2</v>
      </c>
      <c r="C139" s="139"/>
      <c r="D139" s="139"/>
      <c r="E139" s="139"/>
      <c r="F139" s="139"/>
      <c r="G139" s="139"/>
      <c r="H139" s="139"/>
      <c r="I139" s="139"/>
      <c r="J139" s="139"/>
      <c r="K139" s="139"/>
      <c r="L139" s="139"/>
    </row>
    <row r="140" spans="1:15" s="292" customFormat="1" ht="15.6" hidden="1" customHeight="1" x14ac:dyDescent="0.2">
      <c r="A140" s="283"/>
      <c r="B140" s="240">
        <f>rh_t1!C44</f>
        <v>-0.2103333333332813</v>
      </c>
      <c r="C140" s="140"/>
      <c r="D140" s="139"/>
      <c r="E140" s="139"/>
      <c r="F140" s="139"/>
      <c r="G140" s="139"/>
      <c r="H140" s="139"/>
      <c r="I140" s="139"/>
      <c r="J140" s="139"/>
      <c r="K140" s="139"/>
      <c r="L140" s="139"/>
    </row>
    <row r="141" spans="1:15" s="292" customFormat="1" ht="14.25" hidden="1" customHeight="1" x14ac:dyDescent="0.35">
      <c r="A141" s="242" t="s">
        <v>50</v>
      </c>
      <c r="B141" s="232">
        <f>rh_t1!C45</f>
        <v>9.4999999999998863E-2</v>
      </c>
      <c r="C141" s="139"/>
      <c r="D141" s="139"/>
      <c r="E141" s="139"/>
      <c r="F141" s="139"/>
      <c r="G141" s="139"/>
      <c r="H141" s="139"/>
      <c r="I141" s="139"/>
      <c r="J141" s="139"/>
      <c r="K141" s="139"/>
      <c r="L141" s="139"/>
    </row>
    <row r="142" spans="1:15" s="292" customFormat="1" ht="29.25" hidden="1" customHeight="1" x14ac:dyDescent="0.2">
      <c r="A142" s="417" t="s">
        <v>353</v>
      </c>
      <c r="B142" s="417"/>
      <c r="C142" s="417"/>
      <c r="D142" s="417"/>
      <c r="E142" s="417"/>
      <c r="F142" s="417"/>
      <c r="G142" s="417"/>
      <c r="H142" s="417"/>
      <c r="I142" s="417"/>
      <c r="J142" s="417"/>
      <c r="K142" s="417"/>
      <c r="L142" s="417"/>
    </row>
    <row r="143" spans="1:15" s="292" customFormat="1" ht="31.5" hidden="1" customHeight="1" thickBot="1" x14ac:dyDescent="0.25">
      <c r="A143" s="430" t="str">
        <f>"Заданная температура = "&amp;rh_t1!C86&amp;" °С;  Заданная относительная влажность =  "&amp;$E$1&amp;rh_t1!C39 &amp;" %."</f>
        <v>Заданная температура = 40 °С;  Заданная относительная влажность =  98 %.</v>
      </c>
      <c r="B143" s="430"/>
      <c r="C143" s="430"/>
      <c r="D143" s="430"/>
      <c r="E143" s="430"/>
      <c r="F143" s="430"/>
      <c r="G143" s="430"/>
      <c r="H143" s="430"/>
      <c r="I143" s="430"/>
      <c r="J143" s="430"/>
      <c r="K143" s="430"/>
      <c r="L143" s="430"/>
    </row>
    <row r="144" spans="1:15" s="292" customFormat="1" ht="30.75" hidden="1" customHeight="1" thickBot="1" x14ac:dyDescent="0.25">
      <c r="A144" s="239" t="s">
        <v>89</v>
      </c>
      <c r="B144" s="419" t="s">
        <v>94</v>
      </c>
      <c r="C144" s="419"/>
      <c r="D144" s="419"/>
      <c r="E144" s="419"/>
      <c r="F144" s="419"/>
      <c r="G144" s="419"/>
      <c r="H144" s="419"/>
      <c r="I144" s="419"/>
      <c r="J144" s="419"/>
      <c r="K144" s="420" t="s">
        <v>91</v>
      </c>
      <c r="L144" s="420"/>
    </row>
    <row r="145" spans="1:12" s="292" customFormat="1" ht="15" hidden="1" customHeight="1" x14ac:dyDescent="0.2">
      <c r="A145" s="236"/>
      <c r="B145" s="235">
        <v>1</v>
      </c>
      <c r="C145" s="235">
        <v>2</v>
      </c>
      <c r="D145" s="235">
        <v>3</v>
      </c>
      <c r="E145" s="235">
        <v>4</v>
      </c>
      <c r="F145" s="235">
        <v>5</v>
      </c>
      <c r="G145" s="235">
        <v>6</v>
      </c>
      <c r="H145" s="235">
        <v>7</v>
      </c>
      <c r="I145" s="235">
        <v>8</v>
      </c>
      <c r="J145" s="235">
        <v>9</v>
      </c>
      <c r="K145" s="237" t="s">
        <v>92</v>
      </c>
      <c r="L145" s="238" t="s">
        <v>93</v>
      </c>
    </row>
    <row r="146" spans="1:12" s="292" customFormat="1" ht="15" hidden="1" customHeight="1" x14ac:dyDescent="0.2">
      <c r="A146" s="226">
        <v>1</v>
      </c>
      <c r="B146" s="227">
        <f>rh_t1!C50</f>
        <v>39.69003</v>
      </c>
      <c r="C146" s="227">
        <f>rh_t1!D50</f>
        <v>39.890059999999998</v>
      </c>
      <c r="D146" s="227">
        <f>rh_t1!E50</f>
        <v>39.800939999999997</v>
      </c>
      <c r="E146" s="227">
        <f>rh_t1!F50</f>
        <v>40.029969999999999</v>
      </c>
      <c r="F146" s="227">
        <f>rh_t1!G50</f>
        <v>39.7866</v>
      </c>
      <c r="G146" s="227">
        <f>rh_t1!H50</f>
        <v>39.702770000000001</v>
      </c>
      <c r="H146" s="227">
        <f>rh_t1!I50</f>
        <v>39.728859999999997</v>
      </c>
      <c r="I146" s="227">
        <f>rh_t1!J50</f>
        <v>39.519660000000002</v>
      </c>
      <c r="J146" s="227">
        <f>rh_t1!K50</f>
        <v>39.863959999999999</v>
      </c>
      <c r="K146" s="227">
        <f>rh_t1!L50</f>
        <v>39.779205555555556</v>
      </c>
      <c r="L146" s="227">
        <f>rh_t1!M50</f>
        <v>0.13604539210711991</v>
      </c>
    </row>
    <row r="147" spans="1:12" s="292" customFormat="1" ht="15" hidden="1" customHeight="1" x14ac:dyDescent="0.2">
      <c r="A147" s="226">
        <v>2</v>
      </c>
      <c r="B147" s="227">
        <f>rh_t1!C51</f>
        <v>39.681750000000001</v>
      </c>
      <c r="C147" s="227">
        <f>rh_t1!D51</f>
        <v>39.884929999999997</v>
      </c>
      <c r="D147" s="227">
        <f>rh_t1!E51</f>
        <v>39.797649999999997</v>
      </c>
      <c r="E147" s="227">
        <f>rh_t1!F51</f>
        <v>40.025069999999999</v>
      </c>
      <c r="F147" s="227">
        <f>rh_t1!G51</f>
        <v>39.777160000000002</v>
      </c>
      <c r="G147" s="227">
        <f>rh_t1!H51</f>
        <v>39.693420000000003</v>
      </c>
      <c r="H147" s="227">
        <f>rh_t1!I51</f>
        <v>39.72146</v>
      </c>
      <c r="I147" s="227">
        <f>rh_t1!J51</f>
        <v>39.514279999999999</v>
      </c>
      <c r="J147" s="227">
        <f>rh_t1!K51</f>
        <v>39.856560000000002</v>
      </c>
      <c r="K147" s="227">
        <f>rh_t1!L51</f>
        <v>39.772475555555552</v>
      </c>
      <c r="L147" s="227">
        <f>rh_t1!M51</f>
        <v>0.13659521913799874</v>
      </c>
    </row>
    <row r="148" spans="1:12" s="292" customFormat="1" ht="15" hidden="1" customHeight="1" x14ac:dyDescent="0.2">
      <c r="A148" s="226">
        <v>3</v>
      </c>
      <c r="B148" s="227">
        <f>rh_t1!C52</f>
        <v>39.674460000000003</v>
      </c>
      <c r="C148" s="227">
        <f>rh_t1!D52</f>
        <v>39.876220000000004</v>
      </c>
      <c r="D148" s="227">
        <f>rh_t1!E52</f>
        <v>39.790990000000001</v>
      </c>
      <c r="E148" s="227">
        <f>rh_t1!F52</f>
        <v>40.015439999999998</v>
      </c>
      <c r="F148" s="227">
        <f>rh_t1!G52</f>
        <v>39.765549999999998</v>
      </c>
      <c r="G148" s="227">
        <f>rh_t1!H52</f>
        <v>39.684570000000001</v>
      </c>
      <c r="H148" s="227">
        <f>rh_t1!I52</f>
        <v>39.711449999999999</v>
      </c>
      <c r="I148" s="227">
        <f>rh_t1!J52</f>
        <v>39.508580000000002</v>
      </c>
      <c r="J148" s="227">
        <f>rh_t1!K52</f>
        <v>39.849730000000001</v>
      </c>
      <c r="K148" s="227">
        <f>rh_t1!L52</f>
        <v>39.764109999999995</v>
      </c>
      <c r="L148" s="227">
        <f>rh_t1!M52</f>
        <v>0.13590160002328416</v>
      </c>
    </row>
    <row r="149" spans="1:12" s="292" customFormat="1" ht="15" hidden="1" customHeight="1" x14ac:dyDescent="0.2">
      <c r="A149" s="226">
        <v>4</v>
      </c>
      <c r="B149" s="227">
        <f>rh_t1!C53</f>
        <v>39.672179999999997</v>
      </c>
      <c r="C149" s="227">
        <f>rh_t1!D53</f>
        <v>39.870190000000001</v>
      </c>
      <c r="D149" s="227">
        <f>rh_t1!E53</f>
        <v>39.786540000000002</v>
      </c>
      <c r="E149" s="227">
        <f>rh_t1!F53</f>
        <v>40.011139999999997</v>
      </c>
      <c r="F149" s="227">
        <f>rh_t1!G53</f>
        <v>39.761249999999997</v>
      </c>
      <c r="G149" s="227">
        <f>rh_t1!H53</f>
        <v>39.679839999999999</v>
      </c>
      <c r="H149" s="227">
        <f>rh_t1!I53</f>
        <v>39.706609999999998</v>
      </c>
      <c r="I149" s="227">
        <f>rh_t1!J53</f>
        <v>39.504309999999997</v>
      </c>
      <c r="J149" s="227">
        <f>rh_t1!K53</f>
        <v>39.84554</v>
      </c>
      <c r="K149" s="227">
        <f>rh_t1!L53</f>
        <v>39.75973333333333</v>
      </c>
      <c r="L149" s="227">
        <f>rh_t1!M53</f>
        <v>0.1356471597769586</v>
      </c>
    </row>
    <row r="150" spans="1:12" s="292" customFormat="1" ht="15" hidden="1" customHeight="1" x14ac:dyDescent="0.2">
      <c r="A150" s="226">
        <v>5</v>
      </c>
      <c r="B150" s="227">
        <f>rh_t1!C54</f>
        <v>39.670569999999998</v>
      </c>
      <c r="C150" s="227">
        <f>rh_t1!D54</f>
        <v>39.868899999999996</v>
      </c>
      <c r="D150" s="227">
        <f>rh_t1!E54</f>
        <v>39.783459999999998</v>
      </c>
      <c r="E150" s="227">
        <f>rh_t1!F54</f>
        <v>40.008620000000001</v>
      </c>
      <c r="F150" s="227">
        <f>rh_t1!G54</f>
        <v>39.760420000000003</v>
      </c>
      <c r="G150" s="227">
        <f>rh_t1!H54</f>
        <v>39.680489999999999</v>
      </c>
      <c r="H150" s="227">
        <f>rh_t1!I54</f>
        <v>39.70449</v>
      </c>
      <c r="I150" s="227">
        <f>rh_t1!J54</f>
        <v>39.502130000000001</v>
      </c>
      <c r="J150" s="227">
        <f>rh_t1!K54</f>
        <v>39.844569999999997</v>
      </c>
      <c r="K150" s="227">
        <f>rh_t1!L54</f>
        <v>39.758183333333335</v>
      </c>
      <c r="L150" s="227">
        <f>rh_t1!M54</f>
        <v>0.13549985928651936</v>
      </c>
    </row>
    <row r="151" spans="1:12" s="292" customFormat="1" ht="15" hidden="1" customHeight="1" x14ac:dyDescent="0.2">
      <c r="A151" s="226">
        <v>6</v>
      </c>
      <c r="B151" s="227">
        <f>rh_t1!C55</f>
        <v>39.669589999999999</v>
      </c>
      <c r="C151" s="227">
        <f>rh_t1!D55</f>
        <v>39.870109999999997</v>
      </c>
      <c r="D151" s="227">
        <f>rh_t1!E55</f>
        <v>39.783029999999997</v>
      </c>
      <c r="E151" s="227">
        <f>rh_t1!F55</f>
        <v>40.005470000000003</v>
      </c>
      <c r="F151" s="227">
        <f>rh_t1!G55</f>
        <v>39.760249999999999</v>
      </c>
      <c r="G151" s="227">
        <f>rh_t1!H55</f>
        <v>39.679079999999999</v>
      </c>
      <c r="H151" s="227">
        <f>rh_t1!I55</f>
        <v>39.703200000000002</v>
      </c>
      <c r="I151" s="227">
        <f>rh_t1!J55</f>
        <v>39.500999999999998</v>
      </c>
      <c r="J151" s="227">
        <f>rh_t1!K55</f>
        <v>39.843069999999997</v>
      </c>
      <c r="K151" s="227">
        <f>rh_t1!L55</f>
        <v>39.75719999999999</v>
      </c>
      <c r="L151" s="227">
        <f>rh_t1!M55</f>
        <v>0.13530603000441507</v>
      </c>
    </row>
    <row r="152" spans="1:12" s="292" customFormat="1" ht="15" hidden="1" customHeight="1" x14ac:dyDescent="0.2">
      <c r="A152" s="226">
        <v>7</v>
      </c>
      <c r="B152" s="227">
        <f>rh_t1!C56</f>
        <v>39.673169999999999</v>
      </c>
      <c r="C152" s="227">
        <f>rh_t1!D56</f>
        <v>39.873399999999997</v>
      </c>
      <c r="D152" s="227">
        <f>rh_t1!E56</f>
        <v>39.782539999999997</v>
      </c>
      <c r="E152" s="227">
        <f>rh_t1!F56</f>
        <v>40.00703</v>
      </c>
      <c r="F152" s="227">
        <f>rh_t1!G56</f>
        <v>39.76238</v>
      </c>
      <c r="G152" s="227">
        <f>rh_t1!H56</f>
        <v>39.683059999999998</v>
      </c>
      <c r="H152" s="227">
        <f>rh_t1!I56</f>
        <v>39.708100000000002</v>
      </c>
      <c r="I152" s="227">
        <f>rh_t1!J56</f>
        <v>39.504710000000003</v>
      </c>
      <c r="J152" s="227">
        <f>rh_t1!K56</f>
        <v>39.846530000000001</v>
      </c>
      <c r="K152" s="227">
        <f>rh_t1!L56</f>
        <v>39.760102222222223</v>
      </c>
      <c r="L152" s="227">
        <f>rh_t1!M56</f>
        <v>0.13466429468024632</v>
      </c>
    </row>
    <row r="153" spans="1:12" s="292" customFormat="1" ht="15" hidden="1" customHeight="1" x14ac:dyDescent="0.2">
      <c r="A153" s="226">
        <v>8</v>
      </c>
      <c r="B153" s="227">
        <f>rh_t1!C57</f>
        <v>39.676960000000001</v>
      </c>
      <c r="C153" s="227">
        <f>rh_t1!D57</f>
        <v>39.87426</v>
      </c>
      <c r="D153" s="227">
        <f>rh_t1!E57</f>
        <v>39.785069999999997</v>
      </c>
      <c r="E153" s="227">
        <f>rh_t1!F57</f>
        <v>40.015099999999997</v>
      </c>
      <c r="F153" s="227">
        <f>rh_t1!G57</f>
        <v>39.768030000000003</v>
      </c>
      <c r="G153" s="227">
        <f>rh_t1!H57</f>
        <v>39.687869999999997</v>
      </c>
      <c r="H153" s="227">
        <f>rh_t1!I57</f>
        <v>39.712510000000002</v>
      </c>
      <c r="I153" s="227">
        <f>rh_t1!J57</f>
        <v>39.506239999999998</v>
      </c>
      <c r="J153" s="227">
        <f>rh_t1!K57</f>
        <v>39.849550000000001</v>
      </c>
      <c r="K153" s="227">
        <f>rh_t1!L57</f>
        <v>39.763954444444444</v>
      </c>
      <c r="L153" s="227">
        <f>rh_t1!M57</f>
        <v>0.13558540704098307</v>
      </c>
    </row>
    <row r="154" spans="1:12" s="292" customFormat="1" ht="15" hidden="1" customHeight="1" x14ac:dyDescent="0.2">
      <c r="A154" s="226">
        <v>9</v>
      </c>
      <c r="B154" s="227">
        <f>rh_t1!C58</f>
        <v>39.677930000000003</v>
      </c>
      <c r="C154" s="227">
        <f>rh_t1!D58</f>
        <v>39.87574</v>
      </c>
      <c r="D154" s="227">
        <f>rh_t1!E58</f>
        <v>39.787039999999998</v>
      </c>
      <c r="E154" s="227">
        <f>rh_t1!F58</f>
        <v>40.018030000000003</v>
      </c>
      <c r="F154" s="227">
        <f>rh_t1!G58</f>
        <v>39.770040000000002</v>
      </c>
      <c r="G154" s="227">
        <f>rh_t1!H58</f>
        <v>39.689169999999997</v>
      </c>
      <c r="H154" s="227">
        <f>rh_t1!I58</f>
        <v>39.711649999999999</v>
      </c>
      <c r="I154" s="227">
        <f>rh_t1!J58</f>
        <v>39.508800000000001</v>
      </c>
      <c r="J154" s="227">
        <f>rh_t1!K58</f>
        <v>39.849629999999998</v>
      </c>
      <c r="K154" s="227">
        <f>rh_t1!L58</f>
        <v>39.76533666666667</v>
      </c>
      <c r="L154" s="227">
        <f>rh_t1!M58</f>
        <v>0.13571864065861514</v>
      </c>
    </row>
    <row r="155" spans="1:12" s="292" customFormat="1" ht="15" hidden="1" customHeight="1" x14ac:dyDescent="0.2">
      <c r="A155" s="226">
        <v>10</v>
      </c>
      <c r="B155" s="227">
        <f>rh_t1!C59</f>
        <v>39.677720000000001</v>
      </c>
      <c r="C155" s="227">
        <f>rh_t1!D59</f>
        <v>39.877400000000002</v>
      </c>
      <c r="D155" s="227">
        <f>rh_t1!E59</f>
        <v>39.79</v>
      </c>
      <c r="E155" s="227">
        <f>rh_t1!F59</f>
        <v>40.020339999999997</v>
      </c>
      <c r="F155" s="227">
        <f>rh_t1!G59</f>
        <v>39.769390000000001</v>
      </c>
      <c r="G155" s="227">
        <f>rh_t1!H59</f>
        <v>39.69126</v>
      </c>
      <c r="H155" s="227">
        <f>rh_t1!I59</f>
        <v>39.715809999999998</v>
      </c>
      <c r="I155" s="227">
        <f>rh_t1!J59</f>
        <v>39.509979999999999</v>
      </c>
      <c r="J155" s="227">
        <f>rh_t1!K59</f>
        <v>39.852119999999999</v>
      </c>
      <c r="K155" s="227">
        <f>rh_t1!L59</f>
        <v>39.767113333333334</v>
      </c>
      <c r="L155" s="227">
        <f>rh_t1!M59</f>
        <v>0.13602960829662522</v>
      </c>
    </row>
    <row r="156" spans="1:12" s="292" customFormat="1" ht="15" hidden="1" customHeight="1" x14ac:dyDescent="0.2">
      <c r="A156" s="226">
        <v>11</v>
      </c>
      <c r="B156" s="227">
        <f>rh_t1!C60</f>
        <v>39.672899999999998</v>
      </c>
      <c r="C156" s="227">
        <f>rh_t1!D60</f>
        <v>39.873179999999998</v>
      </c>
      <c r="D156" s="227">
        <f>rh_t1!E60</f>
        <v>39.788400000000003</v>
      </c>
      <c r="E156" s="227">
        <f>rh_t1!F60</f>
        <v>40.019829999999999</v>
      </c>
      <c r="F156" s="227">
        <f>rh_t1!G60</f>
        <v>39.764180000000003</v>
      </c>
      <c r="G156" s="227">
        <f>rh_t1!H60</f>
        <v>39.687390000000001</v>
      </c>
      <c r="H156" s="227">
        <f>rh_t1!I60</f>
        <v>39.713039999999999</v>
      </c>
      <c r="I156" s="227">
        <f>rh_t1!J60</f>
        <v>39.506</v>
      </c>
      <c r="J156" s="227">
        <f>rh_t1!K60</f>
        <v>39.847990000000003</v>
      </c>
      <c r="K156" s="227">
        <f>rh_t1!L60</f>
        <v>39.763656666666662</v>
      </c>
      <c r="L156" s="227">
        <f>rh_t1!M60</f>
        <v>0.1367670918020851</v>
      </c>
    </row>
    <row r="157" spans="1:12" s="292" customFormat="1" ht="15" hidden="1" customHeight="1" x14ac:dyDescent="0.2">
      <c r="A157" s="226">
        <v>12</v>
      </c>
      <c r="B157" s="227">
        <f>rh_t1!C61</f>
        <v>39.667740000000002</v>
      </c>
      <c r="C157" s="227">
        <f>rh_t1!D61</f>
        <v>39.870519999999999</v>
      </c>
      <c r="D157" s="227">
        <f>rh_t1!E61</f>
        <v>39.78434</v>
      </c>
      <c r="E157" s="227">
        <f>rh_t1!F61</f>
        <v>40.013300000000001</v>
      </c>
      <c r="F157" s="227">
        <f>rh_t1!G61</f>
        <v>39.752510000000001</v>
      </c>
      <c r="G157" s="227">
        <f>rh_t1!H61</f>
        <v>39.681019999999997</v>
      </c>
      <c r="H157" s="227">
        <f>rh_t1!I61</f>
        <v>39.703629999999997</v>
      </c>
      <c r="I157" s="227">
        <f>rh_t1!J61</f>
        <v>39.50047</v>
      </c>
      <c r="J157" s="227">
        <f>rh_t1!K61</f>
        <v>39.844889999999999</v>
      </c>
      <c r="K157" s="227">
        <f>rh_t1!L61</f>
        <v>39.757602222222225</v>
      </c>
      <c r="L157" s="227">
        <f>rh_t1!M61</f>
        <v>0.13721913130122129</v>
      </c>
    </row>
    <row r="158" spans="1:12" s="292" customFormat="1" ht="15" hidden="1" customHeight="1" x14ac:dyDescent="0.2">
      <c r="A158" s="226">
        <v>13</v>
      </c>
      <c r="B158" s="227">
        <f>rh_t1!C62</f>
        <v>39.674410000000002</v>
      </c>
      <c r="C158" s="227">
        <f>rh_t1!D62</f>
        <v>39.87697</v>
      </c>
      <c r="D158" s="227">
        <f>rh_t1!E62</f>
        <v>39.78031</v>
      </c>
      <c r="E158" s="227">
        <f>rh_t1!F62</f>
        <v>40.012999999999998</v>
      </c>
      <c r="F158" s="227">
        <f>rh_t1!G62</f>
        <v>39.751730000000002</v>
      </c>
      <c r="G158" s="227">
        <f>rh_t1!H62</f>
        <v>39.683219999999999</v>
      </c>
      <c r="H158" s="227">
        <f>rh_t1!I62</f>
        <v>39.707880000000003</v>
      </c>
      <c r="I158" s="227">
        <f>rh_t1!J62</f>
        <v>39.503399999999999</v>
      </c>
      <c r="J158" s="227">
        <f>rh_t1!K62</f>
        <v>39.850299999999997</v>
      </c>
      <c r="K158" s="227">
        <f>rh_t1!L62</f>
        <v>39.760135555555557</v>
      </c>
      <c r="L158" s="227">
        <f>rh_t1!M62</f>
        <v>0.13666937616103597</v>
      </c>
    </row>
    <row r="159" spans="1:12" s="292" customFormat="1" ht="15" hidden="1" customHeight="1" x14ac:dyDescent="0.2">
      <c r="A159" s="226">
        <v>14</v>
      </c>
      <c r="B159" s="227">
        <f>rh_t1!C63</f>
        <v>39.679380000000002</v>
      </c>
      <c r="C159" s="227">
        <f>rh_t1!D63</f>
        <v>39.882129999999997</v>
      </c>
      <c r="D159" s="227">
        <f>rh_t1!E63</f>
        <v>39.786169999999998</v>
      </c>
      <c r="E159" s="227">
        <f>rh_t1!F63</f>
        <v>40.019390000000001</v>
      </c>
      <c r="F159" s="227">
        <f>rh_t1!G63</f>
        <v>39.765659999999997</v>
      </c>
      <c r="G159" s="227">
        <f>rh_t1!H63</f>
        <v>39.692070000000001</v>
      </c>
      <c r="H159" s="227">
        <f>rh_t1!I63</f>
        <v>39.714840000000002</v>
      </c>
      <c r="I159" s="227">
        <f>rh_t1!J63</f>
        <v>39.509169999999997</v>
      </c>
      <c r="J159" s="227">
        <f>rh_t1!K63</f>
        <v>39.852939999999997</v>
      </c>
      <c r="K159" s="227">
        <f>rh_t1!L63</f>
        <v>39.766861111111112</v>
      </c>
      <c r="L159" s="227">
        <f>rh_t1!M63</f>
        <v>0.13629998259105158</v>
      </c>
    </row>
    <row r="160" spans="1:12" s="292" customFormat="1" ht="15" hidden="1" customHeight="1" x14ac:dyDescent="0.2">
      <c r="A160" s="226">
        <v>15</v>
      </c>
      <c r="B160" s="227">
        <f>rh_t1!C64</f>
        <v>39.685670000000002</v>
      </c>
      <c r="C160" s="227">
        <f>rh_t1!D64</f>
        <v>39.887729999999998</v>
      </c>
      <c r="D160" s="227">
        <f>rh_t1!E64</f>
        <v>39.790019999999998</v>
      </c>
      <c r="E160" s="227">
        <f>rh_t1!F64</f>
        <v>40.023159999999997</v>
      </c>
      <c r="F160" s="227">
        <f>rh_t1!G64</f>
        <v>39.777250000000002</v>
      </c>
      <c r="G160" s="227">
        <f>rh_t1!H64</f>
        <v>39.698569999999997</v>
      </c>
      <c r="H160" s="227">
        <f>rh_t1!I64</f>
        <v>39.720739999999999</v>
      </c>
      <c r="I160" s="227">
        <f>rh_t1!J64</f>
        <v>39.514740000000003</v>
      </c>
      <c r="J160" s="227">
        <f>rh_t1!K64</f>
        <v>39.85839</v>
      </c>
      <c r="K160" s="227">
        <f>rh_t1!L64</f>
        <v>39.772918888888881</v>
      </c>
      <c r="L160" s="227">
        <f>rh_t1!M64</f>
        <v>0.13578488841173481</v>
      </c>
    </row>
    <row r="161" spans="1:12" s="292" customFormat="1" ht="15" hidden="1" customHeight="1" x14ac:dyDescent="0.2">
      <c r="A161" s="226">
        <v>16</v>
      </c>
      <c r="B161" s="227">
        <f>rh_t1!C65</f>
        <v>39.681669999999997</v>
      </c>
      <c r="C161" s="227">
        <f>rh_t1!D65</f>
        <v>39.880740000000003</v>
      </c>
      <c r="D161" s="227">
        <f>rh_t1!E65</f>
        <v>39.79419</v>
      </c>
      <c r="E161" s="227">
        <f>rh_t1!F65</f>
        <v>40.025069999999999</v>
      </c>
      <c r="F161" s="227">
        <f>rh_t1!G65</f>
        <v>39.771419999999999</v>
      </c>
      <c r="G161" s="227">
        <f>rh_t1!H65</f>
        <v>39.694389999999999</v>
      </c>
      <c r="H161" s="227">
        <f>rh_t1!I65</f>
        <v>39.715299999999999</v>
      </c>
      <c r="I161" s="227">
        <f>rh_t1!J65</f>
        <v>39.513689999999997</v>
      </c>
      <c r="J161" s="227">
        <f>rh_t1!K65</f>
        <v>39.852800000000002</v>
      </c>
      <c r="K161" s="227">
        <f>rh_t1!L65</f>
        <v>39.769918888888888</v>
      </c>
      <c r="L161" s="227">
        <f>rh_t1!M65</f>
        <v>0.13620775507734584</v>
      </c>
    </row>
    <row r="162" spans="1:12" s="292" customFormat="1" ht="15" hidden="1" customHeight="1" x14ac:dyDescent="0.2">
      <c r="A162" s="226">
        <v>17</v>
      </c>
      <c r="B162" s="227">
        <f>rh_t1!C66</f>
        <v>39.673409999999997</v>
      </c>
      <c r="C162" s="227">
        <f>rh_t1!D66</f>
        <v>39.872459999999997</v>
      </c>
      <c r="D162" s="227">
        <f>rh_t1!E66</f>
        <v>39.790950000000002</v>
      </c>
      <c r="E162" s="227">
        <f>rh_t1!F66</f>
        <v>40.015439999999998</v>
      </c>
      <c r="F162" s="227">
        <f>rh_t1!G66</f>
        <v>39.759450000000001</v>
      </c>
      <c r="G162" s="227">
        <f>rh_t1!H66</f>
        <v>39.679920000000003</v>
      </c>
      <c r="H162" s="227">
        <f>rh_t1!I66</f>
        <v>39.70608</v>
      </c>
      <c r="I162" s="227">
        <f>rh_t1!J66</f>
        <v>39.50656</v>
      </c>
      <c r="J162" s="227">
        <f>rh_t1!K66</f>
        <v>39.844329999999999</v>
      </c>
      <c r="K162" s="227">
        <f>rh_t1!L66</f>
        <v>39.760955555555562</v>
      </c>
      <c r="L162" s="227">
        <f>rh_t1!M66</f>
        <v>0.1362221289831104</v>
      </c>
    </row>
    <row r="163" spans="1:12" s="292" customFormat="1" ht="15" hidden="1" customHeight="1" x14ac:dyDescent="0.2">
      <c r="A163" s="226">
        <v>18</v>
      </c>
      <c r="B163" s="227">
        <f>rh_t1!C67</f>
        <v>39.670250000000003</v>
      </c>
      <c r="C163" s="227">
        <f>rh_t1!D67</f>
        <v>39.873289999999997</v>
      </c>
      <c r="D163" s="227">
        <f>rh_t1!E67</f>
        <v>39.785769999999999</v>
      </c>
      <c r="E163" s="227">
        <f>rh_t1!F67</f>
        <v>40.01155</v>
      </c>
      <c r="F163" s="227">
        <f>rh_t1!G67</f>
        <v>39.754710000000003</v>
      </c>
      <c r="G163" s="227">
        <f>rh_t1!H67</f>
        <v>39.675379999999997</v>
      </c>
      <c r="H163" s="227">
        <f>rh_t1!I67</f>
        <v>39.701970000000003</v>
      </c>
      <c r="I163" s="227">
        <f>rh_t1!J67</f>
        <v>39.504600000000003</v>
      </c>
      <c r="J163" s="227">
        <f>rh_t1!K67</f>
        <v>39.842559999999999</v>
      </c>
      <c r="K163" s="227">
        <f>rh_t1!L67</f>
        <v>39.757786666666661</v>
      </c>
      <c r="L163" s="227">
        <f>rh_t1!M67</f>
        <v>0.13637709786552094</v>
      </c>
    </row>
    <row r="164" spans="1:12" s="292" customFormat="1" ht="15" hidden="1" customHeight="1" x14ac:dyDescent="0.2">
      <c r="A164" s="226">
        <v>19</v>
      </c>
      <c r="B164" s="227">
        <f>rh_t1!C68</f>
        <v>39.667119999999997</v>
      </c>
      <c r="C164" s="227">
        <f>rh_t1!D68</f>
        <v>39.872369999999997</v>
      </c>
      <c r="D164" s="227">
        <f>rh_t1!E68</f>
        <v>39.78389</v>
      </c>
      <c r="E164" s="227">
        <f>rh_t1!F68</f>
        <v>40.010440000000003</v>
      </c>
      <c r="F164" s="227">
        <f>rh_t1!G68</f>
        <v>39.748690000000003</v>
      </c>
      <c r="G164" s="227">
        <f>rh_t1!H68</f>
        <v>39.672580000000004</v>
      </c>
      <c r="H164" s="227">
        <f>rh_t1!I68</f>
        <v>39.697719999999997</v>
      </c>
      <c r="I164" s="227">
        <f>rh_t1!J68</f>
        <v>39.501080000000002</v>
      </c>
      <c r="J164" s="227">
        <f>rh_t1!K68</f>
        <v>39.840000000000003</v>
      </c>
      <c r="K164" s="227">
        <f>rh_t1!L68</f>
        <v>39.754876666666668</v>
      </c>
      <c r="L164" s="227">
        <f>rh_t1!M68</f>
        <v>0.1371928640029553</v>
      </c>
    </row>
    <row r="165" spans="1:12" s="292" customFormat="1" ht="15" hidden="1" customHeight="1" x14ac:dyDescent="0.2">
      <c r="A165" s="226">
        <v>20</v>
      </c>
      <c r="B165" s="227">
        <f>rh_t1!C69</f>
        <v>39.66769</v>
      </c>
      <c r="C165" s="227">
        <f>rh_t1!D69</f>
        <v>39.874899999999997</v>
      </c>
      <c r="D165" s="227">
        <f>rh_t1!E69</f>
        <v>39.782359999999997</v>
      </c>
      <c r="E165" s="227">
        <f>rh_t1!F69</f>
        <v>40.009099999999997</v>
      </c>
      <c r="F165" s="227">
        <f>rh_t1!G69</f>
        <v>39.748049999999999</v>
      </c>
      <c r="G165" s="227">
        <f>rh_t1!H69</f>
        <v>39.673189999999998</v>
      </c>
      <c r="H165" s="227">
        <f>rh_t1!I69</f>
        <v>39.700319999999998</v>
      </c>
      <c r="I165" s="227">
        <f>rh_t1!J69</f>
        <v>39.499250000000004</v>
      </c>
      <c r="J165" s="227">
        <f>rh_t1!K69</f>
        <v>39.841769999999997</v>
      </c>
      <c r="K165" s="227">
        <f>rh_t1!L69</f>
        <v>39.755181111111114</v>
      </c>
      <c r="L165" s="227">
        <f>rh_t1!M69</f>
        <v>0.13742970198488319</v>
      </c>
    </row>
    <row r="166" spans="1:12" s="292" customFormat="1" ht="15" hidden="1" customHeight="1" x14ac:dyDescent="0.2">
      <c r="A166" s="226">
        <v>21</v>
      </c>
      <c r="B166" s="227">
        <f>rh_t1!C70</f>
        <v>39.669029999999999</v>
      </c>
      <c r="C166" s="227">
        <f>rh_t1!D70</f>
        <v>39.877400000000002</v>
      </c>
      <c r="D166" s="227">
        <f>rh_t1!E70</f>
        <v>39.785339999999998</v>
      </c>
      <c r="E166" s="227">
        <f>rh_t1!F70</f>
        <v>40.014420000000001</v>
      </c>
      <c r="F166" s="227">
        <f>rh_t1!G70</f>
        <v>39.751710000000003</v>
      </c>
      <c r="G166" s="227">
        <f>rh_t1!H70</f>
        <v>39.678870000000003</v>
      </c>
      <c r="H166" s="227">
        <f>rh_t1!I70</f>
        <v>39.704700000000003</v>
      </c>
      <c r="I166" s="227">
        <f>rh_t1!J70</f>
        <v>39.502099999999999</v>
      </c>
      <c r="J166" s="227">
        <f>rh_t1!K70</f>
        <v>39.843150000000001</v>
      </c>
      <c r="K166" s="227">
        <f>rh_t1!L70</f>
        <v>39.75852444444444</v>
      </c>
      <c r="L166" s="227">
        <f>rh_t1!M70</f>
        <v>0.13765721558447</v>
      </c>
    </row>
    <row r="167" spans="1:12" s="292" customFormat="1" ht="15" hidden="1" customHeight="1" x14ac:dyDescent="0.2">
      <c r="A167" s="226">
        <v>22</v>
      </c>
      <c r="B167" s="227">
        <f>rh_t1!C71</f>
        <v>39.673070000000003</v>
      </c>
      <c r="C167" s="227">
        <f>rh_t1!D71</f>
        <v>39.87697</v>
      </c>
      <c r="D167" s="227">
        <f>rh_t1!E71</f>
        <v>39.786009999999997</v>
      </c>
      <c r="E167" s="227">
        <f>rh_t1!F71</f>
        <v>40.016959999999997</v>
      </c>
      <c r="F167" s="227">
        <f>rh_t1!G71</f>
        <v>39.753419999999998</v>
      </c>
      <c r="G167" s="227">
        <f>rh_t1!H71</f>
        <v>39.681080000000001</v>
      </c>
      <c r="H167" s="227">
        <f>rh_t1!I71</f>
        <v>39.706699999999998</v>
      </c>
      <c r="I167" s="227">
        <f>rh_t1!J71</f>
        <v>39.503979999999999</v>
      </c>
      <c r="J167" s="227">
        <f>rh_t1!K71</f>
        <v>39.843600000000002</v>
      </c>
      <c r="K167" s="227">
        <f>rh_t1!L71</f>
        <v>39.760198888888887</v>
      </c>
      <c r="L167" s="227">
        <f>rh_t1!M71</f>
        <v>0.13727149282793491</v>
      </c>
    </row>
    <row r="168" spans="1:12" s="292" customFormat="1" ht="15" hidden="1" customHeight="1" x14ac:dyDescent="0.2">
      <c r="A168" s="226">
        <v>23</v>
      </c>
      <c r="B168" s="227">
        <f>rh_t1!C72</f>
        <v>39.671390000000002</v>
      </c>
      <c r="C168" s="227">
        <f>rh_t1!D72</f>
        <v>39.872329999999998</v>
      </c>
      <c r="D168" s="227">
        <f>rh_t1!E72</f>
        <v>39.788319999999999</v>
      </c>
      <c r="E168" s="227">
        <f>rh_t1!F72</f>
        <v>40.016930000000002</v>
      </c>
      <c r="F168" s="227">
        <f>rh_t1!G72</f>
        <v>39.753369999999997</v>
      </c>
      <c r="G168" s="227">
        <f>rh_t1!H72</f>
        <v>39.680320000000002</v>
      </c>
      <c r="H168" s="227">
        <f>rh_t1!I72</f>
        <v>39.705919999999999</v>
      </c>
      <c r="I168" s="227">
        <f>rh_t1!J72</f>
        <v>39.504440000000002</v>
      </c>
      <c r="J168" s="227">
        <f>rh_t1!K72</f>
        <v>39.842750000000002</v>
      </c>
      <c r="K168" s="227">
        <f>rh_t1!L72</f>
        <v>39.759530000000005</v>
      </c>
      <c r="L168" s="227">
        <f>rh_t1!M72</f>
        <v>0.13693421048079951</v>
      </c>
    </row>
    <row r="169" spans="1:12" s="292" customFormat="1" ht="15" hidden="1" customHeight="1" x14ac:dyDescent="0.2">
      <c r="A169" s="226">
        <v>24</v>
      </c>
      <c r="B169" s="227">
        <f>rh_t1!C73</f>
        <v>39.676960000000001</v>
      </c>
      <c r="C169" s="227">
        <f>rh_t1!D73</f>
        <v>39.880710000000001</v>
      </c>
      <c r="D169" s="227">
        <f>rh_t1!E73</f>
        <v>39.786630000000002</v>
      </c>
      <c r="E169" s="227">
        <f>rh_t1!F73</f>
        <v>40.013840000000002</v>
      </c>
      <c r="F169" s="227">
        <f>rh_t1!G73</f>
        <v>39.754100000000001</v>
      </c>
      <c r="G169" s="227">
        <f>rh_t1!H73</f>
        <v>39.67653</v>
      </c>
      <c r="H169" s="227">
        <f>rh_t1!I73</f>
        <v>39.706960000000002</v>
      </c>
      <c r="I169" s="227">
        <f>rh_t1!J73</f>
        <v>39.50667</v>
      </c>
      <c r="J169" s="227">
        <f>rh_t1!K73</f>
        <v>39.8461</v>
      </c>
      <c r="K169" s="227">
        <f>rh_t1!L73</f>
        <v>39.760944444444441</v>
      </c>
      <c r="L169" s="227">
        <f>rh_t1!M73</f>
        <v>0.13662886136546989</v>
      </c>
    </row>
    <row r="170" spans="1:12" s="292" customFormat="1" ht="15" hidden="1" customHeight="1" x14ac:dyDescent="0.2">
      <c r="A170" s="226">
        <v>25</v>
      </c>
      <c r="B170" s="227">
        <f>rh_t1!C74</f>
        <v>39.684930000000001</v>
      </c>
      <c r="C170" s="227">
        <f>rh_t1!D74</f>
        <v>39.885010000000001</v>
      </c>
      <c r="D170" s="227">
        <f>rh_t1!E74</f>
        <v>39.790599999999998</v>
      </c>
      <c r="E170" s="227">
        <f>rh_t1!F74</f>
        <v>40.020659999999999</v>
      </c>
      <c r="F170" s="227">
        <f>rh_t1!G74</f>
        <v>39.767859999999999</v>
      </c>
      <c r="G170" s="227">
        <f>rh_t1!H74</f>
        <v>39.687130000000003</v>
      </c>
      <c r="H170" s="227">
        <f>rh_t1!I74</f>
        <v>39.716189999999997</v>
      </c>
      <c r="I170" s="227">
        <f>rh_t1!J74</f>
        <v>39.513019999999997</v>
      </c>
      <c r="J170" s="227">
        <f>rh_t1!K74</f>
        <v>39.852849999999997</v>
      </c>
      <c r="K170" s="227">
        <f>rh_t1!L74</f>
        <v>39.768694444444442</v>
      </c>
      <c r="L170" s="227">
        <f>rh_t1!M74</f>
        <v>0.1359632449607133</v>
      </c>
    </row>
    <row r="171" spans="1:12" s="292" customFormat="1" ht="15" hidden="1" customHeight="1" x14ac:dyDescent="0.2">
      <c r="A171" s="226">
        <v>26</v>
      </c>
      <c r="B171" s="227">
        <f>rh_t1!C75</f>
        <v>39.686160000000001</v>
      </c>
      <c r="C171" s="227">
        <f>rh_t1!D75</f>
        <v>39.878369999999997</v>
      </c>
      <c r="D171" s="227">
        <f>rh_t1!E75</f>
        <v>39.797249999999998</v>
      </c>
      <c r="E171" s="227">
        <f>rh_t1!F75</f>
        <v>40.025419999999997</v>
      </c>
      <c r="F171" s="227">
        <f>rh_t1!G75</f>
        <v>39.774799999999999</v>
      </c>
      <c r="G171" s="227">
        <f>rh_t1!H75</f>
        <v>39.690460000000002</v>
      </c>
      <c r="H171" s="227">
        <f>rh_t1!I75</f>
        <v>39.718690000000002</v>
      </c>
      <c r="I171" s="227">
        <f>rh_t1!J75</f>
        <v>39.514679999999998</v>
      </c>
      <c r="J171" s="227">
        <f>rh_t1!K75</f>
        <v>39.8521</v>
      </c>
      <c r="K171" s="227">
        <f>rh_t1!L75</f>
        <v>39.770881111111109</v>
      </c>
      <c r="L171" s="227">
        <f>rh_t1!M75</f>
        <v>0.13567085754742642</v>
      </c>
    </row>
    <row r="172" spans="1:12" s="292" customFormat="1" ht="15" hidden="1" customHeight="1" x14ac:dyDescent="0.2">
      <c r="A172" s="226">
        <v>27</v>
      </c>
      <c r="B172" s="227">
        <f>rh_t1!C76</f>
        <v>39.682899999999997</v>
      </c>
      <c r="C172" s="227">
        <f>rh_t1!D76</f>
        <v>39.872590000000002</v>
      </c>
      <c r="D172" s="227">
        <f>rh_t1!E76</f>
        <v>39.797280000000001</v>
      </c>
      <c r="E172" s="227">
        <f>rh_t1!F76</f>
        <v>40.023069999999997</v>
      </c>
      <c r="F172" s="227">
        <f>rh_t1!G76</f>
        <v>39.769970000000001</v>
      </c>
      <c r="G172" s="227">
        <f>rh_t1!H76</f>
        <v>39.685459999999999</v>
      </c>
      <c r="H172" s="227">
        <f>rh_t1!I76</f>
        <v>39.716610000000003</v>
      </c>
      <c r="I172" s="227">
        <f>rh_t1!J76</f>
        <v>39.513420000000004</v>
      </c>
      <c r="J172" s="227">
        <f>rh_t1!K76</f>
        <v>39.850700000000003</v>
      </c>
      <c r="K172" s="227">
        <f>rh_t1!L76</f>
        <v>39.768000000000001</v>
      </c>
      <c r="L172" s="227">
        <f>rh_t1!M76</f>
        <v>0.13548555987016897</v>
      </c>
    </row>
    <row r="173" spans="1:12" s="292" customFormat="1" ht="15" hidden="1" customHeight="1" x14ac:dyDescent="0.2">
      <c r="A173" s="226">
        <v>28</v>
      </c>
      <c r="B173" s="227">
        <f>rh_t1!C77</f>
        <v>39.677500000000002</v>
      </c>
      <c r="C173" s="227">
        <f>rh_t1!D77</f>
        <v>39.868070000000003</v>
      </c>
      <c r="D173" s="227">
        <f>rh_t1!E77</f>
        <v>39.797080000000001</v>
      </c>
      <c r="E173" s="227">
        <f>rh_t1!F77</f>
        <v>40.018590000000003</v>
      </c>
      <c r="F173" s="227">
        <f>rh_t1!G77</f>
        <v>39.763269999999999</v>
      </c>
      <c r="G173" s="227">
        <f>rh_t1!H77</f>
        <v>39.681150000000002</v>
      </c>
      <c r="H173" s="227">
        <f>rh_t1!I77</f>
        <v>39.711239999999997</v>
      </c>
      <c r="I173" s="227">
        <f>rh_t1!J77</f>
        <v>39.509059999999998</v>
      </c>
      <c r="J173" s="227">
        <f>rh_t1!K77</f>
        <v>39.846429999999998</v>
      </c>
      <c r="K173" s="227">
        <f>rh_t1!L77</f>
        <v>39.763598888888886</v>
      </c>
      <c r="L173" s="227">
        <f>rh_t1!M77</f>
        <v>0.13567080374072607</v>
      </c>
    </row>
    <row r="174" spans="1:12" s="292" customFormat="1" ht="15" hidden="1" customHeight="1" x14ac:dyDescent="0.2">
      <c r="A174" s="226">
        <v>29</v>
      </c>
      <c r="B174" s="227">
        <f>rh_t1!C78</f>
        <v>39.680079999999997</v>
      </c>
      <c r="C174" s="227">
        <f>rh_t1!D78</f>
        <v>39.873420000000003</v>
      </c>
      <c r="D174" s="227">
        <f>rh_t1!E78</f>
        <v>39.793869999999998</v>
      </c>
      <c r="E174" s="227">
        <f>rh_t1!F78</f>
        <v>40.016039999999997</v>
      </c>
      <c r="F174" s="227">
        <f>rh_t1!G78</f>
        <v>39.759990000000002</v>
      </c>
      <c r="G174" s="227">
        <f>rh_t1!H78</f>
        <v>39.685540000000003</v>
      </c>
      <c r="H174" s="227">
        <f>rh_t1!I78</f>
        <v>39.71275</v>
      </c>
      <c r="I174" s="227">
        <f>rh_t1!J78</f>
        <v>39.51108</v>
      </c>
      <c r="J174" s="227">
        <f>rh_t1!K78</f>
        <v>39.850700000000003</v>
      </c>
      <c r="K174" s="227">
        <f>rh_t1!L78</f>
        <v>39.764830000000003</v>
      </c>
      <c r="L174" s="227">
        <f>rh_t1!M78</f>
        <v>0.13487010697539881</v>
      </c>
    </row>
    <row r="175" spans="1:12" s="292" customFormat="1" ht="15" hidden="1" customHeight="1" x14ac:dyDescent="0.2">
      <c r="A175" s="226">
        <v>30</v>
      </c>
      <c r="B175" s="227">
        <f>rh_t1!C79</f>
        <v>39.675669999999997</v>
      </c>
      <c r="C175" s="227">
        <f>rh_t1!D79</f>
        <v>39.868630000000003</v>
      </c>
      <c r="D175" s="227">
        <f>rh_t1!E79</f>
        <v>39.795090000000002</v>
      </c>
      <c r="E175" s="227">
        <f>rh_t1!F79</f>
        <v>40.020099999999999</v>
      </c>
      <c r="F175" s="227">
        <f>rh_t1!G79</f>
        <v>39.757759999999998</v>
      </c>
      <c r="G175" s="227">
        <f>rh_t1!H79</f>
        <v>39.680669999999999</v>
      </c>
      <c r="H175" s="227">
        <f>rh_t1!I79</f>
        <v>39.707369999999997</v>
      </c>
      <c r="I175" s="227">
        <f>rh_t1!J79</f>
        <v>39.506990000000002</v>
      </c>
      <c r="J175" s="227">
        <f>rh_t1!K79</f>
        <v>39.846429999999998</v>
      </c>
      <c r="K175" s="227">
        <f>rh_t1!L79</f>
        <v>39.76207888888888</v>
      </c>
      <c r="L175" s="227">
        <f>rh_t1!M79</f>
        <v>0.13675153311709731</v>
      </c>
    </row>
    <row r="176" spans="1:12" s="292" customFormat="1" ht="15" hidden="1" customHeight="1" x14ac:dyDescent="0.35">
      <c r="A176" s="228" t="s">
        <v>40</v>
      </c>
      <c r="B176" s="227">
        <f>rh_t1!C80</f>
        <v>39.676076333333334</v>
      </c>
      <c r="C176" s="227">
        <f>rh_t1!D80</f>
        <v>39.875966666666663</v>
      </c>
      <c r="D176" s="227">
        <f>rh_t1!E80</f>
        <v>39.789037666666673</v>
      </c>
      <c r="E176" s="227">
        <f>rh_t1!F80</f>
        <v>40.016750666666667</v>
      </c>
      <c r="F176" s="227">
        <f>rh_t1!G80</f>
        <v>39.762699000000005</v>
      </c>
      <c r="G176" s="227">
        <f>rh_t1!H80</f>
        <v>39.68454899999999</v>
      </c>
      <c r="H176" s="227">
        <f>rh_t1!I80</f>
        <v>39.710426333333331</v>
      </c>
      <c r="I176" s="227">
        <f>rh_t1!J80</f>
        <v>39.507469666666672</v>
      </c>
      <c r="J176" s="227">
        <f>rh_t1!K80</f>
        <v>39.848401333333335</v>
      </c>
      <c r="K176" s="137"/>
      <c r="L176" s="137"/>
    </row>
    <row r="177" spans="1:12" s="292" customFormat="1" ht="15" hidden="1" customHeight="1" x14ac:dyDescent="0.35">
      <c r="A177" s="228" t="s">
        <v>39</v>
      </c>
      <c r="B177" s="227">
        <f>rh_t1!C81</f>
        <v>5.9635942648336611E-3</v>
      </c>
      <c r="C177" s="227">
        <f>rh_t1!D81</f>
        <v>5.596957109795157E-3</v>
      </c>
      <c r="D177" s="227">
        <f>rh_t1!E81</f>
        <v>5.3771347285419199E-3</v>
      </c>
      <c r="E177" s="227">
        <f>rh_t1!F81</f>
        <v>5.8353891234617606E-3</v>
      </c>
      <c r="F177" s="227">
        <f>rh_t1!G81</f>
        <v>9.2428604338699646E-3</v>
      </c>
      <c r="G177" s="227">
        <f>rh_t1!H81</f>
        <v>7.0839185719015815E-3</v>
      </c>
      <c r="H177" s="227">
        <f>rh_t1!I81</f>
        <v>6.8364105997876399E-3</v>
      </c>
      <c r="I177" s="227">
        <f>rh_t1!J81</f>
        <v>5.0272792398626783E-3</v>
      </c>
      <c r="J177" s="227">
        <f>rh_t1!K81</f>
        <v>5.2996941630834736E-3</v>
      </c>
      <c r="K177" s="294"/>
      <c r="L177" s="294"/>
    </row>
    <row r="178" spans="1:12" s="292" customFormat="1" ht="15" hidden="1" customHeight="1" x14ac:dyDescent="0.35">
      <c r="A178" s="228" t="s">
        <v>52</v>
      </c>
      <c r="B178" s="227">
        <f>rh_t1!C82</f>
        <v>1.3953666666665754E-2</v>
      </c>
      <c r="C178" s="227">
        <f>rh_t1!D82</f>
        <v>1.4093333333335067E-2</v>
      </c>
      <c r="D178" s="227">
        <f>rh_t1!E82</f>
        <v>1.1902333333324577E-2</v>
      </c>
      <c r="E178" s="227">
        <f>rh_t1!F82</f>
        <v>1.3219333333331917E-2</v>
      </c>
      <c r="F178" s="227">
        <f>rh_t1!G82</f>
        <v>2.3900999999995065E-2</v>
      </c>
      <c r="G178" s="227">
        <f>rh_t1!H82</f>
        <v>1.8221000000011145E-2</v>
      </c>
      <c r="H178" s="227">
        <f>rh_t1!I82</f>
        <v>1.8433666666666682E-2</v>
      </c>
      <c r="I178" s="227">
        <f>rh_t1!J82</f>
        <v>1.2190333333329306E-2</v>
      </c>
      <c r="J178" s="227">
        <f>rh_t1!K82</f>
        <v>1.5558666666663612E-2</v>
      </c>
      <c r="K178" s="416"/>
      <c r="L178" s="416"/>
    </row>
    <row r="179" spans="1:12" s="292" customFormat="1" ht="15" hidden="1" customHeight="1" x14ac:dyDescent="0.35">
      <c r="A179" s="228" t="s">
        <v>51</v>
      </c>
      <c r="B179" s="227">
        <f>rh_t1!C83</f>
        <v>8.9563333333373407E-3</v>
      </c>
      <c r="C179" s="227">
        <f>rh_t1!D83</f>
        <v>7.8966666666602237E-3</v>
      </c>
      <c r="D179" s="227">
        <f>rh_t1!E83</f>
        <v>8.7276666666724623E-3</v>
      </c>
      <c r="E179" s="227">
        <f>rh_t1!F83</f>
        <v>1.1280666666664274E-2</v>
      </c>
      <c r="F179" s="227">
        <f>rh_t1!G83</f>
        <v>1.4649000000005685E-2</v>
      </c>
      <c r="G179" s="227">
        <f>rh_t1!H83</f>
        <v>1.1968999999986352E-2</v>
      </c>
      <c r="H179" s="227">
        <f>rh_t1!I83</f>
        <v>1.270633333333393E-2</v>
      </c>
      <c r="I179" s="227">
        <f>rh_t1!J83</f>
        <v>8.2196666666689566E-3</v>
      </c>
      <c r="J179" s="227">
        <f>rh_t1!K83</f>
        <v>8.4013333333317064E-3</v>
      </c>
      <c r="K179" s="416"/>
      <c r="L179" s="416"/>
    </row>
    <row r="180" spans="1:12" s="292" customFormat="1" ht="15" hidden="1" customHeight="1" x14ac:dyDescent="0.35">
      <c r="A180" s="229" t="s">
        <v>44</v>
      </c>
      <c r="B180" s="227">
        <f>rh_t1!C84</f>
        <v>1.1455000000001547E-2</v>
      </c>
      <c r="C180" s="227">
        <f>rh_t1!D84</f>
        <v>1.0994999999997646E-2</v>
      </c>
      <c r="D180" s="227">
        <f>rh_t1!E84</f>
        <v>1.031499999999852E-2</v>
      </c>
      <c r="E180" s="227">
        <f>rh_t1!F84</f>
        <v>1.2249999999998096E-2</v>
      </c>
      <c r="F180" s="227">
        <f>rh_t1!G84</f>
        <v>1.9275000000000375E-2</v>
      </c>
      <c r="G180" s="227">
        <f>rh_t1!H84</f>
        <v>1.5094999999998748E-2</v>
      </c>
      <c r="H180" s="227">
        <f>rh_t1!I84</f>
        <v>1.5570000000000306E-2</v>
      </c>
      <c r="I180" s="227">
        <f>rh_t1!J84</f>
        <v>1.0204999999999131E-2</v>
      </c>
      <c r="J180" s="227">
        <f>rh_t1!K84</f>
        <v>1.1979999999997659E-2</v>
      </c>
      <c r="K180" s="416"/>
      <c r="L180" s="416"/>
    </row>
    <row r="181" spans="1:12" s="292" customFormat="1" ht="15" hidden="1" customHeight="1" x14ac:dyDescent="0.35">
      <c r="A181" s="230" t="s">
        <v>43</v>
      </c>
      <c r="B181" s="227">
        <f>rh_t1!C85</f>
        <v>-8.6622666666670511E-2</v>
      </c>
      <c r="C181" s="227">
        <f>rh_t1!D85</f>
        <v>0.11326766666665833</v>
      </c>
      <c r="D181" s="227">
        <f>rh_t1!E85</f>
        <v>2.6338666666667621E-2</v>
      </c>
      <c r="E181" s="227">
        <f>rh_t1!F85</f>
        <v>0.2540516666666619</v>
      </c>
      <c r="F181" s="227">
        <f>rh_t1!G85</f>
        <v>0</v>
      </c>
      <c r="G181" s="227">
        <f>rh_t1!H85</f>
        <v>-7.8150000000015041E-2</v>
      </c>
      <c r="H181" s="227">
        <f>rh_t1!I85</f>
        <v>-5.2272666666674183E-2</v>
      </c>
      <c r="I181" s="227">
        <f>rh_t1!J85</f>
        <v>-0.25522933333333242</v>
      </c>
      <c r="J181" s="227">
        <f>rh_t1!K85</f>
        <v>8.5702333333330216E-2</v>
      </c>
      <c r="K181" s="139"/>
      <c r="L181" s="139"/>
    </row>
    <row r="182" spans="1:12" s="292" customFormat="1" ht="15" hidden="1" customHeight="1" x14ac:dyDescent="0.35">
      <c r="A182" s="231" t="s">
        <v>95</v>
      </c>
      <c r="B182" s="282">
        <f>rh_t1!C87</f>
        <v>39.763486296296307</v>
      </c>
      <c r="C182" s="139"/>
      <c r="D182" s="139"/>
      <c r="E182" s="139"/>
      <c r="F182" s="139"/>
      <c r="G182" s="139"/>
      <c r="H182" s="139"/>
      <c r="I182" s="139"/>
      <c r="J182" s="139"/>
      <c r="K182" s="139"/>
      <c r="L182" s="139"/>
    </row>
    <row r="183" spans="1:12" s="292" customFormat="1" ht="15" hidden="1" customHeight="1" x14ac:dyDescent="0.35">
      <c r="A183" s="233" t="s">
        <v>47</v>
      </c>
      <c r="B183" s="232">
        <f>rh_t1!C88</f>
        <v>-0.23651370370369307</v>
      </c>
      <c r="C183" s="139"/>
      <c r="D183" s="139"/>
      <c r="E183" s="139"/>
      <c r="F183" s="139"/>
      <c r="G183" s="139"/>
      <c r="H183" s="139"/>
      <c r="I183" s="139"/>
      <c r="J183" s="139"/>
      <c r="K183" s="139"/>
      <c r="L183" s="139"/>
    </row>
    <row r="184" spans="1:12" s="292" customFormat="1" ht="15" hidden="1" customHeight="1" x14ac:dyDescent="0.35">
      <c r="A184" s="233" t="s">
        <v>270</v>
      </c>
      <c r="B184" s="232">
        <f>rh_t1!C93</f>
        <v>0.13632305115662899</v>
      </c>
      <c r="C184" s="139"/>
      <c r="D184" s="139"/>
      <c r="E184" s="139"/>
      <c r="F184" s="139"/>
      <c r="G184" s="139"/>
      <c r="H184" s="139"/>
      <c r="I184" s="139"/>
      <c r="J184" s="139"/>
      <c r="K184" s="139"/>
      <c r="L184" s="139"/>
    </row>
    <row r="185" spans="1:12" s="292" customFormat="1" ht="15" hidden="1" customHeight="1" x14ac:dyDescent="0.35">
      <c r="A185" s="241" t="s">
        <v>48</v>
      </c>
      <c r="B185" s="232">
        <f>rh_t1!C89</f>
        <v>0.50928099999999432</v>
      </c>
      <c r="C185" s="139"/>
      <c r="D185" s="139"/>
      <c r="E185" s="139"/>
      <c r="F185" s="139"/>
      <c r="G185" s="139"/>
      <c r="H185" s="139"/>
      <c r="I185" s="139"/>
      <c r="J185" s="139"/>
      <c r="K185" s="139"/>
      <c r="L185" s="139"/>
    </row>
    <row r="186" spans="1:12" s="292" customFormat="1" ht="15" hidden="1" customHeight="1" x14ac:dyDescent="0.35">
      <c r="A186" s="241" t="s">
        <v>49</v>
      </c>
      <c r="B186" s="240">
        <f>rh_t1!C90</f>
        <v>0.2540516666666619</v>
      </c>
      <c r="C186" s="139"/>
      <c r="D186" s="139"/>
      <c r="E186" s="139"/>
      <c r="F186" s="139"/>
      <c r="G186" s="139"/>
      <c r="H186" s="139"/>
      <c r="I186" s="139"/>
      <c r="J186" s="139"/>
      <c r="K186" s="139"/>
      <c r="L186" s="139"/>
    </row>
    <row r="187" spans="1:12" s="292" customFormat="1" ht="15" hidden="1" customHeight="1" x14ac:dyDescent="0.2">
      <c r="A187" s="242"/>
      <c r="B187" s="240">
        <f>rh_t1!C91</f>
        <v>-0.25522933333333242</v>
      </c>
      <c r="C187" s="140"/>
      <c r="D187" s="139"/>
      <c r="E187" s="139"/>
      <c r="F187" s="139"/>
      <c r="G187" s="139"/>
      <c r="H187" s="139"/>
      <c r="I187" s="139"/>
      <c r="J187" s="139"/>
      <c r="K187" s="139"/>
      <c r="L187" s="139"/>
    </row>
    <row r="188" spans="1:12" s="292" customFormat="1" ht="18.75" hidden="1" x14ac:dyDescent="0.35">
      <c r="A188" s="242" t="s">
        <v>50</v>
      </c>
      <c r="B188" s="232">
        <f>rh_t1!C92</f>
        <v>1.301555555555467E-2</v>
      </c>
      <c r="C188" s="139"/>
      <c r="D188" s="139"/>
      <c r="E188" s="139"/>
      <c r="F188" s="139"/>
      <c r="G188" s="139"/>
      <c r="H188" s="139"/>
      <c r="I188" s="139"/>
      <c r="J188" s="139"/>
      <c r="K188" s="139"/>
      <c r="L188" s="139"/>
    </row>
    <row r="189" spans="1:12" s="292" customFormat="1" ht="30.75" hidden="1" customHeight="1" x14ac:dyDescent="0.2">
      <c r="A189" s="417" t="s">
        <v>357</v>
      </c>
      <c r="B189" s="417"/>
      <c r="C189" s="417"/>
      <c r="D189" s="417"/>
      <c r="E189" s="417"/>
      <c r="F189" s="417"/>
      <c r="G189" s="417"/>
      <c r="H189" s="417"/>
      <c r="I189" s="417"/>
      <c r="J189" s="417"/>
      <c r="K189" s="417"/>
      <c r="L189" s="417"/>
    </row>
    <row r="190" spans="1:12" s="292" customFormat="1" ht="18" hidden="1" customHeight="1" thickBot="1" x14ac:dyDescent="0.25">
      <c r="A190" s="430" t="str">
        <f>"Заданная температура = "&amp;rh_t1!C86&amp;" °С;  Заданная относительная влажность =  "&amp;$E$1&amp;rh_t1!C39 &amp;" %."</f>
        <v>Заданная температура = 40 °С;  Заданная относительная влажность =  98 %.</v>
      </c>
      <c r="B190" s="430"/>
      <c r="C190" s="430"/>
      <c r="D190" s="430"/>
      <c r="E190" s="430"/>
      <c r="F190" s="430"/>
      <c r="G190" s="430"/>
      <c r="H190" s="430"/>
      <c r="I190" s="430"/>
      <c r="J190" s="430"/>
      <c r="K190" s="430"/>
      <c r="L190" s="430"/>
    </row>
    <row r="191" spans="1:12" s="292" customFormat="1" ht="29.25" hidden="1" customHeight="1" thickBot="1" x14ac:dyDescent="0.25">
      <c r="A191" s="239" t="s">
        <v>89</v>
      </c>
      <c r="B191" s="419" t="s">
        <v>90</v>
      </c>
      <c r="C191" s="419"/>
      <c r="D191" s="419"/>
      <c r="E191" s="419"/>
      <c r="F191" s="419"/>
      <c r="G191" s="419"/>
      <c r="H191" s="419"/>
      <c r="I191" s="419"/>
      <c r="J191" s="419"/>
      <c r="K191" s="420" t="s">
        <v>91</v>
      </c>
      <c r="L191" s="420"/>
    </row>
    <row r="192" spans="1:12" s="292" customFormat="1" ht="15.6" hidden="1" customHeight="1" x14ac:dyDescent="0.2">
      <c r="A192" s="236"/>
      <c r="B192" s="235">
        <v>1</v>
      </c>
      <c r="C192" s="235">
        <v>2</v>
      </c>
      <c r="D192" s="235">
        <v>3</v>
      </c>
      <c r="E192" s="235">
        <v>4</v>
      </c>
      <c r="F192" s="235">
        <v>5</v>
      </c>
      <c r="G192" s="235">
        <v>6</v>
      </c>
      <c r="H192" s="235">
        <v>7</v>
      </c>
      <c r="I192" s="235">
        <v>8</v>
      </c>
      <c r="J192" s="235">
        <v>9</v>
      </c>
      <c r="K192" s="237" t="s">
        <v>92</v>
      </c>
      <c r="L192" s="238" t="s">
        <v>93</v>
      </c>
    </row>
    <row r="193" spans="1:12" s="292" customFormat="1" ht="15.6" hidden="1" customHeight="1" x14ac:dyDescent="0.2">
      <c r="A193" s="226">
        <v>1</v>
      </c>
      <c r="B193" s="227">
        <f>rh_t1!C3</f>
        <v>99.23</v>
      </c>
      <c r="C193" s="227">
        <f>rh_t1!D3</f>
        <v>99.22</v>
      </c>
      <c r="D193" s="227">
        <f>rh_t1!E3</f>
        <v>99.21</v>
      </c>
      <c r="E193" s="227">
        <f>rh_t1!F3</f>
        <v>99.21</v>
      </c>
      <c r="F193" s="227">
        <f>rh_t1!G3</f>
        <v>99.21</v>
      </c>
      <c r="G193" s="227">
        <f>rh_t1!H3</f>
        <v>99.21</v>
      </c>
      <c r="H193" s="227">
        <f>rh_t1!I3</f>
        <v>99.21</v>
      </c>
      <c r="I193" s="227">
        <f>rh_t1!J3</f>
        <v>99.22</v>
      </c>
      <c r="J193" s="227">
        <f>rh_t1!K3</f>
        <v>99.24</v>
      </c>
      <c r="K193" s="227">
        <f>rh_t1!L3</f>
        <v>99.217777777777783</v>
      </c>
      <c r="L193" s="227">
        <f>rh_t1!M3</f>
        <v>1.0304020550552649E-2</v>
      </c>
    </row>
    <row r="194" spans="1:12" s="292" customFormat="1" ht="15.6" hidden="1" customHeight="1" x14ac:dyDescent="0.2">
      <c r="A194" s="226">
        <v>2</v>
      </c>
      <c r="B194" s="227">
        <f>rh_t1!C4</f>
        <v>99.23</v>
      </c>
      <c r="C194" s="227">
        <f>rh_t1!D4</f>
        <v>99.22</v>
      </c>
      <c r="D194" s="227">
        <f>rh_t1!E4</f>
        <v>99.21</v>
      </c>
      <c r="E194" s="227">
        <f>rh_t1!F4</f>
        <v>99.21</v>
      </c>
      <c r="F194" s="227">
        <f>rh_t1!G4</f>
        <v>99.21</v>
      </c>
      <c r="G194" s="227">
        <f>rh_t1!H4</f>
        <v>99.21</v>
      </c>
      <c r="H194" s="227">
        <f>rh_t1!I4</f>
        <v>99.21</v>
      </c>
      <c r="I194" s="227">
        <f>rh_t1!J4</f>
        <v>99.22</v>
      </c>
      <c r="J194" s="227">
        <f>rh_t1!K4</f>
        <v>99.24</v>
      </c>
      <c r="K194" s="227">
        <f>rh_t1!L4</f>
        <v>99.217777777777783</v>
      </c>
      <c r="L194" s="227">
        <f>rh_t1!M4</f>
        <v>1.0304020550552649E-2</v>
      </c>
    </row>
    <row r="195" spans="1:12" s="292" customFormat="1" ht="15.6" hidden="1" customHeight="1" x14ac:dyDescent="0.2">
      <c r="A195" s="226">
        <v>3</v>
      </c>
      <c r="B195" s="227">
        <f>rh_t1!C5</f>
        <v>99.23</v>
      </c>
      <c r="C195" s="227">
        <f>rh_t1!D5</f>
        <v>99.22</v>
      </c>
      <c r="D195" s="227">
        <f>rh_t1!E5</f>
        <v>99.21</v>
      </c>
      <c r="E195" s="227">
        <f>rh_t1!F5</f>
        <v>99.21</v>
      </c>
      <c r="F195" s="227">
        <f>rh_t1!G5</f>
        <v>99.21</v>
      </c>
      <c r="G195" s="227">
        <f>rh_t1!H5</f>
        <v>99.21</v>
      </c>
      <c r="H195" s="227">
        <f>rh_t1!I5</f>
        <v>99.21</v>
      </c>
      <c r="I195" s="227">
        <f>rh_t1!J5</f>
        <v>99.22</v>
      </c>
      <c r="J195" s="227">
        <f>rh_t1!K5</f>
        <v>99.24</v>
      </c>
      <c r="K195" s="227">
        <f>rh_t1!L5</f>
        <v>99.217777777777783</v>
      </c>
      <c r="L195" s="227">
        <f>rh_t1!M5</f>
        <v>1.0304020550552649E-2</v>
      </c>
    </row>
    <row r="196" spans="1:12" s="292" customFormat="1" ht="15.6" hidden="1" customHeight="1" x14ac:dyDescent="0.2">
      <c r="A196" s="226">
        <v>4</v>
      </c>
      <c r="B196" s="227">
        <f>rh_t1!C6</f>
        <v>99.23</v>
      </c>
      <c r="C196" s="227">
        <f>rh_t1!D6</f>
        <v>99.22</v>
      </c>
      <c r="D196" s="227">
        <f>rh_t1!E6</f>
        <v>99.21</v>
      </c>
      <c r="E196" s="227">
        <f>rh_t1!F6</f>
        <v>99.21</v>
      </c>
      <c r="F196" s="227">
        <f>rh_t1!G6</f>
        <v>99.21</v>
      </c>
      <c r="G196" s="227">
        <f>rh_t1!H6</f>
        <v>99.21</v>
      </c>
      <c r="H196" s="227">
        <f>rh_t1!I6</f>
        <v>99.21</v>
      </c>
      <c r="I196" s="227">
        <f>rh_t1!J6</f>
        <v>99.22</v>
      </c>
      <c r="J196" s="227">
        <f>rh_t1!K6</f>
        <v>99.24</v>
      </c>
      <c r="K196" s="227">
        <f>rh_t1!L6</f>
        <v>99.217777777777783</v>
      </c>
      <c r="L196" s="227">
        <f>rh_t1!M6</f>
        <v>1.0304020550552649E-2</v>
      </c>
    </row>
    <row r="197" spans="1:12" s="292" customFormat="1" ht="15.6" hidden="1" customHeight="1" x14ac:dyDescent="0.2">
      <c r="A197" s="226">
        <v>5</v>
      </c>
      <c r="B197" s="227">
        <f>rh_t1!C7</f>
        <v>99.23</v>
      </c>
      <c r="C197" s="227">
        <f>rh_t1!D7</f>
        <v>99.22</v>
      </c>
      <c r="D197" s="227">
        <f>rh_t1!E7</f>
        <v>99.21</v>
      </c>
      <c r="E197" s="227">
        <f>rh_t1!F7</f>
        <v>99.21</v>
      </c>
      <c r="F197" s="227">
        <f>rh_t1!G7</f>
        <v>99.21</v>
      </c>
      <c r="G197" s="227">
        <f>rh_t1!H7</f>
        <v>99.21</v>
      </c>
      <c r="H197" s="227">
        <f>rh_t1!I7</f>
        <v>99.21</v>
      </c>
      <c r="I197" s="227">
        <f>rh_t1!J7</f>
        <v>99.22</v>
      </c>
      <c r="J197" s="227">
        <f>rh_t1!K7</f>
        <v>99.24</v>
      </c>
      <c r="K197" s="227">
        <f>rh_t1!L7</f>
        <v>99.217777777777783</v>
      </c>
      <c r="L197" s="227">
        <f>rh_t1!M7</f>
        <v>1.0304020550552649E-2</v>
      </c>
    </row>
    <row r="198" spans="1:12" s="292" customFormat="1" ht="15.6" hidden="1" customHeight="1" x14ac:dyDescent="0.2">
      <c r="A198" s="226">
        <v>6</v>
      </c>
      <c r="B198" s="227">
        <f>rh_t1!C8</f>
        <v>99.23</v>
      </c>
      <c r="C198" s="227">
        <f>rh_t1!D8</f>
        <v>99.22</v>
      </c>
      <c r="D198" s="227">
        <f>rh_t1!E8</f>
        <v>99.21</v>
      </c>
      <c r="E198" s="227">
        <f>rh_t1!F8</f>
        <v>99.21</v>
      </c>
      <c r="F198" s="227">
        <f>rh_t1!G8</f>
        <v>99.21</v>
      </c>
      <c r="G198" s="227">
        <f>rh_t1!H8</f>
        <v>99.21</v>
      </c>
      <c r="H198" s="227">
        <f>rh_t1!I8</f>
        <v>99.21</v>
      </c>
      <c r="I198" s="227">
        <f>rh_t1!J8</f>
        <v>99.22</v>
      </c>
      <c r="J198" s="227">
        <f>rh_t1!K8</f>
        <v>99.24</v>
      </c>
      <c r="K198" s="227">
        <f>rh_t1!L8</f>
        <v>99.217777777777783</v>
      </c>
      <c r="L198" s="227">
        <f>rh_t1!M8</f>
        <v>1.0304020550552649E-2</v>
      </c>
    </row>
    <row r="199" spans="1:12" s="292" customFormat="1" ht="15.6" hidden="1" customHeight="1" x14ac:dyDescent="0.2">
      <c r="A199" s="226">
        <v>7</v>
      </c>
      <c r="B199" s="227">
        <f>rh_t1!C9</f>
        <v>99.23</v>
      </c>
      <c r="C199" s="227">
        <f>rh_t1!D9</f>
        <v>99.22</v>
      </c>
      <c r="D199" s="227">
        <f>rh_t1!E9</f>
        <v>99.21</v>
      </c>
      <c r="E199" s="227">
        <f>rh_t1!F9</f>
        <v>99.21</v>
      </c>
      <c r="F199" s="227">
        <f>rh_t1!G9</f>
        <v>99.21</v>
      </c>
      <c r="G199" s="227">
        <f>rh_t1!H9</f>
        <v>99.21</v>
      </c>
      <c r="H199" s="227">
        <f>rh_t1!I9</f>
        <v>99.21</v>
      </c>
      <c r="I199" s="227">
        <f>rh_t1!J9</f>
        <v>99.22</v>
      </c>
      <c r="J199" s="227">
        <f>rh_t1!K9</f>
        <v>99.24</v>
      </c>
      <c r="K199" s="227">
        <f>rh_t1!L9</f>
        <v>99.217777777777783</v>
      </c>
      <c r="L199" s="227">
        <f>rh_t1!M9</f>
        <v>1.0304020550552649E-2</v>
      </c>
    </row>
    <row r="200" spans="1:12" s="292" customFormat="1" ht="15.6" hidden="1" customHeight="1" x14ac:dyDescent="0.2">
      <c r="A200" s="226">
        <v>8</v>
      </c>
      <c r="B200" s="227">
        <f>rh_t1!C10</f>
        <v>99.23</v>
      </c>
      <c r="C200" s="227">
        <f>rh_t1!D10</f>
        <v>99.22</v>
      </c>
      <c r="D200" s="227">
        <f>rh_t1!E10</f>
        <v>99.21</v>
      </c>
      <c r="E200" s="227">
        <f>rh_t1!F10</f>
        <v>99.21</v>
      </c>
      <c r="F200" s="227">
        <f>rh_t1!G10</f>
        <v>99.21</v>
      </c>
      <c r="G200" s="227">
        <f>rh_t1!H10</f>
        <v>99.21</v>
      </c>
      <c r="H200" s="227">
        <f>rh_t1!I10</f>
        <v>99.21</v>
      </c>
      <c r="I200" s="227">
        <f>rh_t1!J10</f>
        <v>99.22</v>
      </c>
      <c r="J200" s="227">
        <f>rh_t1!K10</f>
        <v>99.24</v>
      </c>
      <c r="K200" s="227">
        <f>rh_t1!L10</f>
        <v>99.217777777777783</v>
      </c>
      <c r="L200" s="227">
        <f>rh_t1!M10</f>
        <v>1.0304020550552649E-2</v>
      </c>
    </row>
    <row r="201" spans="1:12" s="292" customFormat="1" ht="15.6" hidden="1" customHeight="1" x14ac:dyDescent="0.2">
      <c r="A201" s="226">
        <v>9</v>
      </c>
      <c r="B201" s="227">
        <f>rh_t1!C11</f>
        <v>99.23</v>
      </c>
      <c r="C201" s="227">
        <f>rh_t1!D11</f>
        <v>99.22</v>
      </c>
      <c r="D201" s="227">
        <f>rh_t1!E11</f>
        <v>99.21</v>
      </c>
      <c r="E201" s="227">
        <f>rh_t1!F11</f>
        <v>99.21</v>
      </c>
      <c r="F201" s="227">
        <f>rh_t1!G11</f>
        <v>99.21</v>
      </c>
      <c r="G201" s="227">
        <f>rh_t1!H11</f>
        <v>99.21</v>
      </c>
      <c r="H201" s="227">
        <f>rh_t1!I11</f>
        <v>99.21</v>
      </c>
      <c r="I201" s="227">
        <f>rh_t1!J11</f>
        <v>99.22</v>
      </c>
      <c r="J201" s="227">
        <f>rh_t1!K11</f>
        <v>99.24</v>
      </c>
      <c r="K201" s="227">
        <f>rh_t1!L11</f>
        <v>99.217777777777783</v>
      </c>
      <c r="L201" s="227">
        <f>rh_t1!M11</f>
        <v>1.0304020550552649E-2</v>
      </c>
    </row>
    <row r="202" spans="1:12" s="292" customFormat="1" ht="15.6" hidden="1" customHeight="1" x14ac:dyDescent="0.2">
      <c r="A202" s="226">
        <v>10</v>
      </c>
      <c r="B202" s="227">
        <f>rh_t1!C12</f>
        <v>99.23</v>
      </c>
      <c r="C202" s="227">
        <f>rh_t1!D12</f>
        <v>99.22</v>
      </c>
      <c r="D202" s="227">
        <f>rh_t1!E12</f>
        <v>99.21</v>
      </c>
      <c r="E202" s="227">
        <f>rh_t1!F12</f>
        <v>99.21</v>
      </c>
      <c r="F202" s="227">
        <f>rh_t1!G12</f>
        <v>99.21</v>
      </c>
      <c r="G202" s="227">
        <f>rh_t1!H12</f>
        <v>99.21</v>
      </c>
      <c r="H202" s="227">
        <f>rh_t1!I12</f>
        <v>99.21</v>
      </c>
      <c r="I202" s="227">
        <f>rh_t1!J12</f>
        <v>99.22</v>
      </c>
      <c r="J202" s="227">
        <f>rh_t1!K12</f>
        <v>99.24</v>
      </c>
      <c r="K202" s="227">
        <f>rh_t1!L12</f>
        <v>99.217777777777783</v>
      </c>
      <c r="L202" s="227">
        <f>rh_t1!M12</f>
        <v>1.0304020550552649E-2</v>
      </c>
    </row>
    <row r="203" spans="1:12" s="292" customFormat="1" ht="15.6" hidden="1" customHeight="1" x14ac:dyDescent="0.2">
      <c r="A203" s="226">
        <v>11</v>
      </c>
      <c r="B203" s="227">
        <f>rh_t1!C13</f>
        <v>99.22</v>
      </c>
      <c r="C203" s="227">
        <f>rh_t1!D13</f>
        <v>99.22</v>
      </c>
      <c r="D203" s="227">
        <f>rh_t1!E13</f>
        <v>99.21</v>
      </c>
      <c r="E203" s="227">
        <f>rh_t1!F13</f>
        <v>99.21</v>
      </c>
      <c r="F203" s="227">
        <f>rh_t1!G13</f>
        <v>99.21</v>
      </c>
      <c r="G203" s="227">
        <f>rh_t1!H13</f>
        <v>99.21</v>
      </c>
      <c r="H203" s="227">
        <f>rh_t1!I13</f>
        <v>99.21</v>
      </c>
      <c r="I203" s="227">
        <f>rh_t1!J13</f>
        <v>99.22</v>
      </c>
      <c r="J203" s="227">
        <f>rh_t1!K13</f>
        <v>99.24</v>
      </c>
      <c r="K203" s="227">
        <f>rh_t1!L13</f>
        <v>99.216666666666669</v>
      </c>
      <c r="L203" s="227">
        <f>rh_t1!M13</f>
        <v>9.4280904158215492E-3</v>
      </c>
    </row>
    <row r="204" spans="1:12" s="292" customFormat="1" ht="15.6" hidden="1" customHeight="1" x14ac:dyDescent="0.2">
      <c r="A204" s="226">
        <v>12</v>
      </c>
      <c r="B204" s="227">
        <f>rh_t1!C14</f>
        <v>99.22</v>
      </c>
      <c r="C204" s="227">
        <f>rh_t1!D14</f>
        <v>99.22</v>
      </c>
      <c r="D204" s="227">
        <f>rh_t1!E14</f>
        <v>99.21</v>
      </c>
      <c r="E204" s="227">
        <f>rh_t1!F14</f>
        <v>99.21</v>
      </c>
      <c r="F204" s="227">
        <f>rh_t1!G14</f>
        <v>99.21</v>
      </c>
      <c r="G204" s="227">
        <f>rh_t1!H14</f>
        <v>99.21</v>
      </c>
      <c r="H204" s="227">
        <f>rh_t1!I14</f>
        <v>99.21</v>
      </c>
      <c r="I204" s="227">
        <f>rh_t1!J14</f>
        <v>99.22</v>
      </c>
      <c r="J204" s="227">
        <f>rh_t1!K14</f>
        <v>99.24</v>
      </c>
      <c r="K204" s="227">
        <f>rh_t1!L14</f>
        <v>99.216666666666669</v>
      </c>
      <c r="L204" s="227">
        <f>rh_t1!M14</f>
        <v>9.4280904158215492E-3</v>
      </c>
    </row>
    <row r="205" spans="1:12" s="292" customFormat="1" ht="15.6" hidden="1" customHeight="1" x14ac:dyDescent="0.2">
      <c r="A205" s="226">
        <v>13</v>
      </c>
      <c r="B205" s="227">
        <f>rh_t1!C15</f>
        <v>99.22</v>
      </c>
      <c r="C205" s="227">
        <f>rh_t1!D15</f>
        <v>99.22</v>
      </c>
      <c r="D205" s="227">
        <f>rh_t1!E15</f>
        <v>99.21</v>
      </c>
      <c r="E205" s="227">
        <f>rh_t1!F15</f>
        <v>99.21</v>
      </c>
      <c r="F205" s="227">
        <f>rh_t1!G15</f>
        <v>99.21</v>
      </c>
      <c r="G205" s="227">
        <f>rh_t1!H15</f>
        <v>99.21</v>
      </c>
      <c r="H205" s="227">
        <f>rh_t1!I15</f>
        <v>99.21</v>
      </c>
      <c r="I205" s="227">
        <f>rh_t1!J15</f>
        <v>99.22</v>
      </c>
      <c r="J205" s="227">
        <f>rh_t1!K15</f>
        <v>99.24</v>
      </c>
      <c r="K205" s="227">
        <f>rh_t1!L15</f>
        <v>99.216666666666669</v>
      </c>
      <c r="L205" s="227">
        <f>rh_t1!M15</f>
        <v>9.4280904158215492E-3</v>
      </c>
    </row>
    <row r="206" spans="1:12" s="292" customFormat="1" ht="15.6" hidden="1" customHeight="1" x14ac:dyDescent="0.2">
      <c r="A206" s="226">
        <v>14</v>
      </c>
      <c r="B206" s="227">
        <f>rh_t1!C16</f>
        <v>99.22</v>
      </c>
      <c r="C206" s="227">
        <f>rh_t1!D16</f>
        <v>99.22</v>
      </c>
      <c r="D206" s="227">
        <f>rh_t1!E16</f>
        <v>99.21</v>
      </c>
      <c r="E206" s="227">
        <f>rh_t1!F16</f>
        <v>99.21</v>
      </c>
      <c r="F206" s="227">
        <f>rh_t1!G16</f>
        <v>99.21</v>
      </c>
      <c r="G206" s="227">
        <f>rh_t1!H16</f>
        <v>99.21</v>
      </c>
      <c r="H206" s="227">
        <f>rh_t1!I16</f>
        <v>99.21</v>
      </c>
      <c r="I206" s="227">
        <f>rh_t1!J16</f>
        <v>99.22</v>
      </c>
      <c r="J206" s="227">
        <f>rh_t1!K16</f>
        <v>99.24</v>
      </c>
      <c r="K206" s="227">
        <f>rh_t1!L16</f>
        <v>99.216666666666669</v>
      </c>
      <c r="L206" s="227">
        <f>rh_t1!M16</f>
        <v>9.4280904158215492E-3</v>
      </c>
    </row>
    <row r="207" spans="1:12" s="292" customFormat="1" ht="15.6" hidden="1" customHeight="1" x14ac:dyDescent="0.2">
      <c r="A207" s="226">
        <v>15</v>
      </c>
      <c r="B207" s="227">
        <f>rh_t1!C17</f>
        <v>99.22</v>
      </c>
      <c r="C207" s="227">
        <f>rh_t1!D17</f>
        <v>99.22</v>
      </c>
      <c r="D207" s="227">
        <f>rh_t1!E17</f>
        <v>99.21</v>
      </c>
      <c r="E207" s="227">
        <f>rh_t1!F17</f>
        <v>99.21</v>
      </c>
      <c r="F207" s="227">
        <f>rh_t1!G17</f>
        <v>99.21</v>
      </c>
      <c r="G207" s="227">
        <f>rh_t1!H17</f>
        <v>99.2</v>
      </c>
      <c r="H207" s="227">
        <f>rh_t1!I17</f>
        <v>99.21</v>
      </c>
      <c r="I207" s="227">
        <f>rh_t1!J17</f>
        <v>99.22</v>
      </c>
      <c r="J207" s="227">
        <f>rh_t1!K17</f>
        <v>99.23</v>
      </c>
      <c r="K207" s="227">
        <f>rh_t1!L17</f>
        <v>99.214444444444453</v>
      </c>
      <c r="L207" s="227">
        <f>rh_t1!M17</f>
        <v>8.3147941928324916E-3</v>
      </c>
    </row>
    <row r="208" spans="1:12" s="292" customFormat="1" ht="15.6" hidden="1" customHeight="1" x14ac:dyDescent="0.2">
      <c r="A208" s="226">
        <v>16</v>
      </c>
      <c r="B208" s="227">
        <f>rh_t1!C18</f>
        <v>99.22</v>
      </c>
      <c r="C208" s="227">
        <f>rh_t1!D18</f>
        <v>99.21</v>
      </c>
      <c r="D208" s="227">
        <f>rh_t1!E18</f>
        <v>99.21</v>
      </c>
      <c r="E208" s="227">
        <f>rh_t1!F18</f>
        <v>99.21</v>
      </c>
      <c r="F208" s="227">
        <f>rh_t1!G18</f>
        <v>99.21</v>
      </c>
      <c r="G208" s="227">
        <f>rh_t1!H18</f>
        <v>99.2</v>
      </c>
      <c r="H208" s="227">
        <f>rh_t1!I18</f>
        <v>99.21</v>
      </c>
      <c r="I208" s="227">
        <f>rh_t1!J18</f>
        <v>99.22</v>
      </c>
      <c r="J208" s="227">
        <f>rh_t1!K18</f>
        <v>99.24</v>
      </c>
      <c r="K208" s="227">
        <f>rh_t1!L18</f>
        <v>99.214444444444453</v>
      </c>
      <c r="L208" s="227">
        <f>rh_t1!M18</f>
        <v>1.0657403385138903E-2</v>
      </c>
    </row>
    <row r="209" spans="1:12" s="292" customFormat="1" ht="15.6" hidden="1" customHeight="1" x14ac:dyDescent="0.2">
      <c r="A209" s="226">
        <v>17</v>
      </c>
      <c r="B209" s="227">
        <f>rh_t1!C19</f>
        <v>99.22</v>
      </c>
      <c r="C209" s="227">
        <f>rh_t1!D19</f>
        <v>99.21</v>
      </c>
      <c r="D209" s="227">
        <f>rh_t1!E19</f>
        <v>99.21</v>
      </c>
      <c r="E209" s="227">
        <f>rh_t1!F19</f>
        <v>99.2</v>
      </c>
      <c r="F209" s="227">
        <f>rh_t1!G19</f>
        <v>99.21</v>
      </c>
      <c r="G209" s="227">
        <f>rh_t1!H19</f>
        <v>99.2</v>
      </c>
      <c r="H209" s="227">
        <f>rh_t1!I19</f>
        <v>99.21</v>
      </c>
      <c r="I209" s="227">
        <f>rh_t1!J19</f>
        <v>99.22</v>
      </c>
      <c r="J209" s="227">
        <f>rh_t1!K19</f>
        <v>99.24</v>
      </c>
      <c r="K209" s="227">
        <f>rh_t1!L19</f>
        <v>99.213333333333338</v>
      </c>
      <c r="L209" s="227">
        <f>rh_t1!M19</f>
        <v>1.154700538379113E-2</v>
      </c>
    </row>
    <row r="210" spans="1:12" s="292" customFormat="1" ht="15.6" hidden="1" customHeight="1" x14ac:dyDescent="0.2">
      <c r="A210" s="226">
        <v>18</v>
      </c>
      <c r="B210" s="227">
        <f>rh_t1!C20</f>
        <v>99.22</v>
      </c>
      <c r="C210" s="227">
        <f>rh_t1!D20</f>
        <v>99.21</v>
      </c>
      <c r="D210" s="227">
        <f>rh_t1!E20</f>
        <v>99.21</v>
      </c>
      <c r="E210" s="227">
        <f>rh_t1!F20</f>
        <v>99.2</v>
      </c>
      <c r="F210" s="227">
        <f>rh_t1!G20</f>
        <v>99.21</v>
      </c>
      <c r="G210" s="227">
        <f>rh_t1!H20</f>
        <v>99.2</v>
      </c>
      <c r="H210" s="227">
        <f>rh_t1!I20</f>
        <v>99.21</v>
      </c>
      <c r="I210" s="227">
        <f>rh_t1!J20</f>
        <v>99.21</v>
      </c>
      <c r="J210" s="227">
        <f>rh_t1!K20</f>
        <v>99.23</v>
      </c>
      <c r="K210" s="227">
        <f>rh_t1!L20</f>
        <v>99.211111111111123</v>
      </c>
      <c r="L210" s="227">
        <f>rh_t1!M20</f>
        <v>8.7488976377913669E-3</v>
      </c>
    </row>
    <row r="211" spans="1:12" s="292" customFormat="1" ht="15.6" hidden="1" customHeight="1" x14ac:dyDescent="0.2">
      <c r="A211" s="226">
        <v>19</v>
      </c>
      <c r="B211" s="227">
        <f>rh_t1!C21</f>
        <v>99.22</v>
      </c>
      <c r="C211" s="227">
        <f>rh_t1!D21</f>
        <v>99.21</v>
      </c>
      <c r="D211" s="227">
        <f>rh_t1!E21</f>
        <v>99.21</v>
      </c>
      <c r="E211" s="227">
        <f>rh_t1!F21</f>
        <v>99.2</v>
      </c>
      <c r="F211" s="227">
        <f>rh_t1!G21</f>
        <v>99.21</v>
      </c>
      <c r="G211" s="227">
        <f>rh_t1!H21</f>
        <v>99.08</v>
      </c>
      <c r="H211" s="227">
        <f>rh_t1!I21</f>
        <v>99.2</v>
      </c>
      <c r="I211" s="227">
        <f>rh_t1!J21</f>
        <v>99.21</v>
      </c>
      <c r="J211" s="227">
        <f>rh_t1!K21</f>
        <v>99.23</v>
      </c>
      <c r="K211" s="227">
        <f>rh_t1!L21</f>
        <v>99.196666666666673</v>
      </c>
      <c r="L211" s="227">
        <f>rh_t1!M21</f>
        <v>4.2163702135578365E-2</v>
      </c>
    </row>
    <row r="212" spans="1:12" s="292" customFormat="1" ht="15.6" hidden="1" customHeight="1" x14ac:dyDescent="0.2">
      <c r="A212" s="226">
        <v>20</v>
      </c>
      <c r="B212" s="227">
        <f>rh_t1!C22</f>
        <v>99.22</v>
      </c>
      <c r="C212" s="227">
        <f>rh_t1!D22</f>
        <v>99.21</v>
      </c>
      <c r="D212" s="227">
        <f>rh_t1!E22</f>
        <v>99.21</v>
      </c>
      <c r="E212" s="227">
        <f>rh_t1!F22</f>
        <v>99.2</v>
      </c>
      <c r="F212" s="227">
        <f>rh_t1!G22</f>
        <v>99.2</v>
      </c>
      <c r="G212" s="227">
        <f>rh_t1!H22</f>
        <v>98.96</v>
      </c>
      <c r="H212" s="227">
        <f>rh_t1!I22</f>
        <v>99.2</v>
      </c>
      <c r="I212" s="227">
        <f>rh_t1!J22</f>
        <v>99.21</v>
      </c>
      <c r="J212" s="227">
        <f>rh_t1!K22</f>
        <v>99.23</v>
      </c>
      <c r="K212" s="227">
        <f>rh_t1!L22</f>
        <v>99.182222222222236</v>
      </c>
      <c r="L212" s="227">
        <f>rh_t1!M22</f>
        <v>7.913108362117878E-2</v>
      </c>
    </row>
    <row r="213" spans="1:12" s="292" customFormat="1" ht="15.6" hidden="1" customHeight="1" x14ac:dyDescent="0.2">
      <c r="A213" s="226">
        <v>21</v>
      </c>
      <c r="B213" s="227">
        <f>rh_t1!C23</f>
        <v>99.22</v>
      </c>
      <c r="C213" s="227">
        <f>rh_t1!D23</f>
        <v>99.21</v>
      </c>
      <c r="D213" s="227">
        <f>rh_t1!E23</f>
        <v>99.21</v>
      </c>
      <c r="E213" s="227">
        <f>rh_t1!F23</f>
        <v>99.2</v>
      </c>
      <c r="F213" s="227">
        <f>rh_t1!G23</f>
        <v>99.2</v>
      </c>
      <c r="G213" s="227">
        <f>rh_t1!H23</f>
        <v>98.91</v>
      </c>
      <c r="H213" s="227">
        <f>rh_t1!I23</f>
        <v>99.2</v>
      </c>
      <c r="I213" s="227">
        <f>rh_t1!J23</f>
        <v>99.21</v>
      </c>
      <c r="J213" s="227">
        <f>rh_t1!K23</f>
        <v>99.23</v>
      </c>
      <c r="K213" s="227">
        <f>rh_t1!L23</f>
        <v>99.176666666666677</v>
      </c>
      <c r="L213" s="227">
        <f>rh_t1!M23</f>
        <v>9.4751136023680058E-2</v>
      </c>
    </row>
    <row r="214" spans="1:12" s="292" customFormat="1" ht="15.6" hidden="1" customHeight="1" x14ac:dyDescent="0.2">
      <c r="A214" s="226">
        <v>22</v>
      </c>
      <c r="B214" s="227">
        <f>rh_t1!C24</f>
        <v>99.22</v>
      </c>
      <c r="C214" s="227">
        <f>rh_t1!D24</f>
        <v>99.21</v>
      </c>
      <c r="D214" s="227">
        <f>rh_t1!E24</f>
        <v>99.2</v>
      </c>
      <c r="E214" s="227">
        <f>rh_t1!F24</f>
        <v>99.1</v>
      </c>
      <c r="F214" s="227">
        <f>rh_t1!G24</f>
        <v>99.2</v>
      </c>
      <c r="G214" s="227">
        <f>rh_t1!H24</f>
        <v>98.79</v>
      </c>
      <c r="H214" s="227">
        <f>rh_t1!I24</f>
        <v>99.2</v>
      </c>
      <c r="I214" s="227">
        <f>rh_t1!J24</f>
        <v>99.21</v>
      </c>
      <c r="J214" s="227">
        <f>rh_t1!K24</f>
        <v>99.22</v>
      </c>
      <c r="K214" s="227">
        <f>rh_t1!L24</f>
        <v>99.15000000000002</v>
      </c>
      <c r="L214" s="227">
        <f>rh_t1!M24</f>
        <v>0.13190905958272711</v>
      </c>
    </row>
    <row r="215" spans="1:12" s="292" customFormat="1" ht="15.6" hidden="1" customHeight="1" x14ac:dyDescent="0.2">
      <c r="A215" s="226">
        <v>23</v>
      </c>
      <c r="B215" s="227">
        <f>rh_t1!C25</f>
        <v>99.22</v>
      </c>
      <c r="C215" s="227">
        <f>rh_t1!D25</f>
        <v>99.21</v>
      </c>
      <c r="D215" s="227">
        <f>rh_t1!E25</f>
        <v>99.2</v>
      </c>
      <c r="E215" s="227">
        <f>rh_t1!F25</f>
        <v>98.96</v>
      </c>
      <c r="F215" s="227">
        <f>rh_t1!G25</f>
        <v>99.2</v>
      </c>
      <c r="G215" s="227">
        <f>rh_t1!H25</f>
        <v>98.69</v>
      </c>
      <c r="H215" s="227">
        <f>rh_t1!I25</f>
        <v>99.2</v>
      </c>
      <c r="I215" s="227">
        <f>rh_t1!J25</f>
        <v>99.21</v>
      </c>
      <c r="J215" s="227">
        <f>rh_t1!K25</f>
        <v>99.23</v>
      </c>
      <c r="K215" s="227">
        <f>rh_t1!L25</f>
        <v>99.124444444444464</v>
      </c>
      <c r="L215" s="227">
        <f>rh_t1!M25</f>
        <v>0.17250514395622654</v>
      </c>
    </row>
    <row r="216" spans="1:12" s="292" customFormat="1" ht="15.6" hidden="1" customHeight="1" x14ac:dyDescent="0.2">
      <c r="A216" s="226">
        <v>24</v>
      </c>
      <c r="B216" s="227">
        <f>rh_t1!C26</f>
        <v>99.22</v>
      </c>
      <c r="C216" s="227">
        <f>rh_t1!D26</f>
        <v>99.21</v>
      </c>
      <c r="D216" s="227">
        <f>rh_t1!E26</f>
        <v>99.2</v>
      </c>
      <c r="E216" s="227">
        <f>rh_t1!F26</f>
        <v>98.83</v>
      </c>
      <c r="F216" s="227">
        <f>rh_t1!G26</f>
        <v>99.2</v>
      </c>
      <c r="G216" s="227">
        <f>rh_t1!H26</f>
        <v>98.58</v>
      </c>
      <c r="H216" s="227">
        <f>rh_t1!I26</f>
        <v>99.2</v>
      </c>
      <c r="I216" s="227">
        <f>rh_t1!J26</f>
        <v>99.21</v>
      </c>
      <c r="J216" s="227">
        <f>rh_t1!K26</f>
        <v>99.23</v>
      </c>
      <c r="K216" s="227">
        <f>rh_t1!L26</f>
        <v>99.097777777777793</v>
      </c>
      <c r="L216" s="227">
        <f>rh_t1!M26</f>
        <v>0.21826476163787817</v>
      </c>
    </row>
    <row r="217" spans="1:12" s="292" customFormat="1" ht="15.6" hidden="1" customHeight="1" x14ac:dyDescent="0.2">
      <c r="A217" s="226">
        <v>25</v>
      </c>
      <c r="B217" s="227">
        <f>rh_t1!C27</f>
        <v>99.22</v>
      </c>
      <c r="C217" s="227">
        <f>rh_t1!D27</f>
        <v>99.21</v>
      </c>
      <c r="D217" s="227">
        <f>rh_t1!E27</f>
        <v>99.2</v>
      </c>
      <c r="E217" s="227">
        <f>rh_t1!F27</f>
        <v>98.7</v>
      </c>
      <c r="F217" s="227">
        <f>rh_t1!G27</f>
        <v>99.2</v>
      </c>
      <c r="G217" s="227">
        <f>rh_t1!H27</f>
        <v>98.52</v>
      </c>
      <c r="H217" s="227">
        <f>rh_t1!I27</f>
        <v>99.2</v>
      </c>
      <c r="I217" s="227">
        <f>rh_t1!J27</f>
        <v>99.21</v>
      </c>
      <c r="J217" s="227">
        <f>rh_t1!K27</f>
        <v>99.31</v>
      </c>
      <c r="K217" s="227">
        <f>rh_t1!L27</f>
        <v>99.085555555555558</v>
      </c>
      <c r="L217" s="227">
        <f>rh_t1!M27</f>
        <v>0.25974821616802174</v>
      </c>
    </row>
    <row r="218" spans="1:12" s="292" customFormat="1" ht="15.6" hidden="1" customHeight="1" x14ac:dyDescent="0.2">
      <c r="A218" s="226">
        <v>26</v>
      </c>
      <c r="B218" s="227">
        <f>rh_t1!C28</f>
        <v>99.22</v>
      </c>
      <c r="C218" s="227">
        <f>rh_t1!D28</f>
        <v>99.21</v>
      </c>
      <c r="D218" s="227">
        <f>rh_t1!E28</f>
        <v>99.2</v>
      </c>
      <c r="E218" s="227">
        <f>rh_t1!F28</f>
        <v>98.59</v>
      </c>
      <c r="F218" s="227">
        <f>rh_t1!G28</f>
        <v>99.2</v>
      </c>
      <c r="G218" s="227">
        <f>rh_t1!H28</f>
        <v>98.48</v>
      </c>
      <c r="H218" s="227">
        <f>rh_t1!I28</f>
        <v>99.16</v>
      </c>
      <c r="I218" s="227">
        <f>rh_t1!J28</f>
        <v>99.21</v>
      </c>
      <c r="J218" s="227">
        <f>rh_t1!K28</f>
        <v>99.22</v>
      </c>
      <c r="K218" s="227">
        <f>rh_t1!L28</f>
        <v>99.054444444444442</v>
      </c>
      <c r="L218" s="227">
        <f>rh_t1!M28</f>
        <v>0.27936877703180368</v>
      </c>
    </row>
    <row r="219" spans="1:12" s="292" customFormat="1" ht="15.6" hidden="1" customHeight="1" x14ac:dyDescent="0.2">
      <c r="A219" s="226">
        <v>27</v>
      </c>
      <c r="B219" s="227">
        <f>rh_t1!C29</f>
        <v>99.22</v>
      </c>
      <c r="C219" s="227">
        <f>rh_t1!D29</f>
        <v>99.21</v>
      </c>
      <c r="D219" s="227">
        <f>rh_t1!E29</f>
        <v>99.2</v>
      </c>
      <c r="E219" s="227">
        <f>rh_t1!F29</f>
        <v>98.54</v>
      </c>
      <c r="F219" s="227">
        <f>rh_t1!G29</f>
        <v>99.2</v>
      </c>
      <c r="G219" s="227">
        <f>rh_t1!H29</f>
        <v>98.48</v>
      </c>
      <c r="H219" s="227">
        <f>rh_t1!I29</f>
        <v>99.14</v>
      </c>
      <c r="I219" s="227">
        <f>rh_t1!J29</f>
        <v>99.21</v>
      </c>
      <c r="J219" s="227">
        <f>rh_t1!K29</f>
        <v>99.22</v>
      </c>
      <c r="K219" s="227">
        <f>rh_t1!L29</f>
        <v>99.046666666666681</v>
      </c>
      <c r="L219" s="227">
        <f>rh_t1!M29</f>
        <v>0.288097205817756</v>
      </c>
    </row>
    <row r="220" spans="1:12" s="292" customFormat="1" ht="15.6" hidden="1" customHeight="1" x14ac:dyDescent="0.2">
      <c r="A220" s="226">
        <v>28</v>
      </c>
      <c r="B220" s="227">
        <f>rh_t1!C30</f>
        <v>99.21</v>
      </c>
      <c r="C220" s="227">
        <f>rh_t1!D30</f>
        <v>99.21</v>
      </c>
      <c r="D220" s="227">
        <f>rh_t1!E30</f>
        <v>99.2</v>
      </c>
      <c r="E220" s="227">
        <f>rh_t1!F30</f>
        <v>98.55</v>
      </c>
      <c r="F220" s="227">
        <f>rh_t1!G30</f>
        <v>99.18</v>
      </c>
      <c r="G220" s="227">
        <f>rh_t1!H30</f>
        <v>98.51</v>
      </c>
      <c r="H220" s="227">
        <f>rh_t1!I30</f>
        <v>99.12</v>
      </c>
      <c r="I220" s="227">
        <f>rh_t1!J30</f>
        <v>99.21</v>
      </c>
      <c r="J220" s="227">
        <f>rh_t1!K30</f>
        <v>99.23</v>
      </c>
      <c r="K220" s="227">
        <f>rh_t1!L30</f>
        <v>99.046666666666681</v>
      </c>
      <c r="L220" s="227">
        <f>rh_t1!M30</f>
        <v>0.27788886667555035</v>
      </c>
    </row>
    <row r="221" spans="1:12" s="292" customFormat="1" ht="15.6" hidden="1" customHeight="1" x14ac:dyDescent="0.2">
      <c r="A221" s="226">
        <v>29</v>
      </c>
      <c r="B221" s="227">
        <f>rh_t1!C31</f>
        <v>99.21</v>
      </c>
      <c r="C221" s="227">
        <f>rh_t1!D31</f>
        <v>99.21</v>
      </c>
      <c r="D221" s="227">
        <f>rh_t1!E31</f>
        <v>99.2</v>
      </c>
      <c r="E221" s="227">
        <f>rh_t1!F31</f>
        <v>98.55</v>
      </c>
      <c r="F221" s="227">
        <f>rh_t1!G31</f>
        <v>99.18</v>
      </c>
      <c r="G221" s="227">
        <f>rh_t1!H31</f>
        <v>98.54</v>
      </c>
      <c r="H221" s="227">
        <f>rh_t1!I31</f>
        <v>99.07</v>
      </c>
      <c r="I221" s="227">
        <f>rh_t1!J31</f>
        <v>99.21</v>
      </c>
      <c r="J221" s="227">
        <f>rh_t1!K31</f>
        <v>99.22</v>
      </c>
      <c r="K221" s="227">
        <f>rh_t1!L31</f>
        <v>99.043333333333351</v>
      </c>
      <c r="L221" s="227">
        <f>rh_t1!M31</f>
        <v>0.26981475126463922</v>
      </c>
    </row>
    <row r="222" spans="1:12" s="292" customFormat="1" ht="15.6" hidden="1" customHeight="1" x14ac:dyDescent="0.2">
      <c r="A222" s="226">
        <v>30</v>
      </c>
      <c r="B222" s="227">
        <f>rh_t1!C32</f>
        <v>99.21</v>
      </c>
      <c r="C222" s="227">
        <f>rh_t1!D32</f>
        <v>99.21</v>
      </c>
      <c r="D222" s="227">
        <f>rh_t1!E32</f>
        <v>99.2</v>
      </c>
      <c r="E222" s="227">
        <f>rh_t1!F32</f>
        <v>98.55</v>
      </c>
      <c r="F222" s="227">
        <f>rh_t1!G32</f>
        <v>99.18</v>
      </c>
      <c r="G222" s="227">
        <f>rh_t1!H32</f>
        <v>98.54</v>
      </c>
      <c r="H222" s="227">
        <f>rh_t1!I32</f>
        <v>99.07</v>
      </c>
      <c r="I222" s="227">
        <f>rh_t1!J32</f>
        <v>99.21</v>
      </c>
      <c r="J222" s="227">
        <f>rh_t1!K32</f>
        <v>99.22</v>
      </c>
      <c r="K222" s="227">
        <f>rh_t1!L32</f>
        <v>99.043333333333351</v>
      </c>
      <c r="L222" s="227">
        <f>rh_t1!M32</f>
        <v>0.26981475126463922</v>
      </c>
    </row>
    <row r="223" spans="1:12" s="292" customFormat="1" ht="15.6" hidden="1" customHeight="1" x14ac:dyDescent="0.35">
      <c r="A223" s="228" t="s">
        <v>64</v>
      </c>
      <c r="B223" s="227">
        <f>rh_t1!C33</f>
        <v>99.22233333333331</v>
      </c>
      <c r="C223" s="227">
        <f>rh_t1!D33</f>
        <v>99.215000000000018</v>
      </c>
      <c r="D223" s="227">
        <f>rh_t1!E33</f>
        <v>99.206999999999951</v>
      </c>
      <c r="E223" s="227">
        <f>rh_t1!F33</f>
        <v>99.057666666666691</v>
      </c>
      <c r="F223" s="227">
        <f>rh_t1!G33</f>
        <v>99.204333333333295</v>
      </c>
      <c r="G223" s="227">
        <f>rh_t1!H33</f>
        <v>98.994000000000014</v>
      </c>
      <c r="H223" s="227">
        <f>rh_t1!I33</f>
        <v>99.191333333333333</v>
      </c>
      <c r="I223" s="227">
        <f>rh_t1!J33</f>
        <v>99.215666666666692</v>
      </c>
      <c r="J223" s="227">
        <f>rh_t1!K33</f>
        <v>99.236333333333292</v>
      </c>
      <c r="K223" s="137"/>
      <c r="L223" s="137"/>
    </row>
    <row r="224" spans="1:12" s="292" customFormat="1" ht="15.6" hidden="1" customHeight="1" x14ac:dyDescent="0.35">
      <c r="A224" s="228" t="s">
        <v>39</v>
      </c>
      <c r="B224" s="227">
        <f>rh_t1!C34</f>
        <v>6.1553951042096133E-3</v>
      </c>
      <c r="C224" s="227">
        <f>rh_t1!D34</f>
        <v>5.0000000000025562E-3</v>
      </c>
      <c r="D224" s="227">
        <f>rh_t1!E34</f>
        <v>4.5825756949516719E-3</v>
      </c>
      <c r="E224" s="227">
        <f>rh_t1!F34</f>
        <v>0.25321510399043728</v>
      </c>
      <c r="F224" s="227">
        <f>rh_t1!G34</f>
        <v>9.1954094827512104E-3</v>
      </c>
      <c r="G224" s="227">
        <f>rh_t1!H34</f>
        <v>0.29117692216245128</v>
      </c>
      <c r="H224" s="227">
        <f>rh_t1!I34</f>
        <v>3.8706875645318981E-2</v>
      </c>
      <c r="I224" s="227">
        <f>rh_t1!J34</f>
        <v>4.9553562491087026E-3</v>
      </c>
      <c r="J224" s="227">
        <f>rh_t1!K34</f>
        <v>1.5595583420385598E-2</v>
      </c>
      <c r="K224" s="294"/>
      <c r="L224" s="294"/>
    </row>
    <row r="225" spans="1:12" s="292" customFormat="1" ht="15.6" hidden="1" customHeight="1" x14ac:dyDescent="0.35">
      <c r="A225" s="228" t="s">
        <v>65</v>
      </c>
      <c r="B225" s="227">
        <f>rh_t1!C35</f>
        <v>7.6666666666937999E-3</v>
      </c>
      <c r="C225" s="227">
        <f>rh_t1!D35</f>
        <v>4.9999999999812417E-3</v>
      </c>
      <c r="D225" s="227">
        <f>rh_t1!E35</f>
        <v>3.0000000000427463E-3</v>
      </c>
      <c r="E225" s="227">
        <f>rh_t1!F35</f>
        <v>0.15233333333330279</v>
      </c>
      <c r="F225" s="227">
        <f>rh_t1!G35</f>
        <v>5.6666666666984611E-3</v>
      </c>
      <c r="G225" s="227">
        <f>rh_t1!H35</f>
        <v>0.21599999999997976</v>
      </c>
      <c r="H225" s="227">
        <f>rh_t1!I35</f>
        <v>1.8666666666661058E-2</v>
      </c>
      <c r="I225" s="227">
        <f>rh_t1!J35</f>
        <v>4.3333333333066548E-3</v>
      </c>
      <c r="J225" s="227">
        <f>rh_t1!K35</f>
        <v>7.3666666666710512E-2</v>
      </c>
      <c r="K225" s="421"/>
      <c r="L225" s="416"/>
    </row>
    <row r="226" spans="1:12" s="292" customFormat="1" ht="15.6" hidden="1" customHeight="1" x14ac:dyDescent="0.35">
      <c r="A226" s="228" t="s">
        <v>66</v>
      </c>
      <c r="B226" s="227">
        <f>rh_t1!C36</f>
        <v>1.2333333333316432E-2</v>
      </c>
      <c r="C226" s="227">
        <f>rh_t1!D36</f>
        <v>5.0000000000238742E-3</v>
      </c>
      <c r="D226" s="227">
        <f>rh_t1!E36</f>
        <v>6.9999999999481588E-3</v>
      </c>
      <c r="E226" s="227">
        <f>rh_t1!F36</f>
        <v>0.5176666666666847</v>
      </c>
      <c r="F226" s="227">
        <f>rh_t1!G36</f>
        <v>2.4333333333288465E-2</v>
      </c>
      <c r="G226" s="227">
        <f>rh_t1!H36</f>
        <v>0.51400000000001</v>
      </c>
      <c r="H226" s="227">
        <f>rh_t1!I36</f>
        <v>0.12133333333333951</v>
      </c>
      <c r="I226" s="227">
        <f>rh_t1!J36</f>
        <v>5.6666666666984611E-3</v>
      </c>
      <c r="J226" s="227">
        <f>rh_t1!K36</f>
        <v>1.6333333333292899E-2</v>
      </c>
      <c r="K226" s="421"/>
      <c r="L226" s="416"/>
    </row>
    <row r="227" spans="1:12" s="292" customFormat="1" ht="15.6" hidden="1" customHeight="1" x14ac:dyDescent="0.2">
      <c r="A227" s="229" t="s">
        <v>37</v>
      </c>
      <c r="B227" s="227">
        <f>rh_t1!C37</f>
        <v>1.0000000000005116E-2</v>
      </c>
      <c r="C227" s="227">
        <f>rh_t1!D37</f>
        <v>5.000000000002558E-3</v>
      </c>
      <c r="D227" s="227">
        <f>rh_t1!E37</f>
        <v>4.9999999999954525E-3</v>
      </c>
      <c r="E227" s="227">
        <f>rh_t1!F37</f>
        <v>0.33499999999999375</v>
      </c>
      <c r="F227" s="227">
        <f>rh_t1!G37</f>
        <v>1.4999999999993463E-2</v>
      </c>
      <c r="G227" s="227">
        <f>rh_t1!H37</f>
        <v>0.36499999999999488</v>
      </c>
      <c r="H227" s="227">
        <f>rh_t1!I37</f>
        <v>7.0000000000000284E-2</v>
      </c>
      <c r="I227" s="227">
        <f>rh_t1!J37</f>
        <v>5.000000000002558E-3</v>
      </c>
      <c r="J227" s="227">
        <f>rh_t1!K37</f>
        <v>4.5000000000001705E-2</v>
      </c>
      <c r="K227" s="421"/>
      <c r="L227" s="416"/>
    </row>
    <row r="228" spans="1:12" s="292" customFormat="1" ht="15.6" hidden="1" customHeight="1" x14ac:dyDescent="0.35">
      <c r="A228" s="230" t="s">
        <v>67</v>
      </c>
      <c r="B228" s="227">
        <f>rh_t1!C38</f>
        <v>1.8000000000014893E-2</v>
      </c>
      <c r="C228" s="227">
        <f>rh_t1!D38</f>
        <v>1.0666666666722335E-2</v>
      </c>
      <c r="D228" s="227">
        <f>rh_t1!E38</f>
        <v>2.6666666666557148E-3</v>
      </c>
      <c r="E228" s="227">
        <f>rh_t1!F38</f>
        <v>-0.14666666666660433</v>
      </c>
      <c r="F228" s="227">
        <f>rh_t1!G38</f>
        <v>0</v>
      </c>
      <c r="G228" s="227">
        <f>rh_t1!H38</f>
        <v>-0.2103333333332813</v>
      </c>
      <c r="H228" s="227">
        <f>rh_t1!I38</f>
        <v>-1.2999999999962597E-2</v>
      </c>
      <c r="I228" s="227">
        <f>rh_t1!J38</f>
        <v>1.1333333333396922E-2</v>
      </c>
      <c r="J228" s="227">
        <f>rh_t1!K38</f>
        <v>3.1999999999996476E-2</v>
      </c>
      <c r="K228" s="139"/>
      <c r="L228" s="139"/>
    </row>
    <row r="229" spans="1:12" s="292" customFormat="1" ht="15.6" hidden="1" customHeight="1" x14ac:dyDescent="0.35">
      <c r="A229" s="233" t="s">
        <v>69</v>
      </c>
      <c r="B229" s="232">
        <f>rh_t1!C40</f>
        <v>99.171518518518354</v>
      </c>
      <c r="C229" s="139"/>
      <c r="D229" s="139"/>
      <c r="E229" s="139"/>
      <c r="F229" s="139"/>
      <c r="G229" s="139"/>
      <c r="H229" s="139"/>
      <c r="I229" s="139"/>
      <c r="J229" s="139"/>
      <c r="K229" s="139"/>
      <c r="L229" s="139"/>
    </row>
    <row r="230" spans="1:12" s="292" customFormat="1" ht="15.6" hidden="1" customHeight="1" x14ac:dyDescent="0.35">
      <c r="A230" s="233" t="s">
        <v>70</v>
      </c>
      <c r="B230" s="232">
        <f>rh_t1!C41</f>
        <v>1.1715185185183543</v>
      </c>
      <c r="C230" s="139"/>
      <c r="D230" s="139"/>
      <c r="E230" s="139"/>
      <c r="F230" s="139"/>
      <c r="G230" s="139"/>
      <c r="H230" s="139"/>
      <c r="I230" s="139"/>
      <c r="J230" s="139"/>
      <c r="K230" s="139"/>
      <c r="L230" s="139"/>
    </row>
    <row r="231" spans="1:12" s="292" customFormat="1" ht="15.6" hidden="1" customHeight="1" x14ac:dyDescent="0.35">
      <c r="A231" s="233" t="s">
        <v>270</v>
      </c>
      <c r="B231" s="232">
        <f>rh_t1!C46</f>
        <v>0.15226533137436651</v>
      </c>
      <c r="C231" s="139"/>
      <c r="D231" s="139"/>
      <c r="E231" s="139"/>
      <c r="F231" s="139"/>
      <c r="G231" s="139"/>
      <c r="H231" s="139"/>
      <c r="I231" s="139"/>
      <c r="J231" s="139"/>
      <c r="K231" s="139"/>
      <c r="L231" s="139"/>
    </row>
    <row r="232" spans="1:12" s="292" customFormat="1" ht="15.6" hidden="1" customHeight="1" x14ac:dyDescent="0.35">
      <c r="A232" s="241" t="s">
        <v>71</v>
      </c>
      <c r="B232" s="232">
        <f>rh_t1!C42</f>
        <v>0.24233333333327778</v>
      </c>
      <c r="C232" s="139"/>
      <c r="D232" s="139"/>
      <c r="E232" s="139"/>
      <c r="F232" s="139"/>
      <c r="G232" s="139"/>
      <c r="H232" s="139"/>
      <c r="I232" s="139"/>
      <c r="J232" s="139"/>
      <c r="K232" s="139"/>
      <c r="L232" s="139"/>
    </row>
    <row r="233" spans="1:12" s="292" customFormat="1" ht="15.6" hidden="1" customHeight="1" x14ac:dyDescent="0.35">
      <c r="A233" s="241" t="s">
        <v>72</v>
      </c>
      <c r="B233" s="240">
        <f>rh_t1!C43</f>
        <v>3.1999999999996476E-2</v>
      </c>
      <c r="C233" s="139"/>
      <c r="D233" s="139"/>
      <c r="E233" s="139"/>
      <c r="F233" s="139"/>
      <c r="G233" s="139"/>
      <c r="H233" s="139"/>
      <c r="I233" s="139"/>
      <c r="J233" s="139"/>
      <c r="K233" s="139"/>
      <c r="L233" s="139"/>
    </row>
    <row r="234" spans="1:12" s="292" customFormat="1" ht="15.6" hidden="1" customHeight="1" x14ac:dyDescent="0.2">
      <c r="A234" s="283"/>
      <c r="B234" s="240">
        <f>rh_t1!C44</f>
        <v>-0.2103333333332813</v>
      </c>
      <c r="C234" s="140"/>
      <c r="D234" s="139"/>
      <c r="E234" s="139"/>
      <c r="F234" s="139"/>
      <c r="G234" s="139"/>
      <c r="H234" s="139"/>
      <c r="I234" s="139"/>
      <c r="J234" s="139"/>
      <c r="K234" s="139"/>
      <c r="L234" s="139"/>
    </row>
    <row r="235" spans="1:12" s="292" customFormat="1" ht="18.75" hidden="1" x14ac:dyDescent="0.35">
      <c r="A235" s="242" t="s">
        <v>50</v>
      </c>
      <c r="B235" s="232">
        <f>rh_t1!C45</f>
        <v>9.4999999999998863E-2</v>
      </c>
      <c r="C235" s="139"/>
      <c r="D235" s="139"/>
      <c r="E235" s="139"/>
      <c r="F235" s="139"/>
      <c r="G235" s="139"/>
      <c r="H235" s="139"/>
      <c r="I235" s="139"/>
      <c r="J235" s="139"/>
      <c r="K235" s="139"/>
      <c r="L235" s="139"/>
    </row>
    <row r="236" spans="1:12" s="292" customFormat="1" ht="29.25" hidden="1" customHeight="1" x14ac:dyDescent="0.2">
      <c r="A236" s="417" t="s">
        <v>354</v>
      </c>
      <c r="B236" s="417"/>
      <c r="C236" s="417"/>
      <c r="D236" s="417"/>
      <c r="E236" s="417"/>
      <c r="F236" s="417"/>
      <c r="G236" s="417"/>
      <c r="H236" s="417"/>
      <c r="I236" s="417"/>
      <c r="J236" s="417"/>
      <c r="K236" s="417"/>
      <c r="L236" s="417"/>
    </row>
    <row r="237" spans="1:12" s="292" customFormat="1" ht="31.5" hidden="1" customHeight="1" thickBot="1" x14ac:dyDescent="0.25">
      <c r="A237" s="430" t="str">
        <f>"Заданная температура = "&amp;rh_t1!C86&amp;" °С;  Заданная относительная влажность =  "&amp;$E$1&amp;rh_t1!C39 &amp;" %."</f>
        <v>Заданная температура = 40 °С;  Заданная относительная влажность =  98 %.</v>
      </c>
      <c r="B237" s="430"/>
      <c r="C237" s="430"/>
      <c r="D237" s="430"/>
      <c r="E237" s="430"/>
      <c r="F237" s="430"/>
      <c r="G237" s="430"/>
      <c r="H237" s="430"/>
      <c r="I237" s="430"/>
      <c r="J237" s="430"/>
      <c r="K237" s="430"/>
      <c r="L237" s="430"/>
    </row>
    <row r="238" spans="1:12" s="292" customFormat="1" ht="30.75" hidden="1" customHeight="1" thickBot="1" x14ac:dyDescent="0.25">
      <c r="A238" s="239" t="s">
        <v>89</v>
      </c>
      <c r="B238" s="419" t="s">
        <v>94</v>
      </c>
      <c r="C238" s="419"/>
      <c r="D238" s="419"/>
      <c r="E238" s="419"/>
      <c r="F238" s="419"/>
      <c r="G238" s="419"/>
      <c r="H238" s="419"/>
      <c r="I238" s="419"/>
      <c r="J238" s="419"/>
      <c r="K238" s="420" t="s">
        <v>91</v>
      </c>
      <c r="L238" s="420"/>
    </row>
    <row r="239" spans="1:12" s="292" customFormat="1" ht="15" hidden="1" customHeight="1" x14ac:dyDescent="0.2">
      <c r="A239" s="236"/>
      <c r="B239" s="235">
        <v>1</v>
      </c>
      <c r="C239" s="235">
        <v>2</v>
      </c>
      <c r="D239" s="235">
        <v>3</v>
      </c>
      <c r="E239" s="235">
        <v>4</v>
      </c>
      <c r="F239" s="235">
        <v>5</v>
      </c>
      <c r="G239" s="235">
        <v>6</v>
      </c>
      <c r="H239" s="235">
        <v>7</v>
      </c>
      <c r="I239" s="235">
        <v>8</v>
      </c>
      <c r="J239" s="235">
        <v>9</v>
      </c>
      <c r="K239" s="237" t="s">
        <v>92</v>
      </c>
      <c r="L239" s="238" t="s">
        <v>93</v>
      </c>
    </row>
    <row r="240" spans="1:12" s="292" customFormat="1" ht="15" hidden="1" customHeight="1" x14ac:dyDescent="0.2">
      <c r="A240" s="226">
        <v>1</v>
      </c>
      <c r="B240" s="227">
        <f>rh_t1!C50</f>
        <v>39.69003</v>
      </c>
      <c r="C240" s="227">
        <f>rh_t1!D50</f>
        <v>39.890059999999998</v>
      </c>
      <c r="D240" s="227">
        <f>rh_t1!E50</f>
        <v>39.800939999999997</v>
      </c>
      <c r="E240" s="227">
        <f>rh_t1!F50</f>
        <v>40.029969999999999</v>
      </c>
      <c r="F240" s="227">
        <f>rh_t1!G50</f>
        <v>39.7866</v>
      </c>
      <c r="G240" s="227">
        <f>rh_t1!H50</f>
        <v>39.702770000000001</v>
      </c>
      <c r="H240" s="227">
        <f>rh_t1!I50</f>
        <v>39.728859999999997</v>
      </c>
      <c r="I240" s="227">
        <f>rh_t1!J50</f>
        <v>39.519660000000002</v>
      </c>
      <c r="J240" s="227">
        <f>rh_t1!K50</f>
        <v>39.863959999999999</v>
      </c>
      <c r="K240" s="227">
        <f>rh_t1!L50</f>
        <v>39.779205555555556</v>
      </c>
      <c r="L240" s="227">
        <f>rh_t1!M50</f>
        <v>0.13604539210711991</v>
      </c>
    </row>
    <row r="241" spans="1:12" s="292" customFormat="1" ht="15" hidden="1" customHeight="1" x14ac:dyDescent="0.2">
      <c r="A241" s="226">
        <v>2</v>
      </c>
      <c r="B241" s="227">
        <f>rh_t1!C51</f>
        <v>39.681750000000001</v>
      </c>
      <c r="C241" s="227">
        <f>rh_t1!D51</f>
        <v>39.884929999999997</v>
      </c>
      <c r="D241" s="227">
        <f>rh_t1!E51</f>
        <v>39.797649999999997</v>
      </c>
      <c r="E241" s="227">
        <f>rh_t1!F51</f>
        <v>40.025069999999999</v>
      </c>
      <c r="F241" s="227">
        <f>rh_t1!G51</f>
        <v>39.777160000000002</v>
      </c>
      <c r="G241" s="227">
        <f>rh_t1!H51</f>
        <v>39.693420000000003</v>
      </c>
      <c r="H241" s="227">
        <f>rh_t1!I51</f>
        <v>39.72146</v>
      </c>
      <c r="I241" s="227">
        <f>rh_t1!J51</f>
        <v>39.514279999999999</v>
      </c>
      <c r="J241" s="227">
        <f>rh_t1!K51</f>
        <v>39.856560000000002</v>
      </c>
      <c r="K241" s="227">
        <f>rh_t1!L51</f>
        <v>39.772475555555552</v>
      </c>
      <c r="L241" s="227">
        <f>rh_t1!M51</f>
        <v>0.13659521913799874</v>
      </c>
    </row>
    <row r="242" spans="1:12" s="292" customFormat="1" ht="15" hidden="1" customHeight="1" x14ac:dyDescent="0.2">
      <c r="A242" s="226">
        <v>3</v>
      </c>
      <c r="B242" s="227">
        <f>rh_t1!C52</f>
        <v>39.674460000000003</v>
      </c>
      <c r="C242" s="227">
        <f>rh_t1!D52</f>
        <v>39.876220000000004</v>
      </c>
      <c r="D242" s="227">
        <f>rh_t1!E52</f>
        <v>39.790990000000001</v>
      </c>
      <c r="E242" s="227">
        <f>rh_t1!F52</f>
        <v>40.015439999999998</v>
      </c>
      <c r="F242" s="227">
        <f>rh_t1!G52</f>
        <v>39.765549999999998</v>
      </c>
      <c r="G242" s="227">
        <f>rh_t1!H52</f>
        <v>39.684570000000001</v>
      </c>
      <c r="H242" s="227">
        <f>rh_t1!I52</f>
        <v>39.711449999999999</v>
      </c>
      <c r="I242" s="227">
        <f>rh_t1!J52</f>
        <v>39.508580000000002</v>
      </c>
      <c r="J242" s="227">
        <f>rh_t1!K52</f>
        <v>39.849730000000001</v>
      </c>
      <c r="K242" s="227">
        <f>rh_t1!L52</f>
        <v>39.764109999999995</v>
      </c>
      <c r="L242" s="227">
        <f>rh_t1!M52</f>
        <v>0.13590160002328416</v>
      </c>
    </row>
    <row r="243" spans="1:12" s="292" customFormat="1" ht="15" hidden="1" customHeight="1" x14ac:dyDescent="0.2">
      <c r="A243" s="226">
        <v>4</v>
      </c>
      <c r="B243" s="227">
        <f>rh_t1!C53</f>
        <v>39.672179999999997</v>
      </c>
      <c r="C243" s="227">
        <f>rh_t1!D53</f>
        <v>39.870190000000001</v>
      </c>
      <c r="D243" s="227">
        <f>rh_t1!E53</f>
        <v>39.786540000000002</v>
      </c>
      <c r="E243" s="227">
        <f>rh_t1!F53</f>
        <v>40.011139999999997</v>
      </c>
      <c r="F243" s="227">
        <f>rh_t1!G53</f>
        <v>39.761249999999997</v>
      </c>
      <c r="G243" s="227">
        <f>rh_t1!H53</f>
        <v>39.679839999999999</v>
      </c>
      <c r="H243" s="227">
        <f>rh_t1!I53</f>
        <v>39.706609999999998</v>
      </c>
      <c r="I243" s="227">
        <f>rh_t1!J53</f>
        <v>39.504309999999997</v>
      </c>
      <c r="J243" s="227">
        <f>rh_t1!K53</f>
        <v>39.84554</v>
      </c>
      <c r="K243" s="227">
        <f>rh_t1!L53</f>
        <v>39.75973333333333</v>
      </c>
      <c r="L243" s="227">
        <f>rh_t1!M53</f>
        <v>0.1356471597769586</v>
      </c>
    </row>
    <row r="244" spans="1:12" s="292" customFormat="1" ht="15" hidden="1" customHeight="1" x14ac:dyDescent="0.2">
      <c r="A244" s="226">
        <v>5</v>
      </c>
      <c r="B244" s="227">
        <f>rh_t1!C54</f>
        <v>39.670569999999998</v>
      </c>
      <c r="C244" s="227">
        <f>rh_t1!D54</f>
        <v>39.868899999999996</v>
      </c>
      <c r="D244" s="227">
        <f>rh_t1!E54</f>
        <v>39.783459999999998</v>
      </c>
      <c r="E244" s="227">
        <f>rh_t1!F54</f>
        <v>40.008620000000001</v>
      </c>
      <c r="F244" s="227">
        <f>rh_t1!G54</f>
        <v>39.760420000000003</v>
      </c>
      <c r="G244" s="227">
        <f>rh_t1!H54</f>
        <v>39.680489999999999</v>
      </c>
      <c r="H244" s="227">
        <f>rh_t1!I54</f>
        <v>39.70449</v>
      </c>
      <c r="I244" s="227">
        <f>rh_t1!J54</f>
        <v>39.502130000000001</v>
      </c>
      <c r="J244" s="227">
        <f>rh_t1!K54</f>
        <v>39.844569999999997</v>
      </c>
      <c r="K244" s="227">
        <f>rh_t1!L54</f>
        <v>39.758183333333335</v>
      </c>
      <c r="L244" s="227">
        <f>rh_t1!M54</f>
        <v>0.13549985928651936</v>
      </c>
    </row>
    <row r="245" spans="1:12" s="292" customFormat="1" ht="15" hidden="1" customHeight="1" x14ac:dyDescent="0.2">
      <c r="A245" s="226">
        <v>6</v>
      </c>
      <c r="B245" s="227">
        <f>rh_t1!C55</f>
        <v>39.669589999999999</v>
      </c>
      <c r="C245" s="227">
        <f>rh_t1!D55</f>
        <v>39.870109999999997</v>
      </c>
      <c r="D245" s="227">
        <f>rh_t1!E55</f>
        <v>39.783029999999997</v>
      </c>
      <c r="E245" s="227">
        <f>rh_t1!F55</f>
        <v>40.005470000000003</v>
      </c>
      <c r="F245" s="227">
        <f>rh_t1!G55</f>
        <v>39.760249999999999</v>
      </c>
      <c r="G245" s="227">
        <f>rh_t1!H55</f>
        <v>39.679079999999999</v>
      </c>
      <c r="H245" s="227">
        <f>rh_t1!I55</f>
        <v>39.703200000000002</v>
      </c>
      <c r="I245" s="227">
        <f>rh_t1!J55</f>
        <v>39.500999999999998</v>
      </c>
      <c r="J245" s="227">
        <f>rh_t1!K55</f>
        <v>39.843069999999997</v>
      </c>
      <c r="K245" s="227">
        <f>rh_t1!L55</f>
        <v>39.75719999999999</v>
      </c>
      <c r="L245" s="227">
        <f>rh_t1!M55</f>
        <v>0.13530603000441507</v>
      </c>
    </row>
    <row r="246" spans="1:12" s="292" customFormat="1" ht="15" hidden="1" customHeight="1" x14ac:dyDescent="0.2">
      <c r="A246" s="226">
        <v>7</v>
      </c>
      <c r="B246" s="227">
        <f>rh_t1!C56</f>
        <v>39.673169999999999</v>
      </c>
      <c r="C246" s="227">
        <f>rh_t1!D56</f>
        <v>39.873399999999997</v>
      </c>
      <c r="D246" s="227">
        <f>rh_t1!E56</f>
        <v>39.782539999999997</v>
      </c>
      <c r="E246" s="227">
        <f>rh_t1!F56</f>
        <v>40.00703</v>
      </c>
      <c r="F246" s="227">
        <f>rh_t1!G56</f>
        <v>39.76238</v>
      </c>
      <c r="G246" s="227">
        <f>rh_t1!H56</f>
        <v>39.683059999999998</v>
      </c>
      <c r="H246" s="227">
        <f>rh_t1!I56</f>
        <v>39.708100000000002</v>
      </c>
      <c r="I246" s="227">
        <f>rh_t1!J56</f>
        <v>39.504710000000003</v>
      </c>
      <c r="J246" s="227">
        <f>rh_t1!K56</f>
        <v>39.846530000000001</v>
      </c>
      <c r="K246" s="227">
        <f>rh_t1!L56</f>
        <v>39.760102222222223</v>
      </c>
      <c r="L246" s="227">
        <f>rh_t1!M56</f>
        <v>0.13466429468024632</v>
      </c>
    </row>
    <row r="247" spans="1:12" s="292" customFormat="1" ht="15" hidden="1" customHeight="1" x14ac:dyDescent="0.2">
      <c r="A247" s="226">
        <v>8</v>
      </c>
      <c r="B247" s="227">
        <f>rh_t1!C57</f>
        <v>39.676960000000001</v>
      </c>
      <c r="C247" s="227">
        <f>rh_t1!D57</f>
        <v>39.87426</v>
      </c>
      <c r="D247" s="227">
        <f>rh_t1!E57</f>
        <v>39.785069999999997</v>
      </c>
      <c r="E247" s="227">
        <f>rh_t1!F57</f>
        <v>40.015099999999997</v>
      </c>
      <c r="F247" s="227">
        <f>rh_t1!G57</f>
        <v>39.768030000000003</v>
      </c>
      <c r="G247" s="227">
        <f>rh_t1!H57</f>
        <v>39.687869999999997</v>
      </c>
      <c r="H247" s="227">
        <f>rh_t1!I57</f>
        <v>39.712510000000002</v>
      </c>
      <c r="I247" s="227">
        <f>rh_t1!J57</f>
        <v>39.506239999999998</v>
      </c>
      <c r="J247" s="227">
        <f>rh_t1!K57</f>
        <v>39.849550000000001</v>
      </c>
      <c r="K247" s="227">
        <f>rh_t1!L57</f>
        <v>39.763954444444444</v>
      </c>
      <c r="L247" s="227">
        <f>rh_t1!M57</f>
        <v>0.13558540704098307</v>
      </c>
    </row>
    <row r="248" spans="1:12" s="292" customFormat="1" ht="15" hidden="1" customHeight="1" x14ac:dyDescent="0.2">
      <c r="A248" s="226">
        <v>9</v>
      </c>
      <c r="B248" s="227">
        <f>rh_t1!C58</f>
        <v>39.677930000000003</v>
      </c>
      <c r="C248" s="227">
        <f>rh_t1!D58</f>
        <v>39.87574</v>
      </c>
      <c r="D248" s="227">
        <f>rh_t1!E58</f>
        <v>39.787039999999998</v>
      </c>
      <c r="E248" s="227">
        <f>rh_t1!F58</f>
        <v>40.018030000000003</v>
      </c>
      <c r="F248" s="227">
        <f>rh_t1!G58</f>
        <v>39.770040000000002</v>
      </c>
      <c r="G248" s="227">
        <f>rh_t1!H58</f>
        <v>39.689169999999997</v>
      </c>
      <c r="H248" s="227">
        <f>rh_t1!I58</f>
        <v>39.711649999999999</v>
      </c>
      <c r="I248" s="227">
        <f>rh_t1!J58</f>
        <v>39.508800000000001</v>
      </c>
      <c r="J248" s="227">
        <f>rh_t1!K58</f>
        <v>39.849629999999998</v>
      </c>
      <c r="K248" s="227">
        <f>rh_t1!L58</f>
        <v>39.76533666666667</v>
      </c>
      <c r="L248" s="227">
        <f>rh_t1!M58</f>
        <v>0.13571864065861514</v>
      </c>
    </row>
    <row r="249" spans="1:12" s="292" customFormat="1" ht="15" hidden="1" customHeight="1" x14ac:dyDescent="0.2">
      <c r="A249" s="226">
        <v>10</v>
      </c>
      <c r="B249" s="227">
        <f>rh_t1!C59</f>
        <v>39.677720000000001</v>
      </c>
      <c r="C249" s="227">
        <f>rh_t1!D59</f>
        <v>39.877400000000002</v>
      </c>
      <c r="D249" s="227">
        <f>rh_t1!E59</f>
        <v>39.79</v>
      </c>
      <c r="E249" s="227">
        <f>rh_t1!F59</f>
        <v>40.020339999999997</v>
      </c>
      <c r="F249" s="227">
        <f>rh_t1!G59</f>
        <v>39.769390000000001</v>
      </c>
      <c r="G249" s="227">
        <f>rh_t1!H59</f>
        <v>39.69126</v>
      </c>
      <c r="H249" s="227">
        <f>rh_t1!I59</f>
        <v>39.715809999999998</v>
      </c>
      <c r="I249" s="227">
        <f>rh_t1!J59</f>
        <v>39.509979999999999</v>
      </c>
      <c r="J249" s="227">
        <f>rh_t1!K59</f>
        <v>39.852119999999999</v>
      </c>
      <c r="K249" s="227">
        <f>rh_t1!L59</f>
        <v>39.767113333333334</v>
      </c>
      <c r="L249" s="227">
        <f>rh_t1!M59</f>
        <v>0.13602960829662522</v>
      </c>
    </row>
    <row r="250" spans="1:12" s="292" customFormat="1" ht="15" hidden="1" customHeight="1" x14ac:dyDescent="0.2">
      <c r="A250" s="226">
        <v>11</v>
      </c>
      <c r="B250" s="227">
        <f>rh_t1!C60</f>
        <v>39.672899999999998</v>
      </c>
      <c r="C250" s="227">
        <f>rh_t1!D60</f>
        <v>39.873179999999998</v>
      </c>
      <c r="D250" s="227">
        <f>rh_t1!E60</f>
        <v>39.788400000000003</v>
      </c>
      <c r="E250" s="227">
        <f>rh_t1!F60</f>
        <v>40.019829999999999</v>
      </c>
      <c r="F250" s="227">
        <f>rh_t1!G60</f>
        <v>39.764180000000003</v>
      </c>
      <c r="G250" s="227">
        <f>rh_t1!H60</f>
        <v>39.687390000000001</v>
      </c>
      <c r="H250" s="227">
        <f>rh_t1!I60</f>
        <v>39.713039999999999</v>
      </c>
      <c r="I250" s="227">
        <f>rh_t1!J60</f>
        <v>39.506</v>
      </c>
      <c r="J250" s="227">
        <f>rh_t1!K60</f>
        <v>39.847990000000003</v>
      </c>
      <c r="K250" s="227">
        <f>rh_t1!L60</f>
        <v>39.763656666666662</v>
      </c>
      <c r="L250" s="227">
        <f>rh_t1!M60</f>
        <v>0.1367670918020851</v>
      </c>
    </row>
    <row r="251" spans="1:12" s="292" customFormat="1" ht="15" hidden="1" customHeight="1" x14ac:dyDescent="0.2">
      <c r="A251" s="226">
        <v>12</v>
      </c>
      <c r="B251" s="227">
        <f>rh_t1!C61</f>
        <v>39.667740000000002</v>
      </c>
      <c r="C251" s="227">
        <f>rh_t1!D61</f>
        <v>39.870519999999999</v>
      </c>
      <c r="D251" s="227">
        <f>rh_t1!E61</f>
        <v>39.78434</v>
      </c>
      <c r="E251" s="227">
        <f>rh_t1!F61</f>
        <v>40.013300000000001</v>
      </c>
      <c r="F251" s="227">
        <f>rh_t1!G61</f>
        <v>39.752510000000001</v>
      </c>
      <c r="G251" s="227">
        <f>rh_t1!H61</f>
        <v>39.681019999999997</v>
      </c>
      <c r="H251" s="227">
        <f>rh_t1!I61</f>
        <v>39.703629999999997</v>
      </c>
      <c r="I251" s="227">
        <f>rh_t1!J61</f>
        <v>39.50047</v>
      </c>
      <c r="J251" s="227">
        <f>rh_t1!K61</f>
        <v>39.844889999999999</v>
      </c>
      <c r="K251" s="227">
        <f>rh_t1!L61</f>
        <v>39.757602222222225</v>
      </c>
      <c r="L251" s="227">
        <f>rh_t1!M61</f>
        <v>0.13721913130122129</v>
      </c>
    </row>
    <row r="252" spans="1:12" s="292" customFormat="1" ht="15" hidden="1" customHeight="1" x14ac:dyDescent="0.2">
      <c r="A252" s="226">
        <v>13</v>
      </c>
      <c r="B252" s="227">
        <f>rh_t1!C62</f>
        <v>39.674410000000002</v>
      </c>
      <c r="C252" s="227">
        <f>rh_t1!D62</f>
        <v>39.87697</v>
      </c>
      <c r="D252" s="227">
        <f>rh_t1!E62</f>
        <v>39.78031</v>
      </c>
      <c r="E252" s="227">
        <f>rh_t1!F62</f>
        <v>40.012999999999998</v>
      </c>
      <c r="F252" s="227">
        <f>rh_t1!G62</f>
        <v>39.751730000000002</v>
      </c>
      <c r="G252" s="227">
        <f>rh_t1!H62</f>
        <v>39.683219999999999</v>
      </c>
      <c r="H252" s="227">
        <f>rh_t1!I62</f>
        <v>39.707880000000003</v>
      </c>
      <c r="I252" s="227">
        <f>rh_t1!J62</f>
        <v>39.503399999999999</v>
      </c>
      <c r="J252" s="227">
        <f>rh_t1!K62</f>
        <v>39.850299999999997</v>
      </c>
      <c r="K252" s="227">
        <f>rh_t1!L62</f>
        <v>39.760135555555557</v>
      </c>
      <c r="L252" s="227">
        <f>rh_t1!M62</f>
        <v>0.13666937616103597</v>
      </c>
    </row>
    <row r="253" spans="1:12" s="292" customFormat="1" ht="15" hidden="1" customHeight="1" x14ac:dyDescent="0.2">
      <c r="A253" s="226">
        <v>14</v>
      </c>
      <c r="B253" s="227">
        <f>rh_t1!C63</f>
        <v>39.679380000000002</v>
      </c>
      <c r="C253" s="227">
        <f>rh_t1!D63</f>
        <v>39.882129999999997</v>
      </c>
      <c r="D253" s="227">
        <f>rh_t1!E63</f>
        <v>39.786169999999998</v>
      </c>
      <c r="E253" s="227">
        <f>rh_t1!F63</f>
        <v>40.019390000000001</v>
      </c>
      <c r="F253" s="227">
        <f>rh_t1!G63</f>
        <v>39.765659999999997</v>
      </c>
      <c r="G253" s="227">
        <f>rh_t1!H63</f>
        <v>39.692070000000001</v>
      </c>
      <c r="H253" s="227">
        <f>rh_t1!I63</f>
        <v>39.714840000000002</v>
      </c>
      <c r="I253" s="227">
        <f>rh_t1!J63</f>
        <v>39.509169999999997</v>
      </c>
      <c r="J253" s="227">
        <f>rh_t1!K63</f>
        <v>39.852939999999997</v>
      </c>
      <c r="K253" s="227">
        <f>rh_t1!L63</f>
        <v>39.766861111111112</v>
      </c>
      <c r="L253" s="227">
        <f>rh_t1!M63</f>
        <v>0.13629998259105158</v>
      </c>
    </row>
    <row r="254" spans="1:12" s="292" customFormat="1" ht="15" hidden="1" customHeight="1" x14ac:dyDescent="0.2">
      <c r="A254" s="226">
        <v>15</v>
      </c>
      <c r="B254" s="227">
        <f>rh_t1!C64</f>
        <v>39.685670000000002</v>
      </c>
      <c r="C254" s="227">
        <f>rh_t1!D64</f>
        <v>39.887729999999998</v>
      </c>
      <c r="D254" s="227">
        <f>rh_t1!E64</f>
        <v>39.790019999999998</v>
      </c>
      <c r="E254" s="227">
        <f>rh_t1!F64</f>
        <v>40.023159999999997</v>
      </c>
      <c r="F254" s="227">
        <f>rh_t1!G64</f>
        <v>39.777250000000002</v>
      </c>
      <c r="G254" s="227">
        <f>rh_t1!H64</f>
        <v>39.698569999999997</v>
      </c>
      <c r="H254" s="227">
        <f>rh_t1!I64</f>
        <v>39.720739999999999</v>
      </c>
      <c r="I254" s="227">
        <f>rh_t1!J64</f>
        <v>39.514740000000003</v>
      </c>
      <c r="J254" s="227">
        <f>rh_t1!K64</f>
        <v>39.85839</v>
      </c>
      <c r="K254" s="227">
        <f>rh_t1!L64</f>
        <v>39.772918888888881</v>
      </c>
      <c r="L254" s="227">
        <f>rh_t1!M64</f>
        <v>0.13578488841173481</v>
      </c>
    </row>
    <row r="255" spans="1:12" s="292" customFormat="1" ht="15" hidden="1" customHeight="1" x14ac:dyDescent="0.2">
      <c r="A255" s="226">
        <v>16</v>
      </c>
      <c r="B255" s="227">
        <f>rh_t1!C65</f>
        <v>39.681669999999997</v>
      </c>
      <c r="C255" s="227">
        <f>rh_t1!D65</f>
        <v>39.880740000000003</v>
      </c>
      <c r="D255" s="227">
        <f>rh_t1!E65</f>
        <v>39.79419</v>
      </c>
      <c r="E255" s="227">
        <f>rh_t1!F65</f>
        <v>40.025069999999999</v>
      </c>
      <c r="F255" s="227">
        <f>rh_t1!G65</f>
        <v>39.771419999999999</v>
      </c>
      <c r="G255" s="227">
        <f>rh_t1!H65</f>
        <v>39.694389999999999</v>
      </c>
      <c r="H255" s="227">
        <f>rh_t1!I65</f>
        <v>39.715299999999999</v>
      </c>
      <c r="I255" s="227">
        <f>rh_t1!J65</f>
        <v>39.513689999999997</v>
      </c>
      <c r="J255" s="227">
        <f>rh_t1!K65</f>
        <v>39.852800000000002</v>
      </c>
      <c r="K255" s="227">
        <f>rh_t1!L65</f>
        <v>39.769918888888888</v>
      </c>
      <c r="L255" s="227">
        <f>rh_t1!M65</f>
        <v>0.13620775507734584</v>
      </c>
    </row>
    <row r="256" spans="1:12" s="292" customFormat="1" ht="15" hidden="1" customHeight="1" x14ac:dyDescent="0.2">
      <c r="A256" s="226">
        <v>17</v>
      </c>
      <c r="B256" s="227">
        <f>rh_t1!C66</f>
        <v>39.673409999999997</v>
      </c>
      <c r="C256" s="227">
        <f>rh_t1!D66</f>
        <v>39.872459999999997</v>
      </c>
      <c r="D256" s="227">
        <f>rh_t1!E66</f>
        <v>39.790950000000002</v>
      </c>
      <c r="E256" s="227">
        <f>rh_t1!F66</f>
        <v>40.015439999999998</v>
      </c>
      <c r="F256" s="227">
        <f>rh_t1!G66</f>
        <v>39.759450000000001</v>
      </c>
      <c r="G256" s="227">
        <f>rh_t1!H66</f>
        <v>39.679920000000003</v>
      </c>
      <c r="H256" s="227">
        <f>rh_t1!I66</f>
        <v>39.70608</v>
      </c>
      <c r="I256" s="227">
        <f>rh_t1!J66</f>
        <v>39.50656</v>
      </c>
      <c r="J256" s="227">
        <f>rh_t1!K66</f>
        <v>39.844329999999999</v>
      </c>
      <c r="K256" s="227">
        <f>rh_t1!L66</f>
        <v>39.760955555555562</v>
      </c>
      <c r="L256" s="227">
        <f>rh_t1!M66</f>
        <v>0.1362221289831104</v>
      </c>
    </row>
    <row r="257" spans="1:12" s="292" customFormat="1" ht="15" hidden="1" customHeight="1" x14ac:dyDescent="0.2">
      <c r="A257" s="226">
        <v>18</v>
      </c>
      <c r="B257" s="227">
        <f>rh_t1!C67</f>
        <v>39.670250000000003</v>
      </c>
      <c r="C257" s="227">
        <f>rh_t1!D67</f>
        <v>39.873289999999997</v>
      </c>
      <c r="D257" s="227">
        <f>rh_t1!E67</f>
        <v>39.785769999999999</v>
      </c>
      <c r="E257" s="227">
        <f>rh_t1!F67</f>
        <v>40.01155</v>
      </c>
      <c r="F257" s="227">
        <f>rh_t1!G67</f>
        <v>39.754710000000003</v>
      </c>
      <c r="G257" s="227">
        <f>rh_t1!H67</f>
        <v>39.675379999999997</v>
      </c>
      <c r="H257" s="227">
        <f>rh_t1!I67</f>
        <v>39.701970000000003</v>
      </c>
      <c r="I257" s="227">
        <f>rh_t1!J67</f>
        <v>39.504600000000003</v>
      </c>
      <c r="J257" s="227">
        <f>rh_t1!K67</f>
        <v>39.842559999999999</v>
      </c>
      <c r="K257" s="227">
        <f>rh_t1!L67</f>
        <v>39.757786666666661</v>
      </c>
      <c r="L257" s="227">
        <f>rh_t1!M67</f>
        <v>0.13637709786552094</v>
      </c>
    </row>
    <row r="258" spans="1:12" s="292" customFormat="1" ht="15" hidden="1" customHeight="1" x14ac:dyDescent="0.2">
      <c r="A258" s="226">
        <v>19</v>
      </c>
      <c r="B258" s="227">
        <f>rh_t1!C68</f>
        <v>39.667119999999997</v>
      </c>
      <c r="C258" s="227">
        <f>rh_t1!D68</f>
        <v>39.872369999999997</v>
      </c>
      <c r="D258" s="227">
        <f>rh_t1!E68</f>
        <v>39.78389</v>
      </c>
      <c r="E258" s="227">
        <f>rh_t1!F68</f>
        <v>40.010440000000003</v>
      </c>
      <c r="F258" s="227">
        <f>rh_t1!G68</f>
        <v>39.748690000000003</v>
      </c>
      <c r="G258" s="227">
        <f>rh_t1!H68</f>
        <v>39.672580000000004</v>
      </c>
      <c r="H258" s="227">
        <f>rh_t1!I68</f>
        <v>39.697719999999997</v>
      </c>
      <c r="I258" s="227">
        <f>rh_t1!J68</f>
        <v>39.501080000000002</v>
      </c>
      <c r="J258" s="227">
        <f>rh_t1!K68</f>
        <v>39.840000000000003</v>
      </c>
      <c r="K258" s="227">
        <f>rh_t1!L68</f>
        <v>39.754876666666668</v>
      </c>
      <c r="L258" s="227">
        <f>rh_t1!M68</f>
        <v>0.1371928640029553</v>
      </c>
    </row>
    <row r="259" spans="1:12" s="292" customFormat="1" ht="15" hidden="1" customHeight="1" x14ac:dyDescent="0.2">
      <c r="A259" s="226">
        <v>20</v>
      </c>
      <c r="B259" s="227">
        <f>rh_t1!C69</f>
        <v>39.66769</v>
      </c>
      <c r="C259" s="227">
        <f>rh_t1!D69</f>
        <v>39.874899999999997</v>
      </c>
      <c r="D259" s="227">
        <f>rh_t1!E69</f>
        <v>39.782359999999997</v>
      </c>
      <c r="E259" s="227">
        <f>rh_t1!F69</f>
        <v>40.009099999999997</v>
      </c>
      <c r="F259" s="227">
        <f>rh_t1!G69</f>
        <v>39.748049999999999</v>
      </c>
      <c r="G259" s="227">
        <f>rh_t1!H69</f>
        <v>39.673189999999998</v>
      </c>
      <c r="H259" s="227">
        <f>rh_t1!I69</f>
        <v>39.700319999999998</v>
      </c>
      <c r="I259" s="227">
        <f>rh_t1!J69</f>
        <v>39.499250000000004</v>
      </c>
      <c r="J259" s="227">
        <f>rh_t1!K69</f>
        <v>39.841769999999997</v>
      </c>
      <c r="K259" s="227">
        <f>rh_t1!L69</f>
        <v>39.755181111111114</v>
      </c>
      <c r="L259" s="227">
        <f>rh_t1!M69</f>
        <v>0.13742970198488319</v>
      </c>
    </row>
    <row r="260" spans="1:12" s="292" customFormat="1" ht="15" hidden="1" customHeight="1" x14ac:dyDescent="0.2">
      <c r="A260" s="226">
        <v>21</v>
      </c>
      <c r="B260" s="227">
        <f>rh_t1!C70</f>
        <v>39.669029999999999</v>
      </c>
      <c r="C260" s="227">
        <f>rh_t1!D70</f>
        <v>39.877400000000002</v>
      </c>
      <c r="D260" s="227">
        <f>rh_t1!E70</f>
        <v>39.785339999999998</v>
      </c>
      <c r="E260" s="227">
        <f>rh_t1!F70</f>
        <v>40.014420000000001</v>
      </c>
      <c r="F260" s="227">
        <f>rh_t1!G70</f>
        <v>39.751710000000003</v>
      </c>
      <c r="G260" s="227">
        <f>rh_t1!H70</f>
        <v>39.678870000000003</v>
      </c>
      <c r="H260" s="227">
        <f>rh_t1!I70</f>
        <v>39.704700000000003</v>
      </c>
      <c r="I260" s="227">
        <f>rh_t1!J70</f>
        <v>39.502099999999999</v>
      </c>
      <c r="J260" s="227">
        <f>rh_t1!K70</f>
        <v>39.843150000000001</v>
      </c>
      <c r="K260" s="227">
        <f>rh_t1!L70</f>
        <v>39.75852444444444</v>
      </c>
      <c r="L260" s="227">
        <f>rh_t1!M70</f>
        <v>0.13765721558447</v>
      </c>
    </row>
    <row r="261" spans="1:12" s="292" customFormat="1" ht="15" hidden="1" customHeight="1" x14ac:dyDescent="0.2">
      <c r="A261" s="226">
        <v>22</v>
      </c>
      <c r="B261" s="227">
        <f>rh_t1!C71</f>
        <v>39.673070000000003</v>
      </c>
      <c r="C261" s="227">
        <f>rh_t1!D71</f>
        <v>39.87697</v>
      </c>
      <c r="D261" s="227">
        <f>rh_t1!E71</f>
        <v>39.786009999999997</v>
      </c>
      <c r="E261" s="227">
        <f>rh_t1!F71</f>
        <v>40.016959999999997</v>
      </c>
      <c r="F261" s="227">
        <f>rh_t1!G71</f>
        <v>39.753419999999998</v>
      </c>
      <c r="G261" s="227">
        <f>rh_t1!H71</f>
        <v>39.681080000000001</v>
      </c>
      <c r="H261" s="227">
        <f>rh_t1!I71</f>
        <v>39.706699999999998</v>
      </c>
      <c r="I261" s="227">
        <f>rh_t1!J71</f>
        <v>39.503979999999999</v>
      </c>
      <c r="J261" s="227">
        <f>rh_t1!K71</f>
        <v>39.843600000000002</v>
      </c>
      <c r="K261" s="227">
        <f>rh_t1!L71</f>
        <v>39.760198888888887</v>
      </c>
      <c r="L261" s="227">
        <f>rh_t1!M71</f>
        <v>0.13727149282793491</v>
      </c>
    </row>
    <row r="262" spans="1:12" s="292" customFormat="1" ht="15" hidden="1" customHeight="1" x14ac:dyDescent="0.2">
      <c r="A262" s="226">
        <v>23</v>
      </c>
      <c r="B262" s="227">
        <f>rh_t1!C72</f>
        <v>39.671390000000002</v>
      </c>
      <c r="C262" s="227">
        <f>rh_t1!D72</f>
        <v>39.872329999999998</v>
      </c>
      <c r="D262" s="227">
        <f>rh_t1!E72</f>
        <v>39.788319999999999</v>
      </c>
      <c r="E262" s="227">
        <f>rh_t1!F72</f>
        <v>40.016930000000002</v>
      </c>
      <c r="F262" s="227">
        <f>rh_t1!G72</f>
        <v>39.753369999999997</v>
      </c>
      <c r="G262" s="227">
        <f>rh_t1!H72</f>
        <v>39.680320000000002</v>
      </c>
      <c r="H262" s="227">
        <f>rh_t1!I72</f>
        <v>39.705919999999999</v>
      </c>
      <c r="I262" s="227">
        <f>rh_t1!J72</f>
        <v>39.504440000000002</v>
      </c>
      <c r="J262" s="227">
        <f>rh_t1!K72</f>
        <v>39.842750000000002</v>
      </c>
      <c r="K262" s="227">
        <f>rh_t1!L72</f>
        <v>39.759530000000005</v>
      </c>
      <c r="L262" s="227">
        <f>rh_t1!M72</f>
        <v>0.13693421048079951</v>
      </c>
    </row>
    <row r="263" spans="1:12" s="292" customFormat="1" ht="15" hidden="1" customHeight="1" x14ac:dyDescent="0.2">
      <c r="A263" s="226">
        <v>24</v>
      </c>
      <c r="B263" s="227">
        <f>rh_t1!C73</f>
        <v>39.676960000000001</v>
      </c>
      <c r="C263" s="227">
        <f>rh_t1!D73</f>
        <v>39.880710000000001</v>
      </c>
      <c r="D263" s="227">
        <f>rh_t1!E73</f>
        <v>39.786630000000002</v>
      </c>
      <c r="E263" s="227">
        <f>rh_t1!F73</f>
        <v>40.013840000000002</v>
      </c>
      <c r="F263" s="227">
        <f>rh_t1!G73</f>
        <v>39.754100000000001</v>
      </c>
      <c r="G263" s="227">
        <f>rh_t1!H73</f>
        <v>39.67653</v>
      </c>
      <c r="H263" s="227">
        <f>rh_t1!I73</f>
        <v>39.706960000000002</v>
      </c>
      <c r="I263" s="227">
        <f>rh_t1!J73</f>
        <v>39.50667</v>
      </c>
      <c r="J263" s="227">
        <f>rh_t1!K73</f>
        <v>39.8461</v>
      </c>
      <c r="K263" s="227">
        <f>rh_t1!L73</f>
        <v>39.760944444444441</v>
      </c>
      <c r="L263" s="227">
        <f>rh_t1!M73</f>
        <v>0.13662886136546989</v>
      </c>
    </row>
    <row r="264" spans="1:12" s="292" customFormat="1" ht="15" hidden="1" customHeight="1" x14ac:dyDescent="0.2">
      <c r="A264" s="226">
        <v>25</v>
      </c>
      <c r="B264" s="227">
        <f>rh_t1!C74</f>
        <v>39.684930000000001</v>
      </c>
      <c r="C264" s="227">
        <f>rh_t1!D74</f>
        <v>39.885010000000001</v>
      </c>
      <c r="D264" s="227">
        <f>rh_t1!E74</f>
        <v>39.790599999999998</v>
      </c>
      <c r="E264" s="227">
        <f>rh_t1!F74</f>
        <v>40.020659999999999</v>
      </c>
      <c r="F264" s="227">
        <f>rh_t1!G74</f>
        <v>39.767859999999999</v>
      </c>
      <c r="G264" s="227">
        <f>rh_t1!H74</f>
        <v>39.687130000000003</v>
      </c>
      <c r="H264" s="227">
        <f>rh_t1!I74</f>
        <v>39.716189999999997</v>
      </c>
      <c r="I264" s="227">
        <f>rh_t1!J74</f>
        <v>39.513019999999997</v>
      </c>
      <c r="J264" s="227">
        <f>rh_t1!K74</f>
        <v>39.852849999999997</v>
      </c>
      <c r="K264" s="227">
        <f>rh_t1!L74</f>
        <v>39.768694444444442</v>
      </c>
      <c r="L264" s="227">
        <f>rh_t1!M74</f>
        <v>0.1359632449607133</v>
      </c>
    </row>
    <row r="265" spans="1:12" s="292" customFormat="1" ht="15" hidden="1" customHeight="1" x14ac:dyDescent="0.2">
      <c r="A265" s="226">
        <v>26</v>
      </c>
      <c r="B265" s="227">
        <f>rh_t1!C75</f>
        <v>39.686160000000001</v>
      </c>
      <c r="C265" s="227">
        <f>rh_t1!D75</f>
        <v>39.878369999999997</v>
      </c>
      <c r="D265" s="227">
        <f>rh_t1!E75</f>
        <v>39.797249999999998</v>
      </c>
      <c r="E265" s="227">
        <f>rh_t1!F75</f>
        <v>40.025419999999997</v>
      </c>
      <c r="F265" s="227">
        <f>rh_t1!G75</f>
        <v>39.774799999999999</v>
      </c>
      <c r="G265" s="227">
        <f>rh_t1!H75</f>
        <v>39.690460000000002</v>
      </c>
      <c r="H265" s="227">
        <f>rh_t1!I75</f>
        <v>39.718690000000002</v>
      </c>
      <c r="I265" s="227">
        <f>rh_t1!J75</f>
        <v>39.514679999999998</v>
      </c>
      <c r="J265" s="227">
        <f>rh_t1!K75</f>
        <v>39.8521</v>
      </c>
      <c r="K265" s="227">
        <f>rh_t1!L75</f>
        <v>39.770881111111109</v>
      </c>
      <c r="L265" s="227">
        <f>rh_t1!M75</f>
        <v>0.13567085754742642</v>
      </c>
    </row>
    <row r="266" spans="1:12" s="292" customFormat="1" ht="15" hidden="1" customHeight="1" x14ac:dyDescent="0.2">
      <c r="A266" s="226">
        <v>27</v>
      </c>
      <c r="B266" s="227">
        <f>rh_t1!C76</f>
        <v>39.682899999999997</v>
      </c>
      <c r="C266" s="227">
        <f>rh_t1!D76</f>
        <v>39.872590000000002</v>
      </c>
      <c r="D266" s="227">
        <f>rh_t1!E76</f>
        <v>39.797280000000001</v>
      </c>
      <c r="E266" s="227">
        <f>rh_t1!F76</f>
        <v>40.023069999999997</v>
      </c>
      <c r="F266" s="227">
        <f>rh_t1!G76</f>
        <v>39.769970000000001</v>
      </c>
      <c r="G266" s="227">
        <f>rh_t1!H76</f>
        <v>39.685459999999999</v>
      </c>
      <c r="H266" s="227">
        <f>rh_t1!I76</f>
        <v>39.716610000000003</v>
      </c>
      <c r="I266" s="227">
        <f>rh_t1!J76</f>
        <v>39.513420000000004</v>
      </c>
      <c r="J266" s="227">
        <f>rh_t1!K76</f>
        <v>39.850700000000003</v>
      </c>
      <c r="K266" s="227">
        <f>rh_t1!L76</f>
        <v>39.768000000000001</v>
      </c>
      <c r="L266" s="227">
        <f>rh_t1!M76</f>
        <v>0.13548555987016897</v>
      </c>
    </row>
    <row r="267" spans="1:12" s="292" customFormat="1" ht="15" hidden="1" customHeight="1" x14ac:dyDescent="0.2">
      <c r="A267" s="226">
        <v>28</v>
      </c>
      <c r="B267" s="227">
        <f>rh_t1!C77</f>
        <v>39.677500000000002</v>
      </c>
      <c r="C267" s="227">
        <f>rh_t1!D77</f>
        <v>39.868070000000003</v>
      </c>
      <c r="D267" s="227">
        <f>rh_t1!E77</f>
        <v>39.797080000000001</v>
      </c>
      <c r="E267" s="227">
        <f>rh_t1!F77</f>
        <v>40.018590000000003</v>
      </c>
      <c r="F267" s="227">
        <f>rh_t1!G77</f>
        <v>39.763269999999999</v>
      </c>
      <c r="G267" s="227">
        <f>rh_t1!H77</f>
        <v>39.681150000000002</v>
      </c>
      <c r="H267" s="227">
        <f>rh_t1!I77</f>
        <v>39.711239999999997</v>
      </c>
      <c r="I267" s="227">
        <f>rh_t1!J77</f>
        <v>39.509059999999998</v>
      </c>
      <c r="J267" s="227">
        <f>rh_t1!K77</f>
        <v>39.846429999999998</v>
      </c>
      <c r="K267" s="227">
        <f>rh_t1!L77</f>
        <v>39.763598888888886</v>
      </c>
      <c r="L267" s="227">
        <f>rh_t1!M77</f>
        <v>0.13567080374072607</v>
      </c>
    </row>
    <row r="268" spans="1:12" s="292" customFormat="1" ht="15" hidden="1" customHeight="1" x14ac:dyDescent="0.2">
      <c r="A268" s="226">
        <v>29</v>
      </c>
      <c r="B268" s="227">
        <f>rh_t1!C78</f>
        <v>39.680079999999997</v>
      </c>
      <c r="C268" s="227">
        <f>rh_t1!D78</f>
        <v>39.873420000000003</v>
      </c>
      <c r="D268" s="227">
        <f>rh_t1!E78</f>
        <v>39.793869999999998</v>
      </c>
      <c r="E268" s="227">
        <f>rh_t1!F78</f>
        <v>40.016039999999997</v>
      </c>
      <c r="F268" s="227">
        <f>rh_t1!G78</f>
        <v>39.759990000000002</v>
      </c>
      <c r="G268" s="227">
        <f>rh_t1!H78</f>
        <v>39.685540000000003</v>
      </c>
      <c r="H268" s="227">
        <f>rh_t1!I78</f>
        <v>39.71275</v>
      </c>
      <c r="I268" s="227">
        <f>rh_t1!J78</f>
        <v>39.51108</v>
      </c>
      <c r="J268" s="227">
        <f>rh_t1!K78</f>
        <v>39.850700000000003</v>
      </c>
      <c r="K268" s="227">
        <f>rh_t1!L78</f>
        <v>39.764830000000003</v>
      </c>
      <c r="L268" s="227">
        <f>rh_t1!M78</f>
        <v>0.13487010697539881</v>
      </c>
    </row>
    <row r="269" spans="1:12" s="292" customFormat="1" ht="15" hidden="1" customHeight="1" x14ac:dyDescent="0.2">
      <c r="A269" s="226">
        <v>30</v>
      </c>
      <c r="B269" s="227">
        <f>rh_t1!C79</f>
        <v>39.675669999999997</v>
      </c>
      <c r="C269" s="227">
        <f>rh_t1!D79</f>
        <v>39.868630000000003</v>
      </c>
      <c r="D269" s="227">
        <f>rh_t1!E79</f>
        <v>39.795090000000002</v>
      </c>
      <c r="E269" s="227">
        <f>rh_t1!F79</f>
        <v>40.020099999999999</v>
      </c>
      <c r="F269" s="227">
        <f>rh_t1!G79</f>
        <v>39.757759999999998</v>
      </c>
      <c r="G269" s="227">
        <f>rh_t1!H79</f>
        <v>39.680669999999999</v>
      </c>
      <c r="H269" s="227">
        <f>rh_t1!I79</f>
        <v>39.707369999999997</v>
      </c>
      <c r="I269" s="227">
        <f>rh_t1!J79</f>
        <v>39.506990000000002</v>
      </c>
      <c r="J269" s="227">
        <f>rh_t1!K79</f>
        <v>39.846429999999998</v>
      </c>
      <c r="K269" s="227">
        <f>rh_t1!L79</f>
        <v>39.76207888888888</v>
      </c>
      <c r="L269" s="227">
        <f>rh_t1!M79</f>
        <v>0.13675153311709731</v>
      </c>
    </row>
    <row r="270" spans="1:12" s="292" customFormat="1" ht="15" hidden="1" customHeight="1" x14ac:dyDescent="0.35">
      <c r="A270" s="228" t="s">
        <v>40</v>
      </c>
      <c r="B270" s="227">
        <f>rh_t1!C80</f>
        <v>39.676076333333334</v>
      </c>
      <c r="C270" s="227">
        <f>rh_t1!D80</f>
        <v>39.875966666666663</v>
      </c>
      <c r="D270" s="227">
        <f>rh_t1!E80</f>
        <v>39.789037666666673</v>
      </c>
      <c r="E270" s="227">
        <f>rh_t1!F80</f>
        <v>40.016750666666667</v>
      </c>
      <c r="F270" s="227">
        <f>rh_t1!G80</f>
        <v>39.762699000000005</v>
      </c>
      <c r="G270" s="227">
        <f>rh_t1!H80</f>
        <v>39.68454899999999</v>
      </c>
      <c r="H270" s="227">
        <f>rh_t1!I80</f>
        <v>39.710426333333331</v>
      </c>
      <c r="I270" s="227">
        <f>rh_t1!J80</f>
        <v>39.507469666666672</v>
      </c>
      <c r="J270" s="227">
        <f>rh_t1!K80</f>
        <v>39.848401333333335</v>
      </c>
      <c r="K270" s="137"/>
      <c r="L270" s="137"/>
    </row>
    <row r="271" spans="1:12" s="292" customFormat="1" ht="15" hidden="1" customHeight="1" x14ac:dyDescent="0.35">
      <c r="A271" s="228" t="s">
        <v>39</v>
      </c>
      <c r="B271" s="227">
        <f>rh_t1!C81</f>
        <v>5.9635942648336611E-3</v>
      </c>
      <c r="C271" s="227">
        <f>rh_t1!D81</f>
        <v>5.596957109795157E-3</v>
      </c>
      <c r="D271" s="227">
        <f>rh_t1!E81</f>
        <v>5.3771347285419199E-3</v>
      </c>
      <c r="E271" s="227">
        <f>rh_t1!F81</f>
        <v>5.8353891234617606E-3</v>
      </c>
      <c r="F271" s="227">
        <f>rh_t1!G81</f>
        <v>9.2428604338699646E-3</v>
      </c>
      <c r="G271" s="227">
        <f>rh_t1!H81</f>
        <v>7.0839185719015815E-3</v>
      </c>
      <c r="H271" s="227">
        <f>rh_t1!I81</f>
        <v>6.8364105997876399E-3</v>
      </c>
      <c r="I271" s="227">
        <f>rh_t1!J81</f>
        <v>5.0272792398626783E-3</v>
      </c>
      <c r="J271" s="227">
        <f>rh_t1!K81</f>
        <v>5.2996941630834736E-3</v>
      </c>
      <c r="K271" s="294"/>
      <c r="L271" s="294"/>
    </row>
    <row r="272" spans="1:12" s="292" customFormat="1" ht="15" hidden="1" customHeight="1" x14ac:dyDescent="0.35">
      <c r="A272" s="228" t="s">
        <v>52</v>
      </c>
      <c r="B272" s="227">
        <f>rh_t1!C82</f>
        <v>1.3953666666665754E-2</v>
      </c>
      <c r="C272" s="227">
        <f>rh_t1!D82</f>
        <v>1.4093333333335067E-2</v>
      </c>
      <c r="D272" s="227">
        <f>rh_t1!E82</f>
        <v>1.1902333333324577E-2</v>
      </c>
      <c r="E272" s="227">
        <f>rh_t1!F82</f>
        <v>1.3219333333331917E-2</v>
      </c>
      <c r="F272" s="227">
        <f>rh_t1!G82</f>
        <v>2.3900999999995065E-2</v>
      </c>
      <c r="G272" s="227">
        <f>rh_t1!H82</f>
        <v>1.8221000000011145E-2</v>
      </c>
      <c r="H272" s="227">
        <f>rh_t1!I82</f>
        <v>1.8433666666666682E-2</v>
      </c>
      <c r="I272" s="227">
        <f>rh_t1!J82</f>
        <v>1.2190333333329306E-2</v>
      </c>
      <c r="J272" s="227">
        <f>rh_t1!K82</f>
        <v>1.5558666666663612E-2</v>
      </c>
      <c r="K272" s="421"/>
      <c r="L272" s="416"/>
    </row>
    <row r="273" spans="1:12" s="292" customFormat="1" ht="15" hidden="1" customHeight="1" x14ac:dyDescent="0.35">
      <c r="A273" s="228" t="s">
        <v>51</v>
      </c>
      <c r="B273" s="227">
        <f>rh_t1!C83</f>
        <v>8.9563333333373407E-3</v>
      </c>
      <c r="C273" s="227">
        <f>rh_t1!D83</f>
        <v>7.8966666666602237E-3</v>
      </c>
      <c r="D273" s="227">
        <f>rh_t1!E83</f>
        <v>8.7276666666724623E-3</v>
      </c>
      <c r="E273" s="227">
        <f>rh_t1!F83</f>
        <v>1.1280666666664274E-2</v>
      </c>
      <c r="F273" s="227">
        <f>rh_t1!G83</f>
        <v>1.4649000000005685E-2</v>
      </c>
      <c r="G273" s="227">
        <f>rh_t1!H83</f>
        <v>1.1968999999986352E-2</v>
      </c>
      <c r="H273" s="227">
        <f>rh_t1!I83</f>
        <v>1.270633333333393E-2</v>
      </c>
      <c r="I273" s="227">
        <f>rh_t1!J83</f>
        <v>8.2196666666689566E-3</v>
      </c>
      <c r="J273" s="227">
        <f>rh_t1!K83</f>
        <v>8.4013333333317064E-3</v>
      </c>
      <c r="K273" s="421"/>
      <c r="L273" s="416"/>
    </row>
    <row r="274" spans="1:12" s="292" customFormat="1" ht="15" hidden="1" customHeight="1" x14ac:dyDescent="0.35">
      <c r="A274" s="229" t="s">
        <v>44</v>
      </c>
      <c r="B274" s="227">
        <f>rh_t1!C84</f>
        <v>1.1455000000001547E-2</v>
      </c>
      <c r="C274" s="227">
        <f>rh_t1!D84</f>
        <v>1.0994999999997646E-2</v>
      </c>
      <c r="D274" s="227">
        <f>rh_t1!E84</f>
        <v>1.031499999999852E-2</v>
      </c>
      <c r="E274" s="227">
        <f>rh_t1!F84</f>
        <v>1.2249999999998096E-2</v>
      </c>
      <c r="F274" s="227">
        <f>rh_t1!G84</f>
        <v>1.9275000000000375E-2</v>
      </c>
      <c r="G274" s="227">
        <f>rh_t1!H84</f>
        <v>1.5094999999998748E-2</v>
      </c>
      <c r="H274" s="227">
        <f>rh_t1!I84</f>
        <v>1.5570000000000306E-2</v>
      </c>
      <c r="I274" s="227">
        <f>rh_t1!J84</f>
        <v>1.0204999999999131E-2</v>
      </c>
      <c r="J274" s="227">
        <f>rh_t1!K84</f>
        <v>1.1979999999997659E-2</v>
      </c>
      <c r="K274" s="421"/>
      <c r="L274" s="416"/>
    </row>
    <row r="275" spans="1:12" s="292" customFormat="1" ht="15" hidden="1" customHeight="1" x14ac:dyDescent="0.35">
      <c r="A275" s="230" t="s">
        <v>43</v>
      </c>
      <c r="B275" s="227">
        <f>rh_t1!C85</f>
        <v>-8.6622666666670511E-2</v>
      </c>
      <c r="C275" s="227">
        <f>rh_t1!D85</f>
        <v>0.11326766666665833</v>
      </c>
      <c r="D275" s="227">
        <f>rh_t1!E85</f>
        <v>2.6338666666667621E-2</v>
      </c>
      <c r="E275" s="227">
        <f>rh_t1!F85</f>
        <v>0.2540516666666619</v>
      </c>
      <c r="F275" s="227">
        <f>rh_t1!G85</f>
        <v>0</v>
      </c>
      <c r="G275" s="227">
        <f>rh_t1!H85</f>
        <v>-7.8150000000015041E-2</v>
      </c>
      <c r="H275" s="227">
        <f>rh_t1!I85</f>
        <v>-5.2272666666674183E-2</v>
      </c>
      <c r="I275" s="227">
        <f>rh_t1!J85</f>
        <v>-0.25522933333333242</v>
      </c>
      <c r="J275" s="227">
        <f>rh_t1!K85</f>
        <v>8.5702333333330216E-2</v>
      </c>
      <c r="K275" s="139"/>
      <c r="L275" s="139"/>
    </row>
    <row r="276" spans="1:12" s="292" customFormat="1" ht="15" hidden="1" customHeight="1" x14ac:dyDescent="0.35">
      <c r="A276" s="231" t="s">
        <v>95</v>
      </c>
      <c r="B276" s="282">
        <f>rh_t1!C87</f>
        <v>39.763486296296307</v>
      </c>
      <c r="C276" s="139"/>
      <c r="D276" s="139"/>
      <c r="E276" s="139"/>
      <c r="F276" s="139"/>
      <c r="G276" s="139"/>
      <c r="H276" s="139"/>
      <c r="I276" s="139"/>
      <c r="J276" s="139"/>
      <c r="K276" s="139"/>
      <c r="L276" s="139"/>
    </row>
    <row r="277" spans="1:12" s="292" customFormat="1" ht="15" hidden="1" customHeight="1" x14ac:dyDescent="0.35">
      <c r="A277" s="233" t="s">
        <v>47</v>
      </c>
      <c r="B277" s="232">
        <f>rh_t1!C88</f>
        <v>-0.23651370370369307</v>
      </c>
      <c r="C277" s="139"/>
      <c r="D277" s="139"/>
      <c r="E277" s="139"/>
      <c r="F277" s="139"/>
      <c r="G277" s="139"/>
      <c r="H277" s="139"/>
      <c r="I277" s="139"/>
      <c r="J277" s="139"/>
      <c r="K277" s="139"/>
      <c r="L277" s="139"/>
    </row>
    <row r="278" spans="1:12" s="292" customFormat="1" ht="15" hidden="1" customHeight="1" x14ac:dyDescent="0.35">
      <c r="A278" s="233" t="s">
        <v>270</v>
      </c>
      <c r="B278" s="232">
        <f>rh_t1!C93</f>
        <v>0.13632305115662899</v>
      </c>
      <c r="C278" s="139"/>
      <c r="D278" s="139"/>
      <c r="E278" s="139"/>
      <c r="F278" s="139"/>
      <c r="G278" s="139"/>
      <c r="H278" s="139"/>
      <c r="I278" s="139"/>
      <c r="J278" s="139"/>
      <c r="K278" s="139"/>
      <c r="L278" s="139"/>
    </row>
    <row r="279" spans="1:12" s="292" customFormat="1" ht="15" hidden="1" customHeight="1" x14ac:dyDescent="0.35">
      <c r="A279" s="241" t="s">
        <v>48</v>
      </c>
      <c r="B279" s="232">
        <f>rh_t1!C89</f>
        <v>0.50928099999999432</v>
      </c>
      <c r="C279" s="139"/>
      <c r="D279" s="139"/>
      <c r="E279" s="139"/>
      <c r="F279" s="139"/>
      <c r="G279" s="139"/>
      <c r="H279" s="139"/>
      <c r="I279" s="139"/>
      <c r="J279" s="139"/>
      <c r="K279" s="139"/>
      <c r="L279" s="139"/>
    </row>
    <row r="280" spans="1:12" s="292" customFormat="1" ht="15" hidden="1" customHeight="1" x14ac:dyDescent="0.35">
      <c r="A280" s="241" t="s">
        <v>49</v>
      </c>
      <c r="B280" s="240">
        <f>rh_t1!C90</f>
        <v>0.2540516666666619</v>
      </c>
      <c r="C280" s="139"/>
      <c r="D280" s="139"/>
      <c r="E280" s="139"/>
      <c r="F280" s="139"/>
      <c r="G280" s="139"/>
      <c r="H280" s="139"/>
      <c r="I280" s="139"/>
      <c r="J280" s="139"/>
      <c r="K280" s="139"/>
      <c r="L280" s="139"/>
    </row>
    <row r="281" spans="1:12" s="292" customFormat="1" ht="15" hidden="1" customHeight="1" x14ac:dyDescent="0.2">
      <c r="A281" s="242"/>
      <c r="B281" s="240">
        <f>rh_t1!C91</f>
        <v>-0.25522933333333242</v>
      </c>
      <c r="C281" s="140"/>
      <c r="D281" s="139"/>
      <c r="E281" s="139"/>
      <c r="F281" s="139"/>
      <c r="G281" s="139"/>
      <c r="H281" s="139"/>
      <c r="I281" s="139"/>
      <c r="J281" s="139"/>
      <c r="K281" s="139"/>
      <c r="L281" s="139"/>
    </row>
    <row r="282" spans="1:12" s="292" customFormat="1" ht="18.75" hidden="1" x14ac:dyDescent="0.35">
      <c r="A282" s="242" t="s">
        <v>50</v>
      </c>
      <c r="B282" s="232">
        <f>rh_t1!C92</f>
        <v>1.301555555555467E-2</v>
      </c>
      <c r="C282" s="139"/>
      <c r="D282" s="139"/>
      <c r="E282" s="139"/>
      <c r="F282" s="139"/>
      <c r="G282" s="139"/>
      <c r="H282" s="139"/>
      <c r="I282" s="139"/>
      <c r="J282" s="139"/>
      <c r="K282" s="139"/>
      <c r="L282" s="139"/>
    </row>
    <row r="283" spans="1:12" s="292" customFormat="1" ht="30.75" hidden="1" customHeight="1" x14ac:dyDescent="0.2">
      <c r="A283" s="417" t="s">
        <v>356</v>
      </c>
      <c r="B283" s="417"/>
      <c r="C283" s="417"/>
      <c r="D283" s="417"/>
      <c r="E283" s="417"/>
      <c r="F283" s="417"/>
      <c r="G283" s="417"/>
      <c r="H283" s="417"/>
      <c r="I283" s="417"/>
      <c r="J283" s="417"/>
      <c r="K283" s="417"/>
      <c r="L283" s="417"/>
    </row>
    <row r="284" spans="1:12" s="292" customFormat="1" ht="18" hidden="1" customHeight="1" thickBot="1" x14ac:dyDescent="0.25">
      <c r="A284" s="430" t="str">
        <f>"Заданная температура = "&amp;rh_t1!C86&amp;" °С;  Заданная относительная влажность =  "&amp;$E$1&amp;rh_t1!C39 &amp;" %."</f>
        <v>Заданная температура = 40 °С;  Заданная относительная влажность =  98 %.</v>
      </c>
      <c r="B284" s="430"/>
      <c r="C284" s="430"/>
      <c r="D284" s="430"/>
      <c r="E284" s="430"/>
      <c r="F284" s="430"/>
      <c r="G284" s="430"/>
      <c r="H284" s="430"/>
      <c r="I284" s="430"/>
      <c r="J284" s="430"/>
      <c r="K284" s="430"/>
      <c r="L284" s="430"/>
    </row>
    <row r="285" spans="1:12" s="292" customFormat="1" ht="29.25" hidden="1" customHeight="1" thickBot="1" x14ac:dyDescent="0.25">
      <c r="A285" s="239" t="s">
        <v>89</v>
      </c>
      <c r="B285" s="419" t="s">
        <v>90</v>
      </c>
      <c r="C285" s="419"/>
      <c r="D285" s="419"/>
      <c r="E285" s="419"/>
      <c r="F285" s="419"/>
      <c r="G285" s="419"/>
      <c r="H285" s="419"/>
      <c r="I285" s="419"/>
      <c r="J285" s="419"/>
      <c r="K285" s="420" t="s">
        <v>91</v>
      </c>
      <c r="L285" s="420"/>
    </row>
    <row r="286" spans="1:12" s="292" customFormat="1" ht="15.6" hidden="1" customHeight="1" x14ac:dyDescent="0.2">
      <c r="A286" s="236"/>
      <c r="B286" s="235">
        <v>1</v>
      </c>
      <c r="C286" s="235">
        <v>2</v>
      </c>
      <c r="D286" s="235">
        <v>3</v>
      </c>
      <c r="E286" s="235">
        <v>4</v>
      </c>
      <c r="F286" s="235">
        <v>5</v>
      </c>
      <c r="G286" s="235">
        <v>6</v>
      </c>
      <c r="H286" s="235">
        <v>7</v>
      </c>
      <c r="I286" s="235">
        <v>8</v>
      </c>
      <c r="J286" s="235">
        <v>9</v>
      </c>
      <c r="K286" s="237" t="s">
        <v>92</v>
      </c>
      <c r="L286" s="238" t="s">
        <v>93</v>
      </c>
    </row>
    <row r="287" spans="1:12" s="292" customFormat="1" ht="15.6" hidden="1" customHeight="1" x14ac:dyDescent="0.2">
      <c r="A287" s="226">
        <v>1</v>
      </c>
      <c r="B287" s="227">
        <f>rh_t1!C3</f>
        <v>99.23</v>
      </c>
      <c r="C287" s="227">
        <f>rh_t1!D3</f>
        <v>99.22</v>
      </c>
      <c r="D287" s="227">
        <f>rh_t1!E3</f>
        <v>99.21</v>
      </c>
      <c r="E287" s="227">
        <f>rh_t1!F3</f>
        <v>99.21</v>
      </c>
      <c r="F287" s="227">
        <f>rh_t1!G3</f>
        <v>99.21</v>
      </c>
      <c r="G287" s="227">
        <f>rh_t1!H3</f>
        <v>99.21</v>
      </c>
      <c r="H287" s="227">
        <f>rh_t1!I3</f>
        <v>99.21</v>
      </c>
      <c r="I287" s="227">
        <f>rh_t1!J3</f>
        <v>99.22</v>
      </c>
      <c r="J287" s="227">
        <f>rh_t1!K3</f>
        <v>99.24</v>
      </c>
      <c r="K287" s="227">
        <f>rh_t1!L3</f>
        <v>99.217777777777783</v>
      </c>
      <c r="L287" s="227">
        <f>rh_t1!M3</f>
        <v>1.0304020550552649E-2</v>
      </c>
    </row>
    <row r="288" spans="1:12" s="292" customFormat="1" ht="15.6" hidden="1" customHeight="1" x14ac:dyDescent="0.2">
      <c r="A288" s="226">
        <v>2</v>
      </c>
      <c r="B288" s="227">
        <f>rh_t1!C4</f>
        <v>99.23</v>
      </c>
      <c r="C288" s="227">
        <f>rh_t1!D4</f>
        <v>99.22</v>
      </c>
      <c r="D288" s="227">
        <f>rh_t1!E4</f>
        <v>99.21</v>
      </c>
      <c r="E288" s="227">
        <f>rh_t1!F4</f>
        <v>99.21</v>
      </c>
      <c r="F288" s="227">
        <f>rh_t1!G4</f>
        <v>99.21</v>
      </c>
      <c r="G288" s="227">
        <f>rh_t1!H4</f>
        <v>99.21</v>
      </c>
      <c r="H288" s="227">
        <f>rh_t1!I4</f>
        <v>99.21</v>
      </c>
      <c r="I288" s="227">
        <f>rh_t1!J4</f>
        <v>99.22</v>
      </c>
      <c r="J288" s="227">
        <f>rh_t1!K4</f>
        <v>99.24</v>
      </c>
      <c r="K288" s="227">
        <f>rh_t1!L4</f>
        <v>99.217777777777783</v>
      </c>
      <c r="L288" s="227">
        <f>rh_t1!M4</f>
        <v>1.0304020550552649E-2</v>
      </c>
    </row>
    <row r="289" spans="1:12" s="292" customFormat="1" ht="15.6" hidden="1" customHeight="1" x14ac:dyDescent="0.2">
      <c r="A289" s="226">
        <v>3</v>
      </c>
      <c r="B289" s="227">
        <f>rh_t1!C5</f>
        <v>99.23</v>
      </c>
      <c r="C289" s="227">
        <f>rh_t1!D5</f>
        <v>99.22</v>
      </c>
      <c r="D289" s="227">
        <f>rh_t1!E5</f>
        <v>99.21</v>
      </c>
      <c r="E289" s="227">
        <f>rh_t1!F5</f>
        <v>99.21</v>
      </c>
      <c r="F289" s="227">
        <f>rh_t1!G5</f>
        <v>99.21</v>
      </c>
      <c r="G289" s="227">
        <f>rh_t1!H5</f>
        <v>99.21</v>
      </c>
      <c r="H289" s="227">
        <f>rh_t1!I5</f>
        <v>99.21</v>
      </c>
      <c r="I289" s="227">
        <f>rh_t1!J5</f>
        <v>99.22</v>
      </c>
      <c r="J289" s="227">
        <f>rh_t1!K5</f>
        <v>99.24</v>
      </c>
      <c r="K289" s="227">
        <f>rh_t1!L5</f>
        <v>99.217777777777783</v>
      </c>
      <c r="L289" s="227">
        <f>rh_t1!M5</f>
        <v>1.0304020550552649E-2</v>
      </c>
    </row>
    <row r="290" spans="1:12" s="292" customFormat="1" ht="15.6" hidden="1" customHeight="1" x14ac:dyDescent="0.2">
      <c r="A290" s="226">
        <v>4</v>
      </c>
      <c r="B290" s="227">
        <f>rh_t1!C6</f>
        <v>99.23</v>
      </c>
      <c r="C290" s="227">
        <f>rh_t1!D6</f>
        <v>99.22</v>
      </c>
      <c r="D290" s="227">
        <f>rh_t1!E6</f>
        <v>99.21</v>
      </c>
      <c r="E290" s="227">
        <f>rh_t1!F6</f>
        <v>99.21</v>
      </c>
      <c r="F290" s="227">
        <f>rh_t1!G6</f>
        <v>99.21</v>
      </c>
      <c r="G290" s="227">
        <f>rh_t1!H6</f>
        <v>99.21</v>
      </c>
      <c r="H290" s="227">
        <f>rh_t1!I6</f>
        <v>99.21</v>
      </c>
      <c r="I290" s="227">
        <f>rh_t1!J6</f>
        <v>99.22</v>
      </c>
      <c r="J290" s="227">
        <f>rh_t1!K6</f>
        <v>99.24</v>
      </c>
      <c r="K290" s="227">
        <f>rh_t1!L6</f>
        <v>99.217777777777783</v>
      </c>
      <c r="L290" s="227">
        <f>rh_t1!M6</f>
        <v>1.0304020550552649E-2</v>
      </c>
    </row>
    <row r="291" spans="1:12" s="292" customFormat="1" ht="15.6" hidden="1" customHeight="1" x14ac:dyDescent="0.2">
      <c r="A291" s="226">
        <v>5</v>
      </c>
      <c r="B291" s="227">
        <f>rh_t1!C7</f>
        <v>99.23</v>
      </c>
      <c r="C291" s="227">
        <f>rh_t1!D7</f>
        <v>99.22</v>
      </c>
      <c r="D291" s="227">
        <f>rh_t1!E7</f>
        <v>99.21</v>
      </c>
      <c r="E291" s="227">
        <f>rh_t1!F7</f>
        <v>99.21</v>
      </c>
      <c r="F291" s="227">
        <f>rh_t1!G7</f>
        <v>99.21</v>
      </c>
      <c r="G291" s="227">
        <f>rh_t1!H7</f>
        <v>99.21</v>
      </c>
      <c r="H291" s="227">
        <f>rh_t1!I7</f>
        <v>99.21</v>
      </c>
      <c r="I291" s="227">
        <f>rh_t1!J7</f>
        <v>99.22</v>
      </c>
      <c r="J291" s="227">
        <f>rh_t1!K7</f>
        <v>99.24</v>
      </c>
      <c r="K291" s="227">
        <f>rh_t1!L7</f>
        <v>99.217777777777783</v>
      </c>
      <c r="L291" s="227">
        <f>rh_t1!M7</f>
        <v>1.0304020550552649E-2</v>
      </c>
    </row>
    <row r="292" spans="1:12" s="292" customFormat="1" ht="15.6" hidden="1" customHeight="1" x14ac:dyDescent="0.2">
      <c r="A292" s="226">
        <v>6</v>
      </c>
      <c r="B292" s="227">
        <f>rh_t1!C8</f>
        <v>99.23</v>
      </c>
      <c r="C292" s="227">
        <f>rh_t1!D8</f>
        <v>99.22</v>
      </c>
      <c r="D292" s="227">
        <f>rh_t1!E8</f>
        <v>99.21</v>
      </c>
      <c r="E292" s="227">
        <f>rh_t1!F8</f>
        <v>99.21</v>
      </c>
      <c r="F292" s="227">
        <f>rh_t1!G8</f>
        <v>99.21</v>
      </c>
      <c r="G292" s="227">
        <f>rh_t1!H8</f>
        <v>99.21</v>
      </c>
      <c r="H292" s="227">
        <f>rh_t1!I8</f>
        <v>99.21</v>
      </c>
      <c r="I292" s="227">
        <f>rh_t1!J8</f>
        <v>99.22</v>
      </c>
      <c r="J292" s="227">
        <f>rh_t1!K8</f>
        <v>99.24</v>
      </c>
      <c r="K292" s="227">
        <f>rh_t1!L8</f>
        <v>99.217777777777783</v>
      </c>
      <c r="L292" s="227">
        <f>rh_t1!M8</f>
        <v>1.0304020550552649E-2</v>
      </c>
    </row>
    <row r="293" spans="1:12" s="292" customFormat="1" ht="15.6" hidden="1" customHeight="1" x14ac:dyDescent="0.2">
      <c r="A293" s="226">
        <v>7</v>
      </c>
      <c r="B293" s="227">
        <f>rh_t1!C9</f>
        <v>99.23</v>
      </c>
      <c r="C293" s="227">
        <f>rh_t1!D9</f>
        <v>99.22</v>
      </c>
      <c r="D293" s="227">
        <f>rh_t1!E9</f>
        <v>99.21</v>
      </c>
      <c r="E293" s="227">
        <f>rh_t1!F9</f>
        <v>99.21</v>
      </c>
      <c r="F293" s="227">
        <f>rh_t1!G9</f>
        <v>99.21</v>
      </c>
      <c r="G293" s="227">
        <f>rh_t1!H9</f>
        <v>99.21</v>
      </c>
      <c r="H293" s="227">
        <f>rh_t1!I9</f>
        <v>99.21</v>
      </c>
      <c r="I293" s="227">
        <f>rh_t1!J9</f>
        <v>99.22</v>
      </c>
      <c r="J293" s="227">
        <f>rh_t1!K9</f>
        <v>99.24</v>
      </c>
      <c r="K293" s="227">
        <f>rh_t1!L9</f>
        <v>99.217777777777783</v>
      </c>
      <c r="L293" s="227">
        <f>rh_t1!M9</f>
        <v>1.0304020550552649E-2</v>
      </c>
    </row>
    <row r="294" spans="1:12" s="292" customFormat="1" ht="15.6" hidden="1" customHeight="1" x14ac:dyDescent="0.2">
      <c r="A294" s="226">
        <v>8</v>
      </c>
      <c r="B294" s="227">
        <f>rh_t1!C10</f>
        <v>99.23</v>
      </c>
      <c r="C294" s="227">
        <f>rh_t1!D10</f>
        <v>99.22</v>
      </c>
      <c r="D294" s="227">
        <f>rh_t1!E10</f>
        <v>99.21</v>
      </c>
      <c r="E294" s="227">
        <f>rh_t1!F10</f>
        <v>99.21</v>
      </c>
      <c r="F294" s="227">
        <f>rh_t1!G10</f>
        <v>99.21</v>
      </c>
      <c r="G294" s="227">
        <f>rh_t1!H10</f>
        <v>99.21</v>
      </c>
      <c r="H294" s="227">
        <f>rh_t1!I10</f>
        <v>99.21</v>
      </c>
      <c r="I294" s="227">
        <f>rh_t1!J10</f>
        <v>99.22</v>
      </c>
      <c r="J294" s="227">
        <f>rh_t1!K10</f>
        <v>99.24</v>
      </c>
      <c r="K294" s="227">
        <f>rh_t1!L10</f>
        <v>99.217777777777783</v>
      </c>
      <c r="L294" s="227">
        <f>rh_t1!M10</f>
        <v>1.0304020550552649E-2</v>
      </c>
    </row>
    <row r="295" spans="1:12" s="292" customFormat="1" ht="15.6" hidden="1" customHeight="1" x14ac:dyDescent="0.2">
      <c r="A295" s="226">
        <v>9</v>
      </c>
      <c r="B295" s="227">
        <f>rh_t1!C11</f>
        <v>99.23</v>
      </c>
      <c r="C295" s="227">
        <f>rh_t1!D11</f>
        <v>99.22</v>
      </c>
      <c r="D295" s="227">
        <f>rh_t1!E11</f>
        <v>99.21</v>
      </c>
      <c r="E295" s="227">
        <f>rh_t1!F11</f>
        <v>99.21</v>
      </c>
      <c r="F295" s="227">
        <f>rh_t1!G11</f>
        <v>99.21</v>
      </c>
      <c r="G295" s="227">
        <f>rh_t1!H11</f>
        <v>99.21</v>
      </c>
      <c r="H295" s="227">
        <f>rh_t1!I11</f>
        <v>99.21</v>
      </c>
      <c r="I295" s="227">
        <f>rh_t1!J11</f>
        <v>99.22</v>
      </c>
      <c r="J295" s="227">
        <f>rh_t1!K11</f>
        <v>99.24</v>
      </c>
      <c r="K295" s="227">
        <f>rh_t1!L11</f>
        <v>99.217777777777783</v>
      </c>
      <c r="L295" s="227">
        <f>rh_t1!M11</f>
        <v>1.0304020550552649E-2</v>
      </c>
    </row>
    <row r="296" spans="1:12" s="292" customFormat="1" ht="15.6" hidden="1" customHeight="1" x14ac:dyDescent="0.2">
      <c r="A296" s="226">
        <v>10</v>
      </c>
      <c r="B296" s="227">
        <f>rh_t1!C12</f>
        <v>99.23</v>
      </c>
      <c r="C296" s="227">
        <f>rh_t1!D12</f>
        <v>99.22</v>
      </c>
      <c r="D296" s="227">
        <f>rh_t1!E12</f>
        <v>99.21</v>
      </c>
      <c r="E296" s="227">
        <f>rh_t1!F12</f>
        <v>99.21</v>
      </c>
      <c r="F296" s="227">
        <f>rh_t1!G12</f>
        <v>99.21</v>
      </c>
      <c r="G296" s="227">
        <f>rh_t1!H12</f>
        <v>99.21</v>
      </c>
      <c r="H296" s="227">
        <f>rh_t1!I12</f>
        <v>99.21</v>
      </c>
      <c r="I296" s="227">
        <f>rh_t1!J12</f>
        <v>99.22</v>
      </c>
      <c r="J296" s="227">
        <f>rh_t1!K12</f>
        <v>99.24</v>
      </c>
      <c r="K296" s="227">
        <f>rh_t1!L12</f>
        <v>99.217777777777783</v>
      </c>
      <c r="L296" s="227">
        <f>rh_t1!M12</f>
        <v>1.0304020550552649E-2</v>
      </c>
    </row>
    <row r="297" spans="1:12" s="292" customFormat="1" ht="15.6" hidden="1" customHeight="1" x14ac:dyDescent="0.2">
      <c r="A297" s="226">
        <v>11</v>
      </c>
      <c r="B297" s="227">
        <f>rh_t1!C13</f>
        <v>99.22</v>
      </c>
      <c r="C297" s="227">
        <f>rh_t1!D13</f>
        <v>99.22</v>
      </c>
      <c r="D297" s="227">
        <f>rh_t1!E13</f>
        <v>99.21</v>
      </c>
      <c r="E297" s="227">
        <f>rh_t1!F13</f>
        <v>99.21</v>
      </c>
      <c r="F297" s="227">
        <f>rh_t1!G13</f>
        <v>99.21</v>
      </c>
      <c r="G297" s="227">
        <f>rh_t1!H13</f>
        <v>99.21</v>
      </c>
      <c r="H297" s="227">
        <f>rh_t1!I13</f>
        <v>99.21</v>
      </c>
      <c r="I297" s="227">
        <f>rh_t1!J13</f>
        <v>99.22</v>
      </c>
      <c r="J297" s="227">
        <f>rh_t1!K13</f>
        <v>99.24</v>
      </c>
      <c r="K297" s="227">
        <f>rh_t1!L13</f>
        <v>99.216666666666669</v>
      </c>
      <c r="L297" s="227">
        <f>rh_t1!M13</f>
        <v>9.4280904158215492E-3</v>
      </c>
    </row>
    <row r="298" spans="1:12" s="292" customFormat="1" ht="15.6" hidden="1" customHeight="1" x14ac:dyDescent="0.2">
      <c r="A298" s="226">
        <v>12</v>
      </c>
      <c r="B298" s="227">
        <f>rh_t1!C14</f>
        <v>99.22</v>
      </c>
      <c r="C298" s="227">
        <f>rh_t1!D14</f>
        <v>99.22</v>
      </c>
      <c r="D298" s="227">
        <f>rh_t1!E14</f>
        <v>99.21</v>
      </c>
      <c r="E298" s="227">
        <f>rh_t1!F14</f>
        <v>99.21</v>
      </c>
      <c r="F298" s="227">
        <f>rh_t1!G14</f>
        <v>99.21</v>
      </c>
      <c r="G298" s="227">
        <f>rh_t1!H14</f>
        <v>99.21</v>
      </c>
      <c r="H298" s="227">
        <f>rh_t1!I14</f>
        <v>99.21</v>
      </c>
      <c r="I298" s="227">
        <f>rh_t1!J14</f>
        <v>99.22</v>
      </c>
      <c r="J298" s="227">
        <f>rh_t1!K14</f>
        <v>99.24</v>
      </c>
      <c r="K298" s="227">
        <f>rh_t1!L14</f>
        <v>99.216666666666669</v>
      </c>
      <c r="L298" s="227">
        <f>rh_t1!M14</f>
        <v>9.4280904158215492E-3</v>
      </c>
    </row>
    <row r="299" spans="1:12" s="292" customFormat="1" ht="15.6" hidden="1" customHeight="1" x14ac:dyDescent="0.2">
      <c r="A299" s="226">
        <v>13</v>
      </c>
      <c r="B299" s="227">
        <f>rh_t1!C15</f>
        <v>99.22</v>
      </c>
      <c r="C299" s="227">
        <f>rh_t1!D15</f>
        <v>99.22</v>
      </c>
      <c r="D299" s="227">
        <f>rh_t1!E15</f>
        <v>99.21</v>
      </c>
      <c r="E299" s="227">
        <f>rh_t1!F15</f>
        <v>99.21</v>
      </c>
      <c r="F299" s="227">
        <f>rh_t1!G15</f>
        <v>99.21</v>
      </c>
      <c r="G299" s="227">
        <f>rh_t1!H15</f>
        <v>99.21</v>
      </c>
      <c r="H299" s="227">
        <f>rh_t1!I15</f>
        <v>99.21</v>
      </c>
      <c r="I299" s="227">
        <f>rh_t1!J15</f>
        <v>99.22</v>
      </c>
      <c r="J299" s="227">
        <f>rh_t1!K15</f>
        <v>99.24</v>
      </c>
      <c r="K299" s="227">
        <f>rh_t1!L15</f>
        <v>99.216666666666669</v>
      </c>
      <c r="L299" s="227">
        <f>rh_t1!M15</f>
        <v>9.4280904158215492E-3</v>
      </c>
    </row>
    <row r="300" spans="1:12" s="292" customFormat="1" ht="15.6" hidden="1" customHeight="1" x14ac:dyDescent="0.2">
      <c r="A300" s="226">
        <v>14</v>
      </c>
      <c r="B300" s="227">
        <f>rh_t1!C16</f>
        <v>99.22</v>
      </c>
      <c r="C300" s="227">
        <f>rh_t1!D16</f>
        <v>99.22</v>
      </c>
      <c r="D300" s="227">
        <f>rh_t1!E16</f>
        <v>99.21</v>
      </c>
      <c r="E300" s="227">
        <f>rh_t1!F16</f>
        <v>99.21</v>
      </c>
      <c r="F300" s="227">
        <f>rh_t1!G16</f>
        <v>99.21</v>
      </c>
      <c r="G300" s="227">
        <f>rh_t1!H16</f>
        <v>99.21</v>
      </c>
      <c r="H300" s="227">
        <f>rh_t1!I16</f>
        <v>99.21</v>
      </c>
      <c r="I300" s="227">
        <f>rh_t1!J16</f>
        <v>99.22</v>
      </c>
      <c r="J300" s="227">
        <f>rh_t1!K16</f>
        <v>99.24</v>
      </c>
      <c r="K300" s="227">
        <f>rh_t1!L16</f>
        <v>99.216666666666669</v>
      </c>
      <c r="L300" s="227">
        <f>rh_t1!M16</f>
        <v>9.4280904158215492E-3</v>
      </c>
    </row>
    <row r="301" spans="1:12" s="292" customFormat="1" ht="15.6" hidden="1" customHeight="1" x14ac:dyDescent="0.2">
      <c r="A301" s="226">
        <v>15</v>
      </c>
      <c r="B301" s="227">
        <f>rh_t1!C17</f>
        <v>99.22</v>
      </c>
      <c r="C301" s="227">
        <f>rh_t1!D17</f>
        <v>99.22</v>
      </c>
      <c r="D301" s="227">
        <f>rh_t1!E17</f>
        <v>99.21</v>
      </c>
      <c r="E301" s="227">
        <f>rh_t1!F17</f>
        <v>99.21</v>
      </c>
      <c r="F301" s="227">
        <f>rh_t1!G17</f>
        <v>99.21</v>
      </c>
      <c r="G301" s="227">
        <f>rh_t1!H17</f>
        <v>99.2</v>
      </c>
      <c r="H301" s="227">
        <f>rh_t1!I17</f>
        <v>99.21</v>
      </c>
      <c r="I301" s="227">
        <f>rh_t1!J17</f>
        <v>99.22</v>
      </c>
      <c r="J301" s="227">
        <f>rh_t1!K17</f>
        <v>99.23</v>
      </c>
      <c r="K301" s="227">
        <f>rh_t1!L17</f>
        <v>99.214444444444453</v>
      </c>
      <c r="L301" s="227">
        <f>rh_t1!M17</f>
        <v>8.3147941928324916E-3</v>
      </c>
    </row>
    <row r="302" spans="1:12" s="292" customFormat="1" ht="15.6" hidden="1" customHeight="1" x14ac:dyDescent="0.2">
      <c r="A302" s="226">
        <v>16</v>
      </c>
      <c r="B302" s="227">
        <f>rh_t1!C18</f>
        <v>99.22</v>
      </c>
      <c r="C302" s="227">
        <f>rh_t1!D18</f>
        <v>99.21</v>
      </c>
      <c r="D302" s="227">
        <f>rh_t1!E18</f>
        <v>99.21</v>
      </c>
      <c r="E302" s="227">
        <f>rh_t1!F18</f>
        <v>99.21</v>
      </c>
      <c r="F302" s="227">
        <f>rh_t1!G18</f>
        <v>99.21</v>
      </c>
      <c r="G302" s="227">
        <f>rh_t1!H18</f>
        <v>99.2</v>
      </c>
      <c r="H302" s="227">
        <f>rh_t1!I18</f>
        <v>99.21</v>
      </c>
      <c r="I302" s="227">
        <f>rh_t1!J18</f>
        <v>99.22</v>
      </c>
      <c r="J302" s="227">
        <f>rh_t1!K18</f>
        <v>99.24</v>
      </c>
      <c r="K302" s="227">
        <f>rh_t1!L18</f>
        <v>99.214444444444453</v>
      </c>
      <c r="L302" s="227">
        <f>rh_t1!M18</f>
        <v>1.0657403385138903E-2</v>
      </c>
    </row>
    <row r="303" spans="1:12" s="292" customFormat="1" ht="15.6" hidden="1" customHeight="1" x14ac:dyDescent="0.2">
      <c r="A303" s="226">
        <v>17</v>
      </c>
      <c r="B303" s="227">
        <f>rh_t1!C19</f>
        <v>99.22</v>
      </c>
      <c r="C303" s="227">
        <f>rh_t1!D19</f>
        <v>99.21</v>
      </c>
      <c r="D303" s="227">
        <f>rh_t1!E19</f>
        <v>99.21</v>
      </c>
      <c r="E303" s="227">
        <f>rh_t1!F19</f>
        <v>99.2</v>
      </c>
      <c r="F303" s="227">
        <f>rh_t1!G19</f>
        <v>99.21</v>
      </c>
      <c r="G303" s="227">
        <f>rh_t1!H19</f>
        <v>99.2</v>
      </c>
      <c r="H303" s="227">
        <f>rh_t1!I19</f>
        <v>99.21</v>
      </c>
      <c r="I303" s="227">
        <f>rh_t1!J19</f>
        <v>99.22</v>
      </c>
      <c r="J303" s="227">
        <f>rh_t1!K19</f>
        <v>99.24</v>
      </c>
      <c r="K303" s="227">
        <f>rh_t1!L19</f>
        <v>99.213333333333338</v>
      </c>
      <c r="L303" s="227">
        <f>rh_t1!M19</f>
        <v>1.154700538379113E-2</v>
      </c>
    </row>
    <row r="304" spans="1:12" s="292" customFormat="1" ht="15.6" hidden="1" customHeight="1" x14ac:dyDescent="0.2">
      <c r="A304" s="226">
        <v>18</v>
      </c>
      <c r="B304" s="227">
        <f>rh_t1!C20</f>
        <v>99.22</v>
      </c>
      <c r="C304" s="227">
        <f>rh_t1!D20</f>
        <v>99.21</v>
      </c>
      <c r="D304" s="227">
        <f>rh_t1!E20</f>
        <v>99.21</v>
      </c>
      <c r="E304" s="227">
        <f>rh_t1!F20</f>
        <v>99.2</v>
      </c>
      <c r="F304" s="227">
        <f>rh_t1!G20</f>
        <v>99.21</v>
      </c>
      <c r="G304" s="227">
        <f>rh_t1!H20</f>
        <v>99.2</v>
      </c>
      <c r="H304" s="227">
        <f>rh_t1!I20</f>
        <v>99.21</v>
      </c>
      <c r="I304" s="227">
        <f>rh_t1!J20</f>
        <v>99.21</v>
      </c>
      <c r="J304" s="227">
        <f>rh_t1!K20</f>
        <v>99.23</v>
      </c>
      <c r="K304" s="227">
        <f>rh_t1!L20</f>
        <v>99.211111111111123</v>
      </c>
      <c r="L304" s="227">
        <f>rh_t1!M20</f>
        <v>8.7488976377913669E-3</v>
      </c>
    </row>
    <row r="305" spans="1:12" s="292" customFormat="1" ht="15.6" hidden="1" customHeight="1" x14ac:dyDescent="0.2">
      <c r="A305" s="226">
        <v>19</v>
      </c>
      <c r="B305" s="227">
        <f>rh_t1!C21</f>
        <v>99.22</v>
      </c>
      <c r="C305" s="227">
        <f>rh_t1!D21</f>
        <v>99.21</v>
      </c>
      <c r="D305" s="227">
        <f>rh_t1!E21</f>
        <v>99.21</v>
      </c>
      <c r="E305" s="227">
        <f>rh_t1!F21</f>
        <v>99.2</v>
      </c>
      <c r="F305" s="227">
        <f>rh_t1!G21</f>
        <v>99.21</v>
      </c>
      <c r="G305" s="227">
        <f>rh_t1!H21</f>
        <v>99.08</v>
      </c>
      <c r="H305" s="227">
        <f>rh_t1!I21</f>
        <v>99.2</v>
      </c>
      <c r="I305" s="227">
        <f>rh_t1!J21</f>
        <v>99.21</v>
      </c>
      <c r="J305" s="227">
        <f>rh_t1!K21</f>
        <v>99.23</v>
      </c>
      <c r="K305" s="227">
        <f>rh_t1!L21</f>
        <v>99.196666666666673</v>
      </c>
      <c r="L305" s="227">
        <f>rh_t1!M21</f>
        <v>4.2163702135578365E-2</v>
      </c>
    </row>
    <row r="306" spans="1:12" s="292" customFormat="1" ht="15.6" hidden="1" customHeight="1" x14ac:dyDescent="0.2">
      <c r="A306" s="226">
        <v>20</v>
      </c>
      <c r="B306" s="227">
        <f>rh_t1!C22</f>
        <v>99.22</v>
      </c>
      <c r="C306" s="227">
        <f>rh_t1!D22</f>
        <v>99.21</v>
      </c>
      <c r="D306" s="227">
        <f>rh_t1!E22</f>
        <v>99.21</v>
      </c>
      <c r="E306" s="227">
        <f>rh_t1!F22</f>
        <v>99.2</v>
      </c>
      <c r="F306" s="227">
        <f>rh_t1!G22</f>
        <v>99.2</v>
      </c>
      <c r="G306" s="227">
        <f>rh_t1!H22</f>
        <v>98.96</v>
      </c>
      <c r="H306" s="227">
        <f>rh_t1!I22</f>
        <v>99.2</v>
      </c>
      <c r="I306" s="227">
        <f>rh_t1!J22</f>
        <v>99.21</v>
      </c>
      <c r="J306" s="227">
        <f>rh_t1!K22</f>
        <v>99.23</v>
      </c>
      <c r="K306" s="227">
        <f>rh_t1!L22</f>
        <v>99.182222222222236</v>
      </c>
      <c r="L306" s="227">
        <f>rh_t1!M22</f>
        <v>7.913108362117878E-2</v>
      </c>
    </row>
    <row r="307" spans="1:12" s="292" customFormat="1" ht="15.6" hidden="1" customHeight="1" x14ac:dyDescent="0.2">
      <c r="A307" s="226">
        <v>21</v>
      </c>
      <c r="B307" s="227">
        <f>rh_t1!C23</f>
        <v>99.22</v>
      </c>
      <c r="C307" s="227">
        <f>rh_t1!D23</f>
        <v>99.21</v>
      </c>
      <c r="D307" s="227">
        <f>rh_t1!E23</f>
        <v>99.21</v>
      </c>
      <c r="E307" s="227">
        <f>rh_t1!F23</f>
        <v>99.2</v>
      </c>
      <c r="F307" s="227">
        <f>rh_t1!G23</f>
        <v>99.2</v>
      </c>
      <c r="G307" s="227">
        <f>rh_t1!H23</f>
        <v>98.91</v>
      </c>
      <c r="H307" s="227">
        <f>rh_t1!I23</f>
        <v>99.2</v>
      </c>
      <c r="I307" s="227">
        <f>rh_t1!J23</f>
        <v>99.21</v>
      </c>
      <c r="J307" s="227">
        <f>rh_t1!K23</f>
        <v>99.23</v>
      </c>
      <c r="K307" s="227">
        <f>rh_t1!L23</f>
        <v>99.176666666666677</v>
      </c>
      <c r="L307" s="227">
        <f>rh_t1!M23</f>
        <v>9.4751136023680058E-2</v>
      </c>
    </row>
    <row r="308" spans="1:12" s="292" customFormat="1" ht="15.6" hidden="1" customHeight="1" x14ac:dyDescent="0.2">
      <c r="A308" s="226">
        <v>22</v>
      </c>
      <c r="B308" s="227">
        <f>rh_t1!C24</f>
        <v>99.22</v>
      </c>
      <c r="C308" s="227">
        <f>rh_t1!D24</f>
        <v>99.21</v>
      </c>
      <c r="D308" s="227">
        <f>rh_t1!E24</f>
        <v>99.2</v>
      </c>
      <c r="E308" s="227">
        <f>rh_t1!F24</f>
        <v>99.1</v>
      </c>
      <c r="F308" s="227">
        <f>rh_t1!G24</f>
        <v>99.2</v>
      </c>
      <c r="G308" s="227">
        <f>rh_t1!H24</f>
        <v>98.79</v>
      </c>
      <c r="H308" s="227">
        <f>rh_t1!I24</f>
        <v>99.2</v>
      </c>
      <c r="I308" s="227">
        <f>rh_t1!J24</f>
        <v>99.21</v>
      </c>
      <c r="J308" s="227">
        <f>rh_t1!K24</f>
        <v>99.22</v>
      </c>
      <c r="K308" s="227">
        <f>rh_t1!L24</f>
        <v>99.15000000000002</v>
      </c>
      <c r="L308" s="227">
        <f>rh_t1!M24</f>
        <v>0.13190905958272711</v>
      </c>
    </row>
    <row r="309" spans="1:12" s="292" customFormat="1" ht="15.6" hidden="1" customHeight="1" x14ac:dyDescent="0.2">
      <c r="A309" s="226">
        <v>23</v>
      </c>
      <c r="B309" s="227">
        <f>rh_t1!C25</f>
        <v>99.22</v>
      </c>
      <c r="C309" s="227">
        <f>rh_t1!D25</f>
        <v>99.21</v>
      </c>
      <c r="D309" s="227">
        <f>rh_t1!E25</f>
        <v>99.2</v>
      </c>
      <c r="E309" s="227">
        <f>rh_t1!F25</f>
        <v>98.96</v>
      </c>
      <c r="F309" s="227">
        <f>rh_t1!G25</f>
        <v>99.2</v>
      </c>
      <c r="G309" s="227">
        <f>rh_t1!H25</f>
        <v>98.69</v>
      </c>
      <c r="H309" s="227">
        <f>rh_t1!I25</f>
        <v>99.2</v>
      </c>
      <c r="I309" s="227">
        <f>rh_t1!J25</f>
        <v>99.21</v>
      </c>
      <c r="J309" s="227">
        <f>rh_t1!K25</f>
        <v>99.23</v>
      </c>
      <c r="K309" s="227">
        <f>rh_t1!L25</f>
        <v>99.124444444444464</v>
      </c>
      <c r="L309" s="227">
        <f>rh_t1!M25</f>
        <v>0.17250514395622654</v>
      </c>
    </row>
    <row r="310" spans="1:12" s="292" customFormat="1" ht="15.6" hidden="1" customHeight="1" x14ac:dyDescent="0.2">
      <c r="A310" s="226">
        <v>24</v>
      </c>
      <c r="B310" s="227">
        <f>rh_t1!C26</f>
        <v>99.22</v>
      </c>
      <c r="C310" s="227">
        <f>rh_t1!D26</f>
        <v>99.21</v>
      </c>
      <c r="D310" s="227">
        <f>rh_t1!E26</f>
        <v>99.2</v>
      </c>
      <c r="E310" s="227">
        <f>rh_t1!F26</f>
        <v>98.83</v>
      </c>
      <c r="F310" s="227">
        <f>rh_t1!G26</f>
        <v>99.2</v>
      </c>
      <c r="G310" s="227">
        <f>rh_t1!H26</f>
        <v>98.58</v>
      </c>
      <c r="H310" s="227">
        <f>rh_t1!I26</f>
        <v>99.2</v>
      </c>
      <c r="I310" s="227">
        <f>rh_t1!J26</f>
        <v>99.21</v>
      </c>
      <c r="J310" s="227">
        <f>rh_t1!K26</f>
        <v>99.23</v>
      </c>
      <c r="K310" s="227">
        <f>rh_t1!L26</f>
        <v>99.097777777777793</v>
      </c>
      <c r="L310" s="227">
        <f>rh_t1!M26</f>
        <v>0.21826476163787817</v>
      </c>
    </row>
    <row r="311" spans="1:12" s="292" customFormat="1" ht="15.6" hidden="1" customHeight="1" x14ac:dyDescent="0.2">
      <c r="A311" s="226">
        <v>25</v>
      </c>
      <c r="B311" s="227">
        <f>rh_t1!C27</f>
        <v>99.22</v>
      </c>
      <c r="C311" s="227">
        <f>rh_t1!D27</f>
        <v>99.21</v>
      </c>
      <c r="D311" s="227">
        <f>rh_t1!E27</f>
        <v>99.2</v>
      </c>
      <c r="E311" s="227">
        <f>rh_t1!F27</f>
        <v>98.7</v>
      </c>
      <c r="F311" s="227">
        <f>rh_t1!G27</f>
        <v>99.2</v>
      </c>
      <c r="G311" s="227">
        <f>rh_t1!H27</f>
        <v>98.52</v>
      </c>
      <c r="H311" s="227">
        <f>rh_t1!I27</f>
        <v>99.2</v>
      </c>
      <c r="I311" s="227">
        <f>rh_t1!J27</f>
        <v>99.21</v>
      </c>
      <c r="J311" s="227">
        <f>rh_t1!K27</f>
        <v>99.31</v>
      </c>
      <c r="K311" s="227">
        <f>rh_t1!L27</f>
        <v>99.085555555555558</v>
      </c>
      <c r="L311" s="227">
        <f>rh_t1!M27</f>
        <v>0.25974821616802174</v>
      </c>
    </row>
    <row r="312" spans="1:12" s="292" customFormat="1" ht="15.6" hidden="1" customHeight="1" x14ac:dyDescent="0.2">
      <c r="A312" s="226">
        <v>26</v>
      </c>
      <c r="B312" s="227">
        <f>rh_t1!C28</f>
        <v>99.22</v>
      </c>
      <c r="C312" s="227">
        <f>rh_t1!D28</f>
        <v>99.21</v>
      </c>
      <c r="D312" s="227">
        <f>rh_t1!E28</f>
        <v>99.2</v>
      </c>
      <c r="E312" s="227">
        <f>rh_t1!F28</f>
        <v>98.59</v>
      </c>
      <c r="F312" s="227">
        <f>rh_t1!G28</f>
        <v>99.2</v>
      </c>
      <c r="G312" s="227">
        <f>rh_t1!H28</f>
        <v>98.48</v>
      </c>
      <c r="H312" s="227">
        <f>rh_t1!I28</f>
        <v>99.16</v>
      </c>
      <c r="I312" s="227">
        <f>rh_t1!J28</f>
        <v>99.21</v>
      </c>
      <c r="J312" s="227">
        <f>rh_t1!K28</f>
        <v>99.22</v>
      </c>
      <c r="K312" s="227">
        <f>rh_t1!L28</f>
        <v>99.054444444444442</v>
      </c>
      <c r="L312" s="227">
        <f>rh_t1!M28</f>
        <v>0.27936877703180368</v>
      </c>
    </row>
    <row r="313" spans="1:12" s="292" customFormat="1" ht="15.6" hidden="1" customHeight="1" x14ac:dyDescent="0.2">
      <c r="A313" s="226">
        <v>27</v>
      </c>
      <c r="B313" s="227">
        <f>rh_t1!C29</f>
        <v>99.22</v>
      </c>
      <c r="C313" s="227">
        <f>rh_t1!D29</f>
        <v>99.21</v>
      </c>
      <c r="D313" s="227">
        <f>rh_t1!E29</f>
        <v>99.2</v>
      </c>
      <c r="E313" s="227">
        <f>rh_t1!F29</f>
        <v>98.54</v>
      </c>
      <c r="F313" s="227">
        <f>rh_t1!G29</f>
        <v>99.2</v>
      </c>
      <c r="G313" s="227">
        <f>rh_t1!H29</f>
        <v>98.48</v>
      </c>
      <c r="H313" s="227">
        <f>rh_t1!I29</f>
        <v>99.14</v>
      </c>
      <c r="I313" s="227">
        <f>rh_t1!J29</f>
        <v>99.21</v>
      </c>
      <c r="J313" s="227">
        <f>rh_t1!K29</f>
        <v>99.22</v>
      </c>
      <c r="K313" s="227">
        <f>rh_t1!L29</f>
        <v>99.046666666666681</v>
      </c>
      <c r="L313" s="227">
        <f>rh_t1!M29</f>
        <v>0.288097205817756</v>
      </c>
    </row>
    <row r="314" spans="1:12" s="292" customFormat="1" ht="15.6" hidden="1" customHeight="1" x14ac:dyDescent="0.2">
      <c r="A314" s="226">
        <v>28</v>
      </c>
      <c r="B314" s="227">
        <f>rh_t1!C30</f>
        <v>99.21</v>
      </c>
      <c r="C314" s="227">
        <f>rh_t1!D30</f>
        <v>99.21</v>
      </c>
      <c r="D314" s="227">
        <f>rh_t1!E30</f>
        <v>99.2</v>
      </c>
      <c r="E314" s="227">
        <f>rh_t1!F30</f>
        <v>98.55</v>
      </c>
      <c r="F314" s="227">
        <f>rh_t1!G30</f>
        <v>99.18</v>
      </c>
      <c r="G314" s="227">
        <f>rh_t1!H30</f>
        <v>98.51</v>
      </c>
      <c r="H314" s="227">
        <f>rh_t1!I30</f>
        <v>99.12</v>
      </c>
      <c r="I314" s="227">
        <f>rh_t1!J30</f>
        <v>99.21</v>
      </c>
      <c r="J314" s="227">
        <f>rh_t1!K30</f>
        <v>99.23</v>
      </c>
      <c r="K314" s="227">
        <f>rh_t1!L30</f>
        <v>99.046666666666681</v>
      </c>
      <c r="L314" s="227">
        <f>rh_t1!M30</f>
        <v>0.27788886667555035</v>
      </c>
    </row>
    <row r="315" spans="1:12" s="292" customFormat="1" ht="15.6" hidden="1" customHeight="1" x14ac:dyDescent="0.2">
      <c r="A315" s="226">
        <v>29</v>
      </c>
      <c r="B315" s="227">
        <f>rh_t1!C31</f>
        <v>99.21</v>
      </c>
      <c r="C315" s="227">
        <f>rh_t1!D31</f>
        <v>99.21</v>
      </c>
      <c r="D315" s="227">
        <f>rh_t1!E31</f>
        <v>99.2</v>
      </c>
      <c r="E315" s="227">
        <f>rh_t1!F31</f>
        <v>98.55</v>
      </c>
      <c r="F315" s="227">
        <f>rh_t1!G31</f>
        <v>99.18</v>
      </c>
      <c r="G315" s="227">
        <f>rh_t1!H31</f>
        <v>98.54</v>
      </c>
      <c r="H315" s="227">
        <f>rh_t1!I31</f>
        <v>99.07</v>
      </c>
      <c r="I315" s="227">
        <f>rh_t1!J31</f>
        <v>99.21</v>
      </c>
      <c r="J315" s="227">
        <f>rh_t1!K31</f>
        <v>99.22</v>
      </c>
      <c r="K315" s="227">
        <f>rh_t1!L31</f>
        <v>99.043333333333351</v>
      </c>
      <c r="L315" s="227">
        <f>rh_t1!M31</f>
        <v>0.26981475126463922</v>
      </c>
    </row>
    <row r="316" spans="1:12" s="292" customFormat="1" ht="15.6" hidden="1" customHeight="1" x14ac:dyDescent="0.2">
      <c r="A316" s="226">
        <v>30</v>
      </c>
      <c r="B316" s="227">
        <f>rh_t1!C32</f>
        <v>99.21</v>
      </c>
      <c r="C316" s="227">
        <f>rh_t1!D32</f>
        <v>99.21</v>
      </c>
      <c r="D316" s="227">
        <f>rh_t1!E32</f>
        <v>99.2</v>
      </c>
      <c r="E316" s="227">
        <f>rh_t1!F32</f>
        <v>98.55</v>
      </c>
      <c r="F316" s="227">
        <f>rh_t1!G32</f>
        <v>99.18</v>
      </c>
      <c r="G316" s="227">
        <f>rh_t1!H32</f>
        <v>98.54</v>
      </c>
      <c r="H316" s="227">
        <f>rh_t1!I32</f>
        <v>99.07</v>
      </c>
      <c r="I316" s="227">
        <f>rh_t1!J32</f>
        <v>99.21</v>
      </c>
      <c r="J316" s="227">
        <f>rh_t1!K32</f>
        <v>99.22</v>
      </c>
      <c r="K316" s="227">
        <f>rh_t1!L32</f>
        <v>99.043333333333351</v>
      </c>
      <c r="L316" s="227">
        <f>rh_t1!M32</f>
        <v>0.26981475126463922</v>
      </c>
    </row>
    <row r="317" spans="1:12" s="292" customFormat="1" ht="15.6" hidden="1" customHeight="1" x14ac:dyDescent="0.35">
      <c r="A317" s="228" t="s">
        <v>64</v>
      </c>
      <c r="B317" s="227">
        <f>rh_t1!C33</f>
        <v>99.22233333333331</v>
      </c>
      <c r="C317" s="227">
        <f>rh_t1!D33</f>
        <v>99.215000000000018</v>
      </c>
      <c r="D317" s="227">
        <f>rh_t1!E33</f>
        <v>99.206999999999951</v>
      </c>
      <c r="E317" s="227">
        <f>rh_t1!F33</f>
        <v>99.057666666666691</v>
      </c>
      <c r="F317" s="227">
        <f>rh_t1!G33</f>
        <v>99.204333333333295</v>
      </c>
      <c r="G317" s="227">
        <f>rh_t1!H33</f>
        <v>98.994000000000014</v>
      </c>
      <c r="H317" s="227">
        <f>rh_t1!I33</f>
        <v>99.191333333333333</v>
      </c>
      <c r="I317" s="227">
        <f>rh_t1!J33</f>
        <v>99.215666666666692</v>
      </c>
      <c r="J317" s="227">
        <f>rh_t1!K33</f>
        <v>99.236333333333292</v>
      </c>
      <c r="K317" s="137"/>
      <c r="L317" s="137"/>
    </row>
    <row r="318" spans="1:12" s="292" customFormat="1" ht="15.6" hidden="1" customHeight="1" x14ac:dyDescent="0.35">
      <c r="A318" s="228" t="s">
        <v>39</v>
      </c>
      <c r="B318" s="227">
        <f>rh_t1!C34</f>
        <v>6.1553951042096133E-3</v>
      </c>
      <c r="C318" s="227">
        <f>rh_t1!D34</f>
        <v>5.0000000000025562E-3</v>
      </c>
      <c r="D318" s="227">
        <f>rh_t1!E34</f>
        <v>4.5825756949516719E-3</v>
      </c>
      <c r="E318" s="227">
        <f>rh_t1!F34</f>
        <v>0.25321510399043728</v>
      </c>
      <c r="F318" s="227">
        <f>rh_t1!G34</f>
        <v>9.1954094827512104E-3</v>
      </c>
      <c r="G318" s="227">
        <f>rh_t1!H34</f>
        <v>0.29117692216245128</v>
      </c>
      <c r="H318" s="227">
        <f>rh_t1!I34</f>
        <v>3.8706875645318981E-2</v>
      </c>
      <c r="I318" s="227">
        <f>rh_t1!J34</f>
        <v>4.9553562491087026E-3</v>
      </c>
      <c r="J318" s="227">
        <f>rh_t1!K34</f>
        <v>1.5595583420385598E-2</v>
      </c>
      <c r="K318" s="294"/>
      <c r="L318" s="294"/>
    </row>
    <row r="319" spans="1:12" s="292" customFormat="1" ht="15.6" hidden="1" customHeight="1" x14ac:dyDescent="0.35">
      <c r="A319" s="228" t="s">
        <v>65</v>
      </c>
      <c r="B319" s="227">
        <f>rh_t1!C35</f>
        <v>7.6666666666937999E-3</v>
      </c>
      <c r="C319" s="227">
        <f>rh_t1!D35</f>
        <v>4.9999999999812417E-3</v>
      </c>
      <c r="D319" s="227">
        <f>rh_t1!E35</f>
        <v>3.0000000000427463E-3</v>
      </c>
      <c r="E319" s="227">
        <f>rh_t1!F35</f>
        <v>0.15233333333330279</v>
      </c>
      <c r="F319" s="227">
        <f>rh_t1!G35</f>
        <v>5.6666666666984611E-3</v>
      </c>
      <c r="G319" s="227">
        <f>rh_t1!H35</f>
        <v>0.21599999999997976</v>
      </c>
      <c r="H319" s="227">
        <f>rh_t1!I35</f>
        <v>1.8666666666661058E-2</v>
      </c>
      <c r="I319" s="227">
        <f>rh_t1!J35</f>
        <v>4.3333333333066548E-3</v>
      </c>
      <c r="J319" s="227">
        <f>rh_t1!K35</f>
        <v>7.3666666666710512E-2</v>
      </c>
      <c r="K319" s="421"/>
      <c r="L319" s="416"/>
    </row>
    <row r="320" spans="1:12" s="292" customFormat="1" ht="15.6" hidden="1" customHeight="1" x14ac:dyDescent="0.35">
      <c r="A320" s="228" t="s">
        <v>66</v>
      </c>
      <c r="B320" s="227">
        <f>rh_t1!C36</f>
        <v>1.2333333333316432E-2</v>
      </c>
      <c r="C320" s="227">
        <f>rh_t1!D36</f>
        <v>5.0000000000238742E-3</v>
      </c>
      <c r="D320" s="227">
        <f>rh_t1!E36</f>
        <v>6.9999999999481588E-3</v>
      </c>
      <c r="E320" s="227">
        <f>rh_t1!F36</f>
        <v>0.5176666666666847</v>
      </c>
      <c r="F320" s="227">
        <f>rh_t1!G36</f>
        <v>2.4333333333288465E-2</v>
      </c>
      <c r="G320" s="227">
        <f>rh_t1!H36</f>
        <v>0.51400000000001</v>
      </c>
      <c r="H320" s="227">
        <f>rh_t1!I36</f>
        <v>0.12133333333333951</v>
      </c>
      <c r="I320" s="227">
        <f>rh_t1!J36</f>
        <v>5.6666666666984611E-3</v>
      </c>
      <c r="J320" s="227">
        <f>rh_t1!K36</f>
        <v>1.6333333333292899E-2</v>
      </c>
      <c r="K320" s="421"/>
      <c r="L320" s="416"/>
    </row>
    <row r="321" spans="1:12" s="292" customFormat="1" ht="15.6" hidden="1" customHeight="1" x14ac:dyDescent="0.2">
      <c r="A321" s="229" t="s">
        <v>37</v>
      </c>
      <c r="B321" s="227">
        <f>rh_t1!C37</f>
        <v>1.0000000000005116E-2</v>
      </c>
      <c r="C321" s="227">
        <f>rh_t1!D37</f>
        <v>5.000000000002558E-3</v>
      </c>
      <c r="D321" s="227">
        <f>rh_t1!E37</f>
        <v>4.9999999999954525E-3</v>
      </c>
      <c r="E321" s="227">
        <f>rh_t1!F37</f>
        <v>0.33499999999999375</v>
      </c>
      <c r="F321" s="227">
        <f>rh_t1!G37</f>
        <v>1.4999999999993463E-2</v>
      </c>
      <c r="G321" s="227">
        <f>rh_t1!H37</f>
        <v>0.36499999999999488</v>
      </c>
      <c r="H321" s="227">
        <f>rh_t1!I37</f>
        <v>7.0000000000000284E-2</v>
      </c>
      <c r="I321" s="227">
        <f>rh_t1!J37</f>
        <v>5.000000000002558E-3</v>
      </c>
      <c r="J321" s="227">
        <f>rh_t1!K37</f>
        <v>4.5000000000001705E-2</v>
      </c>
      <c r="K321" s="421"/>
      <c r="L321" s="416"/>
    </row>
    <row r="322" spans="1:12" s="292" customFormat="1" ht="15.6" hidden="1" customHeight="1" x14ac:dyDescent="0.35">
      <c r="A322" s="230" t="s">
        <v>67</v>
      </c>
      <c r="B322" s="227">
        <f>rh_t1!C38</f>
        <v>1.8000000000014893E-2</v>
      </c>
      <c r="C322" s="227">
        <f>rh_t1!D38</f>
        <v>1.0666666666722335E-2</v>
      </c>
      <c r="D322" s="227">
        <f>rh_t1!E38</f>
        <v>2.6666666666557148E-3</v>
      </c>
      <c r="E322" s="227">
        <f>rh_t1!F38</f>
        <v>-0.14666666666660433</v>
      </c>
      <c r="F322" s="227">
        <f>rh_t1!G38</f>
        <v>0</v>
      </c>
      <c r="G322" s="227">
        <f>rh_t1!H38</f>
        <v>-0.2103333333332813</v>
      </c>
      <c r="H322" s="227">
        <f>rh_t1!I38</f>
        <v>-1.2999999999962597E-2</v>
      </c>
      <c r="I322" s="227">
        <f>rh_t1!J38</f>
        <v>1.1333333333396922E-2</v>
      </c>
      <c r="J322" s="227">
        <f>rh_t1!K38</f>
        <v>3.1999999999996476E-2</v>
      </c>
      <c r="K322" s="139"/>
      <c r="L322" s="139"/>
    </row>
    <row r="323" spans="1:12" s="292" customFormat="1" ht="15.6" hidden="1" customHeight="1" x14ac:dyDescent="0.35">
      <c r="A323" s="233" t="s">
        <v>69</v>
      </c>
      <c r="B323" s="232">
        <f>rh_t1!C40</f>
        <v>99.171518518518354</v>
      </c>
      <c r="C323" s="139"/>
      <c r="D323" s="139"/>
      <c r="E323" s="139"/>
      <c r="F323" s="139"/>
      <c r="G323" s="139"/>
      <c r="H323" s="139"/>
      <c r="I323" s="139"/>
      <c r="J323" s="139"/>
      <c r="K323" s="139"/>
      <c r="L323" s="139"/>
    </row>
    <row r="324" spans="1:12" s="292" customFormat="1" ht="15.6" hidden="1" customHeight="1" x14ac:dyDescent="0.35">
      <c r="A324" s="233" t="s">
        <v>70</v>
      </c>
      <c r="B324" s="232">
        <f>rh_t1!C41</f>
        <v>1.1715185185183543</v>
      </c>
      <c r="C324" s="139"/>
      <c r="D324" s="139"/>
      <c r="E324" s="139"/>
      <c r="F324" s="139"/>
      <c r="G324" s="139"/>
      <c r="H324" s="139"/>
      <c r="I324" s="139"/>
      <c r="J324" s="139"/>
      <c r="K324" s="139"/>
      <c r="L324" s="139"/>
    </row>
    <row r="325" spans="1:12" s="292" customFormat="1" ht="15.6" hidden="1" customHeight="1" x14ac:dyDescent="0.35">
      <c r="A325" s="233" t="s">
        <v>270</v>
      </c>
      <c r="B325" s="232">
        <f>rh_t1!C46</f>
        <v>0.15226533137436651</v>
      </c>
      <c r="C325" s="139"/>
      <c r="D325" s="139"/>
      <c r="E325" s="139"/>
      <c r="F325" s="139"/>
      <c r="G325" s="139"/>
      <c r="H325" s="139"/>
      <c r="I325" s="139"/>
      <c r="J325" s="139"/>
      <c r="K325" s="139"/>
      <c r="L325" s="139"/>
    </row>
    <row r="326" spans="1:12" s="292" customFormat="1" ht="15.6" hidden="1" customHeight="1" x14ac:dyDescent="0.35">
      <c r="A326" s="241" t="s">
        <v>71</v>
      </c>
      <c r="B326" s="232">
        <f>rh_t1!C42</f>
        <v>0.24233333333327778</v>
      </c>
      <c r="C326" s="139"/>
      <c r="D326" s="139"/>
      <c r="E326" s="139"/>
      <c r="F326" s="139"/>
      <c r="G326" s="139"/>
      <c r="H326" s="139"/>
      <c r="I326" s="139"/>
      <c r="J326" s="139"/>
      <c r="K326" s="139"/>
      <c r="L326" s="139"/>
    </row>
    <row r="327" spans="1:12" s="292" customFormat="1" ht="15.6" hidden="1" customHeight="1" x14ac:dyDescent="0.35">
      <c r="A327" s="241" t="s">
        <v>72</v>
      </c>
      <c r="B327" s="240">
        <f>rh_t1!C43</f>
        <v>3.1999999999996476E-2</v>
      </c>
      <c r="C327" s="139"/>
      <c r="D327" s="139"/>
      <c r="E327" s="139"/>
      <c r="F327" s="139"/>
      <c r="G327" s="139"/>
      <c r="H327" s="139"/>
      <c r="I327" s="139"/>
      <c r="J327" s="139"/>
      <c r="K327" s="139"/>
      <c r="L327" s="139"/>
    </row>
    <row r="328" spans="1:12" s="292" customFormat="1" ht="15.6" hidden="1" customHeight="1" x14ac:dyDescent="0.2">
      <c r="A328" s="283"/>
      <c r="B328" s="240">
        <f>rh_t1!C44</f>
        <v>-0.2103333333332813</v>
      </c>
      <c r="C328" s="140"/>
      <c r="D328" s="139"/>
      <c r="E328" s="139"/>
      <c r="F328" s="139"/>
      <c r="G328" s="139"/>
      <c r="H328" s="139"/>
      <c r="I328" s="139"/>
      <c r="J328" s="139"/>
      <c r="K328" s="139"/>
      <c r="L328" s="139"/>
    </row>
    <row r="329" spans="1:12" s="292" customFormat="1" ht="18.75" hidden="1" x14ac:dyDescent="0.35">
      <c r="A329" s="242" t="s">
        <v>50</v>
      </c>
      <c r="B329" s="232">
        <f>rh_t1!C45</f>
        <v>9.4999999999998863E-2</v>
      </c>
      <c r="C329" s="139"/>
      <c r="D329" s="139"/>
      <c r="E329" s="139"/>
      <c r="F329" s="139"/>
      <c r="G329" s="139"/>
      <c r="H329" s="139"/>
      <c r="I329" s="139"/>
      <c r="J329" s="139"/>
      <c r="K329" s="139"/>
      <c r="L329" s="139"/>
    </row>
    <row r="330" spans="1:12" s="292" customFormat="1" ht="29.25" hidden="1" customHeight="1" x14ac:dyDescent="0.2">
      <c r="A330" s="417" t="s">
        <v>355</v>
      </c>
      <c r="B330" s="417"/>
      <c r="C330" s="417"/>
      <c r="D330" s="417"/>
      <c r="E330" s="417"/>
      <c r="F330" s="417"/>
      <c r="G330" s="417"/>
      <c r="H330" s="417"/>
      <c r="I330" s="417"/>
      <c r="J330" s="417"/>
      <c r="K330" s="417"/>
      <c r="L330" s="417"/>
    </row>
    <row r="331" spans="1:12" s="292" customFormat="1" ht="31.5" hidden="1" customHeight="1" thickBot="1" x14ac:dyDescent="0.25">
      <c r="A331" s="430" t="str">
        <f>"Заданная температура = "&amp;rh_t1!C86&amp;" °С;  Заданная относительная влажность =  "&amp;$E$1&amp;rh_t1!C39 &amp;" %."</f>
        <v>Заданная температура = 40 °С;  Заданная относительная влажность =  98 %.</v>
      </c>
      <c r="B331" s="430"/>
      <c r="C331" s="430"/>
      <c r="D331" s="430"/>
      <c r="E331" s="430"/>
      <c r="F331" s="430"/>
      <c r="G331" s="430"/>
      <c r="H331" s="430"/>
      <c r="I331" s="430"/>
      <c r="J331" s="430"/>
      <c r="K331" s="430"/>
      <c r="L331" s="430"/>
    </row>
    <row r="332" spans="1:12" s="292" customFormat="1" ht="30.75" hidden="1" customHeight="1" thickBot="1" x14ac:dyDescent="0.25">
      <c r="A332" s="239" t="s">
        <v>89</v>
      </c>
      <c r="B332" s="419" t="s">
        <v>94</v>
      </c>
      <c r="C332" s="419"/>
      <c r="D332" s="419"/>
      <c r="E332" s="419"/>
      <c r="F332" s="419"/>
      <c r="G332" s="419"/>
      <c r="H332" s="419"/>
      <c r="I332" s="419"/>
      <c r="J332" s="419"/>
      <c r="K332" s="420" t="s">
        <v>91</v>
      </c>
      <c r="L332" s="420"/>
    </row>
    <row r="333" spans="1:12" s="292" customFormat="1" ht="15" hidden="1" customHeight="1" x14ac:dyDescent="0.2">
      <c r="A333" s="236"/>
      <c r="B333" s="235">
        <v>1</v>
      </c>
      <c r="C333" s="235">
        <v>2</v>
      </c>
      <c r="D333" s="235">
        <v>3</v>
      </c>
      <c r="E333" s="235">
        <v>4</v>
      </c>
      <c r="F333" s="235">
        <v>5</v>
      </c>
      <c r="G333" s="235">
        <v>6</v>
      </c>
      <c r="H333" s="235">
        <v>7</v>
      </c>
      <c r="I333" s="235">
        <v>8</v>
      </c>
      <c r="J333" s="235">
        <v>9</v>
      </c>
      <c r="K333" s="237" t="s">
        <v>92</v>
      </c>
      <c r="L333" s="238" t="s">
        <v>93</v>
      </c>
    </row>
    <row r="334" spans="1:12" s="292" customFormat="1" ht="15" hidden="1" customHeight="1" x14ac:dyDescent="0.2">
      <c r="A334" s="226">
        <v>1</v>
      </c>
      <c r="B334" s="227">
        <f>rh_t1!C50</f>
        <v>39.69003</v>
      </c>
      <c r="C334" s="227">
        <f>rh_t1!D50</f>
        <v>39.890059999999998</v>
      </c>
      <c r="D334" s="227">
        <f>rh_t1!E50</f>
        <v>39.800939999999997</v>
      </c>
      <c r="E334" s="227">
        <f>rh_t1!F50</f>
        <v>40.029969999999999</v>
      </c>
      <c r="F334" s="227">
        <f>rh_t1!G50</f>
        <v>39.7866</v>
      </c>
      <c r="G334" s="227">
        <f>rh_t1!H50</f>
        <v>39.702770000000001</v>
      </c>
      <c r="H334" s="227">
        <f>rh_t1!I50</f>
        <v>39.728859999999997</v>
      </c>
      <c r="I334" s="227">
        <f>rh_t1!J50</f>
        <v>39.519660000000002</v>
      </c>
      <c r="J334" s="227">
        <f>rh_t1!K50</f>
        <v>39.863959999999999</v>
      </c>
      <c r="K334" s="227">
        <f>rh_t1!L50</f>
        <v>39.779205555555556</v>
      </c>
      <c r="L334" s="227">
        <f>rh_t1!M50</f>
        <v>0.13604539210711991</v>
      </c>
    </row>
    <row r="335" spans="1:12" s="292" customFormat="1" ht="15" hidden="1" customHeight="1" x14ac:dyDescent="0.2">
      <c r="A335" s="226">
        <v>2</v>
      </c>
      <c r="B335" s="227">
        <f>rh_t1!C51</f>
        <v>39.681750000000001</v>
      </c>
      <c r="C335" s="227">
        <f>rh_t1!D51</f>
        <v>39.884929999999997</v>
      </c>
      <c r="D335" s="227">
        <f>rh_t1!E51</f>
        <v>39.797649999999997</v>
      </c>
      <c r="E335" s="227">
        <f>rh_t1!F51</f>
        <v>40.025069999999999</v>
      </c>
      <c r="F335" s="227">
        <f>rh_t1!G51</f>
        <v>39.777160000000002</v>
      </c>
      <c r="G335" s="227">
        <f>rh_t1!H51</f>
        <v>39.693420000000003</v>
      </c>
      <c r="H335" s="227">
        <f>rh_t1!I51</f>
        <v>39.72146</v>
      </c>
      <c r="I335" s="227">
        <f>rh_t1!J51</f>
        <v>39.514279999999999</v>
      </c>
      <c r="J335" s="227">
        <f>rh_t1!K51</f>
        <v>39.856560000000002</v>
      </c>
      <c r="K335" s="227">
        <f>rh_t1!L51</f>
        <v>39.772475555555552</v>
      </c>
      <c r="L335" s="227">
        <f>rh_t1!M51</f>
        <v>0.13659521913799874</v>
      </c>
    </row>
    <row r="336" spans="1:12" s="292" customFormat="1" ht="15" hidden="1" customHeight="1" x14ac:dyDescent="0.2">
      <c r="A336" s="226">
        <v>3</v>
      </c>
      <c r="B336" s="227">
        <f>rh_t1!C52</f>
        <v>39.674460000000003</v>
      </c>
      <c r="C336" s="227">
        <f>rh_t1!D52</f>
        <v>39.876220000000004</v>
      </c>
      <c r="D336" s="227">
        <f>rh_t1!E52</f>
        <v>39.790990000000001</v>
      </c>
      <c r="E336" s="227">
        <f>rh_t1!F52</f>
        <v>40.015439999999998</v>
      </c>
      <c r="F336" s="227">
        <f>rh_t1!G52</f>
        <v>39.765549999999998</v>
      </c>
      <c r="G336" s="227">
        <f>rh_t1!H52</f>
        <v>39.684570000000001</v>
      </c>
      <c r="H336" s="227">
        <f>rh_t1!I52</f>
        <v>39.711449999999999</v>
      </c>
      <c r="I336" s="227">
        <f>rh_t1!J52</f>
        <v>39.508580000000002</v>
      </c>
      <c r="J336" s="227">
        <f>rh_t1!K52</f>
        <v>39.849730000000001</v>
      </c>
      <c r="K336" s="227">
        <f>rh_t1!L52</f>
        <v>39.764109999999995</v>
      </c>
      <c r="L336" s="227">
        <f>rh_t1!M52</f>
        <v>0.13590160002328416</v>
      </c>
    </row>
    <row r="337" spans="1:12" s="292" customFormat="1" ht="15" hidden="1" customHeight="1" x14ac:dyDescent="0.2">
      <c r="A337" s="226">
        <v>4</v>
      </c>
      <c r="B337" s="227">
        <f>rh_t1!C53</f>
        <v>39.672179999999997</v>
      </c>
      <c r="C337" s="227">
        <f>rh_t1!D53</f>
        <v>39.870190000000001</v>
      </c>
      <c r="D337" s="227">
        <f>rh_t1!E53</f>
        <v>39.786540000000002</v>
      </c>
      <c r="E337" s="227">
        <f>rh_t1!F53</f>
        <v>40.011139999999997</v>
      </c>
      <c r="F337" s="227">
        <f>rh_t1!G53</f>
        <v>39.761249999999997</v>
      </c>
      <c r="G337" s="227">
        <f>rh_t1!H53</f>
        <v>39.679839999999999</v>
      </c>
      <c r="H337" s="227">
        <f>rh_t1!I53</f>
        <v>39.706609999999998</v>
      </c>
      <c r="I337" s="227">
        <f>rh_t1!J53</f>
        <v>39.504309999999997</v>
      </c>
      <c r="J337" s="227">
        <f>rh_t1!K53</f>
        <v>39.84554</v>
      </c>
      <c r="K337" s="227">
        <f>rh_t1!L53</f>
        <v>39.75973333333333</v>
      </c>
      <c r="L337" s="227">
        <f>rh_t1!M53</f>
        <v>0.1356471597769586</v>
      </c>
    </row>
    <row r="338" spans="1:12" s="292" customFormat="1" ht="15" hidden="1" customHeight="1" x14ac:dyDescent="0.2">
      <c r="A338" s="226">
        <v>5</v>
      </c>
      <c r="B338" s="227">
        <f>rh_t1!C54</f>
        <v>39.670569999999998</v>
      </c>
      <c r="C338" s="227">
        <f>rh_t1!D54</f>
        <v>39.868899999999996</v>
      </c>
      <c r="D338" s="227">
        <f>rh_t1!E54</f>
        <v>39.783459999999998</v>
      </c>
      <c r="E338" s="227">
        <f>rh_t1!F54</f>
        <v>40.008620000000001</v>
      </c>
      <c r="F338" s="227">
        <f>rh_t1!G54</f>
        <v>39.760420000000003</v>
      </c>
      <c r="G338" s="227">
        <f>rh_t1!H54</f>
        <v>39.680489999999999</v>
      </c>
      <c r="H338" s="227">
        <f>rh_t1!I54</f>
        <v>39.70449</v>
      </c>
      <c r="I338" s="227">
        <f>rh_t1!J54</f>
        <v>39.502130000000001</v>
      </c>
      <c r="J338" s="227">
        <f>rh_t1!K54</f>
        <v>39.844569999999997</v>
      </c>
      <c r="K338" s="227">
        <f>rh_t1!L54</f>
        <v>39.758183333333335</v>
      </c>
      <c r="L338" s="227">
        <f>rh_t1!M54</f>
        <v>0.13549985928651936</v>
      </c>
    </row>
    <row r="339" spans="1:12" s="292" customFormat="1" ht="15" hidden="1" customHeight="1" x14ac:dyDescent="0.2">
      <c r="A339" s="226">
        <v>6</v>
      </c>
      <c r="B339" s="227">
        <f>rh_t1!C55</f>
        <v>39.669589999999999</v>
      </c>
      <c r="C339" s="227">
        <f>rh_t1!D55</f>
        <v>39.870109999999997</v>
      </c>
      <c r="D339" s="227">
        <f>rh_t1!E55</f>
        <v>39.783029999999997</v>
      </c>
      <c r="E339" s="227">
        <f>rh_t1!F55</f>
        <v>40.005470000000003</v>
      </c>
      <c r="F339" s="227">
        <f>rh_t1!G55</f>
        <v>39.760249999999999</v>
      </c>
      <c r="G339" s="227">
        <f>rh_t1!H55</f>
        <v>39.679079999999999</v>
      </c>
      <c r="H339" s="227">
        <f>rh_t1!I55</f>
        <v>39.703200000000002</v>
      </c>
      <c r="I339" s="227">
        <f>rh_t1!J55</f>
        <v>39.500999999999998</v>
      </c>
      <c r="J339" s="227">
        <f>rh_t1!K55</f>
        <v>39.843069999999997</v>
      </c>
      <c r="K339" s="227">
        <f>rh_t1!L55</f>
        <v>39.75719999999999</v>
      </c>
      <c r="L339" s="227">
        <f>rh_t1!M55</f>
        <v>0.13530603000441507</v>
      </c>
    </row>
    <row r="340" spans="1:12" s="292" customFormat="1" ht="15" hidden="1" customHeight="1" x14ac:dyDescent="0.2">
      <c r="A340" s="226">
        <v>7</v>
      </c>
      <c r="B340" s="227">
        <f>rh_t1!C56</f>
        <v>39.673169999999999</v>
      </c>
      <c r="C340" s="227">
        <f>rh_t1!D56</f>
        <v>39.873399999999997</v>
      </c>
      <c r="D340" s="227">
        <f>rh_t1!E56</f>
        <v>39.782539999999997</v>
      </c>
      <c r="E340" s="227">
        <f>rh_t1!F56</f>
        <v>40.00703</v>
      </c>
      <c r="F340" s="227">
        <f>rh_t1!G56</f>
        <v>39.76238</v>
      </c>
      <c r="G340" s="227">
        <f>rh_t1!H56</f>
        <v>39.683059999999998</v>
      </c>
      <c r="H340" s="227">
        <f>rh_t1!I56</f>
        <v>39.708100000000002</v>
      </c>
      <c r="I340" s="227">
        <f>rh_t1!J56</f>
        <v>39.504710000000003</v>
      </c>
      <c r="J340" s="227">
        <f>rh_t1!K56</f>
        <v>39.846530000000001</v>
      </c>
      <c r="K340" s="227">
        <f>rh_t1!L56</f>
        <v>39.760102222222223</v>
      </c>
      <c r="L340" s="227">
        <f>rh_t1!M56</f>
        <v>0.13466429468024632</v>
      </c>
    </row>
    <row r="341" spans="1:12" s="292" customFormat="1" ht="15" hidden="1" customHeight="1" x14ac:dyDescent="0.2">
      <c r="A341" s="226">
        <v>8</v>
      </c>
      <c r="B341" s="227">
        <f>rh_t1!C57</f>
        <v>39.676960000000001</v>
      </c>
      <c r="C341" s="227">
        <f>rh_t1!D57</f>
        <v>39.87426</v>
      </c>
      <c r="D341" s="227">
        <f>rh_t1!E57</f>
        <v>39.785069999999997</v>
      </c>
      <c r="E341" s="227">
        <f>rh_t1!F57</f>
        <v>40.015099999999997</v>
      </c>
      <c r="F341" s="227">
        <f>rh_t1!G57</f>
        <v>39.768030000000003</v>
      </c>
      <c r="G341" s="227">
        <f>rh_t1!H57</f>
        <v>39.687869999999997</v>
      </c>
      <c r="H341" s="227">
        <f>rh_t1!I57</f>
        <v>39.712510000000002</v>
      </c>
      <c r="I341" s="227">
        <f>rh_t1!J57</f>
        <v>39.506239999999998</v>
      </c>
      <c r="J341" s="227">
        <f>rh_t1!K57</f>
        <v>39.849550000000001</v>
      </c>
      <c r="K341" s="227">
        <f>rh_t1!L57</f>
        <v>39.763954444444444</v>
      </c>
      <c r="L341" s="227">
        <f>rh_t1!M57</f>
        <v>0.13558540704098307</v>
      </c>
    </row>
    <row r="342" spans="1:12" s="292" customFormat="1" ht="15" hidden="1" customHeight="1" x14ac:dyDescent="0.2">
      <c r="A342" s="226">
        <v>9</v>
      </c>
      <c r="B342" s="227">
        <f>rh_t1!C58</f>
        <v>39.677930000000003</v>
      </c>
      <c r="C342" s="227">
        <f>rh_t1!D58</f>
        <v>39.87574</v>
      </c>
      <c r="D342" s="227">
        <f>rh_t1!E58</f>
        <v>39.787039999999998</v>
      </c>
      <c r="E342" s="227">
        <f>rh_t1!F58</f>
        <v>40.018030000000003</v>
      </c>
      <c r="F342" s="227">
        <f>rh_t1!G58</f>
        <v>39.770040000000002</v>
      </c>
      <c r="G342" s="227">
        <f>rh_t1!H58</f>
        <v>39.689169999999997</v>
      </c>
      <c r="H342" s="227">
        <f>rh_t1!I58</f>
        <v>39.711649999999999</v>
      </c>
      <c r="I342" s="227">
        <f>rh_t1!J58</f>
        <v>39.508800000000001</v>
      </c>
      <c r="J342" s="227">
        <f>rh_t1!K58</f>
        <v>39.849629999999998</v>
      </c>
      <c r="K342" s="227">
        <f>rh_t1!L58</f>
        <v>39.76533666666667</v>
      </c>
      <c r="L342" s="227">
        <f>rh_t1!M58</f>
        <v>0.13571864065861514</v>
      </c>
    </row>
    <row r="343" spans="1:12" s="292" customFormat="1" ht="15" hidden="1" customHeight="1" x14ac:dyDescent="0.2">
      <c r="A343" s="226">
        <v>10</v>
      </c>
      <c r="B343" s="227">
        <f>rh_t1!C59</f>
        <v>39.677720000000001</v>
      </c>
      <c r="C343" s="227">
        <f>rh_t1!D59</f>
        <v>39.877400000000002</v>
      </c>
      <c r="D343" s="227">
        <f>rh_t1!E59</f>
        <v>39.79</v>
      </c>
      <c r="E343" s="227">
        <f>rh_t1!F59</f>
        <v>40.020339999999997</v>
      </c>
      <c r="F343" s="227">
        <f>rh_t1!G59</f>
        <v>39.769390000000001</v>
      </c>
      <c r="G343" s="227">
        <f>rh_t1!H59</f>
        <v>39.69126</v>
      </c>
      <c r="H343" s="227">
        <f>rh_t1!I59</f>
        <v>39.715809999999998</v>
      </c>
      <c r="I343" s="227">
        <f>rh_t1!J59</f>
        <v>39.509979999999999</v>
      </c>
      <c r="J343" s="227">
        <f>rh_t1!K59</f>
        <v>39.852119999999999</v>
      </c>
      <c r="K343" s="227">
        <f>rh_t1!L59</f>
        <v>39.767113333333334</v>
      </c>
      <c r="L343" s="227">
        <f>rh_t1!M59</f>
        <v>0.13602960829662522</v>
      </c>
    </row>
    <row r="344" spans="1:12" s="292" customFormat="1" ht="15" hidden="1" customHeight="1" x14ac:dyDescent="0.2">
      <c r="A344" s="226">
        <v>11</v>
      </c>
      <c r="B344" s="227">
        <f>rh_t1!C60</f>
        <v>39.672899999999998</v>
      </c>
      <c r="C344" s="227">
        <f>rh_t1!D60</f>
        <v>39.873179999999998</v>
      </c>
      <c r="D344" s="227">
        <f>rh_t1!E60</f>
        <v>39.788400000000003</v>
      </c>
      <c r="E344" s="227">
        <f>rh_t1!F60</f>
        <v>40.019829999999999</v>
      </c>
      <c r="F344" s="227">
        <f>rh_t1!G60</f>
        <v>39.764180000000003</v>
      </c>
      <c r="G344" s="227">
        <f>rh_t1!H60</f>
        <v>39.687390000000001</v>
      </c>
      <c r="H344" s="227">
        <f>rh_t1!I60</f>
        <v>39.713039999999999</v>
      </c>
      <c r="I344" s="227">
        <f>rh_t1!J60</f>
        <v>39.506</v>
      </c>
      <c r="J344" s="227">
        <f>rh_t1!K60</f>
        <v>39.847990000000003</v>
      </c>
      <c r="K344" s="227">
        <f>rh_t1!L60</f>
        <v>39.763656666666662</v>
      </c>
      <c r="L344" s="227">
        <f>rh_t1!M60</f>
        <v>0.1367670918020851</v>
      </c>
    </row>
    <row r="345" spans="1:12" s="292" customFormat="1" ht="15" hidden="1" customHeight="1" x14ac:dyDescent="0.2">
      <c r="A345" s="226">
        <v>12</v>
      </c>
      <c r="B345" s="227">
        <f>rh_t1!C61</f>
        <v>39.667740000000002</v>
      </c>
      <c r="C345" s="227">
        <f>rh_t1!D61</f>
        <v>39.870519999999999</v>
      </c>
      <c r="D345" s="227">
        <f>rh_t1!E61</f>
        <v>39.78434</v>
      </c>
      <c r="E345" s="227">
        <f>rh_t1!F61</f>
        <v>40.013300000000001</v>
      </c>
      <c r="F345" s="227">
        <f>rh_t1!G61</f>
        <v>39.752510000000001</v>
      </c>
      <c r="G345" s="227">
        <f>rh_t1!H61</f>
        <v>39.681019999999997</v>
      </c>
      <c r="H345" s="227">
        <f>rh_t1!I61</f>
        <v>39.703629999999997</v>
      </c>
      <c r="I345" s="227">
        <f>rh_t1!J61</f>
        <v>39.50047</v>
      </c>
      <c r="J345" s="227">
        <f>rh_t1!K61</f>
        <v>39.844889999999999</v>
      </c>
      <c r="K345" s="227">
        <f>rh_t1!L61</f>
        <v>39.757602222222225</v>
      </c>
      <c r="L345" s="227">
        <f>rh_t1!M61</f>
        <v>0.13721913130122129</v>
      </c>
    </row>
    <row r="346" spans="1:12" s="292" customFormat="1" ht="15" hidden="1" customHeight="1" x14ac:dyDescent="0.2">
      <c r="A346" s="226">
        <v>13</v>
      </c>
      <c r="B346" s="227">
        <f>rh_t1!C62</f>
        <v>39.674410000000002</v>
      </c>
      <c r="C346" s="227">
        <f>rh_t1!D62</f>
        <v>39.87697</v>
      </c>
      <c r="D346" s="227">
        <f>rh_t1!E62</f>
        <v>39.78031</v>
      </c>
      <c r="E346" s="227">
        <f>rh_t1!F62</f>
        <v>40.012999999999998</v>
      </c>
      <c r="F346" s="227">
        <f>rh_t1!G62</f>
        <v>39.751730000000002</v>
      </c>
      <c r="G346" s="227">
        <f>rh_t1!H62</f>
        <v>39.683219999999999</v>
      </c>
      <c r="H346" s="227">
        <f>rh_t1!I62</f>
        <v>39.707880000000003</v>
      </c>
      <c r="I346" s="227">
        <f>rh_t1!J62</f>
        <v>39.503399999999999</v>
      </c>
      <c r="J346" s="227">
        <f>rh_t1!K62</f>
        <v>39.850299999999997</v>
      </c>
      <c r="K346" s="227">
        <f>rh_t1!L62</f>
        <v>39.760135555555557</v>
      </c>
      <c r="L346" s="227">
        <f>rh_t1!M62</f>
        <v>0.13666937616103597</v>
      </c>
    </row>
    <row r="347" spans="1:12" s="292" customFormat="1" ht="15" hidden="1" customHeight="1" x14ac:dyDescent="0.2">
      <c r="A347" s="226">
        <v>14</v>
      </c>
      <c r="B347" s="227">
        <f>rh_t1!C63</f>
        <v>39.679380000000002</v>
      </c>
      <c r="C347" s="227">
        <f>rh_t1!D63</f>
        <v>39.882129999999997</v>
      </c>
      <c r="D347" s="227">
        <f>rh_t1!E63</f>
        <v>39.786169999999998</v>
      </c>
      <c r="E347" s="227">
        <f>rh_t1!F63</f>
        <v>40.019390000000001</v>
      </c>
      <c r="F347" s="227">
        <f>rh_t1!G63</f>
        <v>39.765659999999997</v>
      </c>
      <c r="G347" s="227">
        <f>rh_t1!H63</f>
        <v>39.692070000000001</v>
      </c>
      <c r="H347" s="227">
        <f>rh_t1!I63</f>
        <v>39.714840000000002</v>
      </c>
      <c r="I347" s="227">
        <f>rh_t1!J63</f>
        <v>39.509169999999997</v>
      </c>
      <c r="J347" s="227">
        <f>rh_t1!K63</f>
        <v>39.852939999999997</v>
      </c>
      <c r="K347" s="227">
        <f>rh_t1!L63</f>
        <v>39.766861111111112</v>
      </c>
      <c r="L347" s="227">
        <f>rh_t1!M63</f>
        <v>0.13629998259105158</v>
      </c>
    </row>
    <row r="348" spans="1:12" s="292" customFormat="1" ht="15" hidden="1" customHeight="1" x14ac:dyDescent="0.2">
      <c r="A348" s="226">
        <v>15</v>
      </c>
      <c r="B348" s="227">
        <f>rh_t1!C64</f>
        <v>39.685670000000002</v>
      </c>
      <c r="C348" s="227">
        <f>rh_t1!D64</f>
        <v>39.887729999999998</v>
      </c>
      <c r="D348" s="227">
        <f>rh_t1!E64</f>
        <v>39.790019999999998</v>
      </c>
      <c r="E348" s="227">
        <f>rh_t1!F64</f>
        <v>40.023159999999997</v>
      </c>
      <c r="F348" s="227">
        <f>rh_t1!G64</f>
        <v>39.777250000000002</v>
      </c>
      <c r="G348" s="227">
        <f>rh_t1!H64</f>
        <v>39.698569999999997</v>
      </c>
      <c r="H348" s="227">
        <f>rh_t1!I64</f>
        <v>39.720739999999999</v>
      </c>
      <c r="I348" s="227">
        <f>rh_t1!J64</f>
        <v>39.514740000000003</v>
      </c>
      <c r="J348" s="227">
        <f>rh_t1!K64</f>
        <v>39.85839</v>
      </c>
      <c r="K348" s="227">
        <f>rh_t1!L64</f>
        <v>39.772918888888881</v>
      </c>
      <c r="L348" s="227">
        <f>rh_t1!M64</f>
        <v>0.13578488841173481</v>
      </c>
    </row>
    <row r="349" spans="1:12" s="292" customFormat="1" ht="15" hidden="1" customHeight="1" x14ac:dyDescent="0.2">
      <c r="A349" s="226">
        <v>16</v>
      </c>
      <c r="B349" s="227">
        <f>rh_t1!C65</f>
        <v>39.681669999999997</v>
      </c>
      <c r="C349" s="227">
        <f>rh_t1!D65</f>
        <v>39.880740000000003</v>
      </c>
      <c r="D349" s="227">
        <f>rh_t1!E65</f>
        <v>39.79419</v>
      </c>
      <c r="E349" s="227">
        <f>rh_t1!F65</f>
        <v>40.025069999999999</v>
      </c>
      <c r="F349" s="227">
        <f>rh_t1!G65</f>
        <v>39.771419999999999</v>
      </c>
      <c r="G349" s="227">
        <f>rh_t1!H65</f>
        <v>39.694389999999999</v>
      </c>
      <c r="H349" s="227">
        <f>rh_t1!I65</f>
        <v>39.715299999999999</v>
      </c>
      <c r="I349" s="227">
        <f>rh_t1!J65</f>
        <v>39.513689999999997</v>
      </c>
      <c r="J349" s="227">
        <f>rh_t1!K65</f>
        <v>39.852800000000002</v>
      </c>
      <c r="K349" s="227">
        <f>rh_t1!L65</f>
        <v>39.769918888888888</v>
      </c>
      <c r="L349" s="227">
        <f>rh_t1!M65</f>
        <v>0.13620775507734584</v>
      </c>
    </row>
    <row r="350" spans="1:12" s="292" customFormat="1" ht="15" hidden="1" customHeight="1" x14ac:dyDescent="0.2">
      <c r="A350" s="226">
        <v>17</v>
      </c>
      <c r="B350" s="227">
        <f>rh_t1!C66</f>
        <v>39.673409999999997</v>
      </c>
      <c r="C350" s="227">
        <f>rh_t1!D66</f>
        <v>39.872459999999997</v>
      </c>
      <c r="D350" s="227">
        <f>rh_t1!E66</f>
        <v>39.790950000000002</v>
      </c>
      <c r="E350" s="227">
        <f>rh_t1!F66</f>
        <v>40.015439999999998</v>
      </c>
      <c r="F350" s="227">
        <f>rh_t1!G66</f>
        <v>39.759450000000001</v>
      </c>
      <c r="G350" s="227">
        <f>rh_t1!H66</f>
        <v>39.679920000000003</v>
      </c>
      <c r="H350" s="227">
        <f>rh_t1!I66</f>
        <v>39.70608</v>
      </c>
      <c r="I350" s="227">
        <f>rh_t1!J66</f>
        <v>39.50656</v>
      </c>
      <c r="J350" s="227">
        <f>rh_t1!K66</f>
        <v>39.844329999999999</v>
      </c>
      <c r="K350" s="227">
        <f>rh_t1!L66</f>
        <v>39.760955555555562</v>
      </c>
      <c r="L350" s="227">
        <f>rh_t1!M66</f>
        <v>0.1362221289831104</v>
      </c>
    </row>
    <row r="351" spans="1:12" s="292" customFormat="1" ht="15" hidden="1" customHeight="1" x14ac:dyDescent="0.2">
      <c r="A351" s="226">
        <v>18</v>
      </c>
      <c r="B351" s="227">
        <f>rh_t1!C67</f>
        <v>39.670250000000003</v>
      </c>
      <c r="C351" s="227">
        <f>rh_t1!D67</f>
        <v>39.873289999999997</v>
      </c>
      <c r="D351" s="227">
        <f>rh_t1!E67</f>
        <v>39.785769999999999</v>
      </c>
      <c r="E351" s="227">
        <f>rh_t1!F67</f>
        <v>40.01155</v>
      </c>
      <c r="F351" s="227">
        <f>rh_t1!G67</f>
        <v>39.754710000000003</v>
      </c>
      <c r="G351" s="227">
        <f>rh_t1!H67</f>
        <v>39.675379999999997</v>
      </c>
      <c r="H351" s="227">
        <f>rh_t1!I67</f>
        <v>39.701970000000003</v>
      </c>
      <c r="I351" s="227">
        <f>rh_t1!J67</f>
        <v>39.504600000000003</v>
      </c>
      <c r="J351" s="227">
        <f>rh_t1!K67</f>
        <v>39.842559999999999</v>
      </c>
      <c r="K351" s="227">
        <f>rh_t1!L67</f>
        <v>39.757786666666661</v>
      </c>
      <c r="L351" s="227">
        <f>rh_t1!M67</f>
        <v>0.13637709786552094</v>
      </c>
    </row>
    <row r="352" spans="1:12" s="292" customFormat="1" ht="15" hidden="1" customHeight="1" x14ac:dyDescent="0.2">
      <c r="A352" s="226">
        <v>19</v>
      </c>
      <c r="B352" s="227">
        <f>rh_t1!C68</f>
        <v>39.667119999999997</v>
      </c>
      <c r="C352" s="227">
        <f>rh_t1!D68</f>
        <v>39.872369999999997</v>
      </c>
      <c r="D352" s="227">
        <f>rh_t1!E68</f>
        <v>39.78389</v>
      </c>
      <c r="E352" s="227">
        <f>rh_t1!F68</f>
        <v>40.010440000000003</v>
      </c>
      <c r="F352" s="227">
        <f>rh_t1!G68</f>
        <v>39.748690000000003</v>
      </c>
      <c r="G352" s="227">
        <f>rh_t1!H68</f>
        <v>39.672580000000004</v>
      </c>
      <c r="H352" s="227">
        <f>rh_t1!I68</f>
        <v>39.697719999999997</v>
      </c>
      <c r="I352" s="227">
        <f>rh_t1!J68</f>
        <v>39.501080000000002</v>
      </c>
      <c r="J352" s="227">
        <f>rh_t1!K68</f>
        <v>39.840000000000003</v>
      </c>
      <c r="K352" s="227">
        <f>rh_t1!L68</f>
        <v>39.754876666666668</v>
      </c>
      <c r="L352" s="227">
        <f>rh_t1!M68</f>
        <v>0.1371928640029553</v>
      </c>
    </row>
    <row r="353" spans="1:12" s="292" customFormat="1" ht="15" hidden="1" customHeight="1" x14ac:dyDescent="0.2">
      <c r="A353" s="226">
        <v>20</v>
      </c>
      <c r="B353" s="227">
        <f>rh_t1!C69</f>
        <v>39.66769</v>
      </c>
      <c r="C353" s="227">
        <f>rh_t1!D69</f>
        <v>39.874899999999997</v>
      </c>
      <c r="D353" s="227">
        <f>rh_t1!E69</f>
        <v>39.782359999999997</v>
      </c>
      <c r="E353" s="227">
        <f>rh_t1!F69</f>
        <v>40.009099999999997</v>
      </c>
      <c r="F353" s="227">
        <f>rh_t1!G69</f>
        <v>39.748049999999999</v>
      </c>
      <c r="G353" s="227">
        <f>rh_t1!H69</f>
        <v>39.673189999999998</v>
      </c>
      <c r="H353" s="227">
        <f>rh_t1!I69</f>
        <v>39.700319999999998</v>
      </c>
      <c r="I353" s="227">
        <f>rh_t1!J69</f>
        <v>39.499250000000004</v>
      </c>
      <c r="J353" s="227">
        <f>rh_t1!K69</f>
        <v>39.841769999999997</v>
      </c>
      <c r="K353" s="227">
        <f>rh_t1!L69</f>
        <v>39.755181111111114</v>
      </c>
      <c r="L353" s="227">
        <f>rh_t1!M69</f>
        <v>0.13742970198488319</v>
      </c>
    </row>
    <row r="354" spans="1:12" s="292" customFormat="1" ht="15" hidden="1" customHeight="1" x14ac:dyDescent="0.2">
      <c r="A354" s="226">
        <v>21</v>
      </c>
      <c r="B354" s="227">
        <f>rh_t1!C70</f>
        <v>39.669029999999999</v>
      </c>
      <c r="C354" s="227">
        <f>rh_t1!D70</f>
        <v>39.877400000000002</v>
      </c>
      <c r="D354" s="227">
        <f>rh_t1!E70</f>
        <v>39.785339999999998</v>
      </c>
      <c r="E354" s="227">
        <f>rh_t1!F70</f>
        <v>40.014420000000001</v>
      </c>
      <c r="F354" s="227">
        <f>rh_t1!G70</f>
        <v>39.751710000000003</v>
      </c>
      <c r="G354" s="227">
        <f>rh_t1!H70</f>
        <v>39.678870000000003</v>
      </c>
      <c r="H354" s="227">
        <f>rh_t1!I70</f>
        <v>39.704700000000003</v>
      </c>
      <c r="I354" s="227">
        <f>rh_t1!J70</f>
        <v>39.502099999999999</v>
      </c>
      <c r="J354" s="227">
        <f>rh_t1!K70</f>
        <v>39.843150000000001</v>
      </c>
      <c r="K354" s="227">
        <f>rh_t1!L70</f>
        <v>39.75852444444444</v>
      </c>
      <c r="L354" s="227">
        <f>rh_t1!M70</f>
        <v>0.13765721558447</v>
      </c>
    </row>
    <row r="355" spans="1:12" s="292" customFormat="1" ht="15" hidden="1" customHeight="1" x14ac:dyDescent="0.2">
      <c r="A355" s="226">
        <v>22</v>
      </c>
      <c r="B355" s="227">
        <f>rh_t1!C71</f>
        <v>39.673070000000003</v>
      </c>
      <c r="C355" s="227">
        <f>rh_t1!D71</f>
        <v>39.87697</v>
      </c>
      <c r="D355" s="227">
        <f>rh_t1!E71</f>
        <v>39.786009999999997</v>
      </c>
      <c r="E355" s="227">
        <f>rh_t1!F71</f>
        <v>40.016959999999997</v>
      </c>
      <c r="F355" s="227">
        <f>rh_t1!G71</f>
        <v>39.753419999999998</v>
      </c>
      <c r="G355" s="227">
        <f>rh_t1!H71</f>
        <v>39.681080000000001</v>
      </c>
      <c r="H355" s="227">
        <f>rh_t1!I71</f>
        <v>39.706699999999998</v>
      </c>
      <c r="I355" s="227">
        <f>rh_t1!J71</f>
        <v>39.503979999999999</v>
      </c>
      <c r="J355" s="227">
        <f>rh_t1!K71</f>
        <v>39.843600000000002</v>
      </c>
      <c r="K355" s="227">
        <f>rh_t1!L71</f>
        <v>39.760198888888887</v>
      </c>
      <c r="L355" s="227">
        <f>rh_t1!M71</f>
        <v>0.13727149282793491</v>
      </c>
    </row>
    <row r="356" spans="1:12" s="292" customFormat="1" ht="15" hidden="1" customHeight="1" x14ac:dyDescent="0.2">
      <c r="A356" s="226">
        <v>23</v>
      </c>
      <c r="B356" s="227">
        <f>rh_t1!C72</f>
        <v>39.671390000000002</v>
      </c>
      <c r="C356" s="227">
        <f>rh_t1!D72</f>
        <v>39.872329999999998</v>
      </c>
      <c r="D356" s="227">
        <f>rh_t1!E72</f>
        <v>39.788319999999999</v>
      </c>
      <c r="E356" s="227">
        <f>rh_t1!F72</f>
        <v>40.016930000000002</v>
      </c>
      <c r="F356" s="227">
        <f>rh_t1!G72</f>
        <v>39.753369999999997</v>
      </c>
      <c r="G356" s="227">
        <f>rh_t1!H72</f>
        <v>39.680320000000002</v>
      </c>
      <c r="H356" s="227">
        <f>rh_t1!I72</f>
        <v>39.705919999999999</v>
      </c>
      <c r="I356" s="227">
        <f>rh_t1!J72</f>
        <v>39.504440000000002</v>
      </c>
      <c r="J356" s="227">
        <f>rh_t1!K72</f>
        <v>39.842750000000002</v>
      </c>
      <c r="K356" s="227">
        <f>rh_t1!L72</f>
        <v>39.759530000000005</v>
      </c>
      <c r="L356" s="227">
        <f>rh_t1!M72</f>
        <v>0.13693421048079951</v>
      </c>
    </row>
    <row r="357" spans="1:12" s="292" customFormat="1" ht="15" hidden="1" customHeight="1" x14ac:dyDescent="0.2">
      <c r="A357" s="226">
        <v>24</v>
      </c>
      <c r="B357" s="227">
        <f>rh_t1!C73</f>
        <v>39.676960000000001</v>
      </c>
      <c r="C357" s="227">
        <f>rh_t1!D73</f>
        <v>39.880710000000001</v>
      </c>
      <c r="D357" s="227">
        <f>rh_t1!E73</f>
        <v>39.786630000000002</v>
      </c>
      <c r="E357" s="227">
        <f>rh_t1!F73</f>
        <v>40.013840000000002</v>
      </c>
      <c r="F357" s="227">
        <f>rh_t1!G73</f>
        <v>39.754100000000001</v>
      </c>
      <c r="G357" s="227">
        <f>rh_t1!H73</f>
        <v>39.67653</v>
      </c>
      <c r="H357" s="227">
        <f>rh_t1!I73</f>
        <v>39.706960000000002</v>
      </c>
      <c r="I357" s="227">
        <f>rh_t1!J73</f>
        <v>39.50667</v>
      </c>
      <c r="J357" s="227">
        <f>rh_t1!K73</f>
        <v>39.8461</v>
      </c>
      <c r="K357" s="227">
        <f>rh_t1!L73</f>
        <v>39.760944444444441</v>
      </c>
      <c r="L357" s="227">
        <f>rh_t1!M73</f>
        <v>0.13662886136546989</v>
      </c>
    </row>
    <row r="358" spans="1:12" s="292" customFormat="1" ht="15" hidden="1" customHeight="1" x14ac:dyDescent="0.2">
      <c r="A358" s="226">
        <v>25</v>
      </c>
      <c r="B358" s="227">
        <f>rh_t1!C74</f>
        <v>39.684930000000001</v>
      </c>
      <c r="C358" s="227">
        <f>rh_t1!D74</f>
        <v>39.885010000000001</v>
      </c>
      <c r="D358" s="227">
        <f>rh_t1!E74</f>
        <v>39.790599999999998</v>
      </c>
      <c r="E358" s="227">
        <f>rh_t1!F74</f>
        <v>40.020659999999999</v>
      </c>
      <c r="F358" s="227">
        <f>rh_t1!G74</f>
        <v>39.767859999999999</v>
      </c>
      <c r="G358" s="227">
        <f>rh_t1!H74</f>
        <v>39.687130000000003</v>
      </c>
      <c r="H358" s="227">
        <f>rh_t1!I74</f>
        <v>39.716189999999997</v>
      </c>
      <c r="I358" s="227">
        <f>rh_t1!J74</f>
        <v>39.513019999999997</v>
      </c>
      <c r="J358" s="227">
        <f>rh_t1!K74</f>
        <v>39.852849999999997</v>
      </c>
      <c r="K358" s="227">
        <f>rh_t1!L74</f>
        <v>39.768694444444442</v>
      </c>
      <c r="L358" s="227">
        <f>rh_t1!M74</f>
        <v>0.1359632449607133</v>
      </c>
    </row>
    <row r="359" spans="1:12" s="292" customFormat="1" ht="15" hidden="1" customHeight="1" x14ac:dyDescent="0.2">
      <c r="A359" s="226">
        <v>26</v>
      </c>
      <c r="B359" s="227">
        <f>rh_t1!C75</f>
        <v>39.686160000000001</v>
      </c>
      <c r="C359" s="227">
        <f>rh_t1!D75</f>
        <v>39.878369999999997</v>
      </c>
      <c r="D359" s="227">
        <f>rh_t1!E75</f>
        <v>39.797249999999998</v>
      </c>
      <c r="E359" s="227">
        <f>rh_t1!F75</f>
        <v>40.025419999999997</v>
      </c>
      <c r="F359" s="227">
        <f>rh_t1!G75</f>
        <v>39.774799999999999</v>
      </c>
      <c r="G359" s="227">
        <f>rh_t1!H75</f>
        <v>39.690460000000002</v>
      </c>
      <c r="H359" s="227">
        <f>rh_t1!I75</f>
        <v>39.718690000000002</v>
      </c>
      <c r="I359" s="227">
        <f>rh_t1!J75</f>
        <v>39.514679999999998</v>
      </c>
      <c r="J359" s="227">
        <f>rh_t1!K75</f>
        <v>39.8521</v>
      </c>
      <c r="K359" s="227">
        <f>rh_t1!L75</f>
        <v>39.770881111111109</v>
      </c>
      <c r="L359" s="227">
        <f>rh_t1!M75</f>
        <v>0.13567085754742642</v>
      </c>
    </row>
    <row r="360" spans="1:12" s="292" customFormat="1" ht="15" hidden="1" customHeight="1" x14ac:dyDescent="0.2">
      <c r="A360" s="226">
        <v>27</v>
      </c>
      <c r="B360" s="227">
        <f>rh_t1!C76</f>
        <v>39.682899999999997</v>
      </c>
      <c r="C360" s="227">
        <f>rh_t1!D76</f>
        <v>39.872590000000002</v>
      </c>
      <c r="D360" s="227">
        <f>rh_t1!E76</f>
        <v>39.797280000000001</v>
      </c>
      <c r="E360" s="227">
        <f>rh_t1!F76</f>
        <v>40.023069999999997</v>
      </c>
      <c r="F360" s="227">
        <f>rh_t1!G76</f>
        <v>39.769970000000001</v>
      </c>
      <c r="G360" s="227">
        <f>rh_t1!H76</f>
        <v>39.685459999999999</v>
      </c>
      <c r="H360" s="227">
        <f>rh_t1!I76</f>
        <v>39.716610000000003</v>
      </c>
      <c r="I360" s="227">
        <f>rh_t1!J76</f>
        <v>39.513420000000004</v>
      </c>
      <c r="J360" s="227">
        <f>rh_t1!K76</f>
        <v>39.850700000000003</v>
      </c>
      <c r="K360" s="227">
        <f>rh_t1!L76</f>
        <v>39.768000000000001</v>
      </c>
      <c r="L360" s="227">
        <f>rh_t1!M76</f>
        <v>0.13548555987016897</v>
      </c>
    </row>
    <row r="361" spans="1:12" s="292" customFormat="1" ht="15" hidden="1" customHeight="1" x14ac:dyDescent="0.2">
      <c r="A361" s="226">
        <v>28</v>
      </c>
      <c r="B361" s="227">
        <f>rh_t1!C77</f>
        <v>39.677500000000002</v>
      </c>
      <c r="C361" s="227">
        <f>rh_t1!D77</f>
        <v>39.868070000000003</v>
      </c>
      <c r="D361" s="227">
        <f>rh_t1!E77</f>
        <v>39.797080000000001</v>
      </c>
      <c r="E361" s="227">
        <f>rh_t1!F77</f>
        <v>40.018590000000003</v>
      </c>
      <c r="F361" s="227">
        <f>rh_t1!G77</f>
        <v>39.763269999999999</v>
      </c>
      <c r="G361" s="227">
        <f>rh_t1!H77</f>
        <v>39.681150000000002</v>
      </c>
      <c r="H361" s="227">
        <f>rh_t1!I77</f>
        <v>39.711239999999997</v>
      </c>
      <c r="I361" s="227">
        <f>rh_t1!J77</f>
        <v>39.509059999999998</v>
      </c>
      <c r="J361" s="227">
        <f>rh_t1!K77</f>
        <v>39.846429999999998</v>
      </c>
      <c r="K361" s="227">
        <f>rh_t1!L77</f>
        <v>39.763598888888886</v>
      </c>
      <c r="L361" s="227">
        <f>rh_t1!M77</f>
        <v>0.13567080374072607</v>
      </c>
    </row>
    <row r="362" spans="1:12" s="292" customFormat="1" ht="15" hidden="1" customHeight="1" x14ac:dyDescent="0.2">
      <c r="A362" s="226">
        <v>29</v>
      </c>
      <c r="B362" s="227">
        <f>rh_t1!C78</f>
        <v>39.680079999999997</v>
      </c>
      <c r="C362" s="227">
        <f>rh_t1!D78</f>
        <v>39.873420000000003</v>
      </c>
      <c r="D362" s="227">
        <f>rh_t1!E78</f>
        <v>39.793869999999998</v>
      </c>
      <c r="E362" s="227">
        <f>rh_t1!F78</f>
        <v>40.016039999999997</v>
      </c>
      <c r="F362" s="227">
        <f>rh_t1!G78</f>
        <v>39.759990000000002</v>
      </c>
      <c r="G362" s="227">
        <f>rh_t1!H78</f>
        <v>39.685540000000003</v>
      </c>
      <c r="H362" s="227">
        <f>rh_t1!I78</f>
        <v>39.71275</v>
      </c>
      <c r="I362" s="227">
        <f>rh_t1!J78</f>
        <v>39.51108</v>
      </c>
      <c r="J362" s="227">
        <f>rh_t1!K78</f>
        <v>39.850700000000003</v>
      </c>
      <c r="K362" s="227">
        <f>rh_t1!L78</f>
        <v>39.764830000000003</v>
      </c>
      <c r="L362" s="227">
        <f>rh_t1!M78</f>
        <v>0.13487010697539881</v>
      </c>
    </row>
    <row r="363" spans="1:12" s="292" customFormat="1" ht="15" hidden="1" customHeight="1" x14ac:dyDescent="0.2">
      <c r="A363" s="226">
        <v>30</v>
      </c>
      <c r="B363" s="227">
        <f>rh_t1!C79</f>
        <v>39.675669999999997</v>
      </c>
      <c r="C363" s="227">
        <f>rh_t1!D79</f>
        <v>39.868630000000003</v>
      </c>
      <c r="D363" s="227">
        <f>rh_t1!E79</f>
        <v>39.795090000000002</v>
      </c>
      <c r="E363" s="227">
        <f>rh_t1!F79</f>
        <v>40.020099999999999</v>
      </c>
      <c r="F363" s="227">
        <f>rh_t1!G79</f>
        <v>39.757759999999998</v>
      </c>
      <c r="G363" s="227">
        <f>rh_t1!H79</f>
        <v>39.680669999999999</v>
      </c>
      <c r="H363" s="227">
        <f>rh_t1!I79</f>
        <v>39.707369999999997</v>
      </c>
      <c r="I363" s="227">
        <f>rh_t1!J79</f>
        <v>39.506990000000002</v>
      </c>
      <c r="J363" s="227">
        <f>rh_t1!K79</f>
        <v>39.846429999999998</v>
      </c>
      <c r="K363" s="227">
        <f>rh_t1!L79</f>
        <v>39.76207888888888</v>
      </c>
      <c r="L363" s="227">
        <f>rh_t1!M79</f>
        <v>0.13675153311709731</v>
      </c>
    </row>
    <row r="364" spans="1:12" s="292" customFormat="1" ht="15" hidden="1" customHeight="1" x14ac:dyDescent="0.35">
      <c r="A364" s="228" t="s">
        <v>40</v>
      </c>
      <c r="B364" s="227">
        <f>rh_t1!C80</f>
        <v>39.676076333333334</v>
      </c>
      <c r="C364" s="227">
        <f>rh_t1!D80</f>
        <v>39.875966666666663</v>
      </c>
      <c r="D364" s="227">
        <f>rh_t1!E80</f>
        <v>39.789037666666673</v>
      </c>
      <c r="E364" s="227">
        <f>rh_t1!F80</f>
        <v>40.016750666666667</v>
      </c>
      <c r="F364" s="227">
        <f>rh_t1!G80</f>
        <v>39.762699000000005</v>
      </c>
      <c r="G364" s="227">
        <f>rh_t1!H80</f>
        <v>39.68454899999999</v>
      </c>
      <c r="H364" s="227">
        <f>rh_t1!I80</f>
        <v>39.710426333333331</v>
      </c>
      <c r="I364" s="227">
        <f>rh_t1!J80</f>
        <v>39.507469666666672</v>
      </c>
      <c r="J364" s="227">
        <f>rh_t1!K80</f>
        <v>39.848401333333335</v>
      </c>
      <c r="K364" s="137"/>
      <c r="L364" s="137"/>
    </row>
    <row r="365" spans="1:12" s="292" customFormat="1" ht="15" hidden="1" customHeight="1" x14ac:dyDescent="0.35">
      <c r="A365" s="228" t="s">
        <v>39</v>
      </c>
      <c r="B365" s="227">
        <f>rh_t1!C81</f>
        <v>5.9635942648336611E-3</v>
      </c>
      <c r="C365" s="227">
        <f>rh_t1!D81</f>
        <v>5.596957109795157E-3</v>
      </c>
      <c r="D365" s="227">
        <f>rh_t1!E81</f>
        <v>5.3771347285419199E-3</v>
      </c>
      <c r="E365" s="227">
        <f>rh_t1!F81</f>
        <v>5.8353891234617606E-3</v>
      </c>
      <c r="F365" s="227">
        <f>rh_t1!G81</f>
        <v>9.2428604338699646E-3</v>
      </c>
      <c r="G365" s="227">
        <f>rh_t1!H81</f>
        <v>7.0839185719015815E-3</v>
      </c>
      <c r="H365" s="227">
        <f>rh_t1!I81</f>
        <v>6.8364105997876399E-3</v>
      </c>
      <c r="I365" s="227">
        <f>rh_t1!J81</f>
        <v>5.0272792398626783E-3</v>
      </c>
      <c r="J365" s="227">
        <f>rh_t1!K81</f>
        <v>5.2996941630834736E-3</v>
      </c>
      <c r="K365" s="294"/>
      <c r="L365" s="294"/>
    </row>
    <row r="366" spans="1:12" s="292" customFormat="1" ht="15" hidden="1" customHeight="1" x14ac:dyDescent="0.35">
      <c r="A366" s="228" t="s">
        <v>52</v>
      </c>
      <c r="B366" s="227">
        <f>rh_t1!C82</f>
        <v>1.3953666666665754E-2</v>
      </c>
      <c r="C366" s="227">
        <f>rh_t1!D82</f>
        <v>1.4093333333335067E-2</v>
      </c>
      <c r="D366" s="227">
        <f>rh_t1!E82</f>
        <v>1.1902333333324577E-2</v>
      </c>
      <c r="E366" s="227">
        <f>rh_t1!F82</f>
        <v>1.3219333333331917E-2</v>
      </c>
      <c r="F366" s="227">
        <f>rh_t1!G82</f>
        <v>2.3900999999995065E-2</v>
      </c>
      <c r="G366" s="227">
        <f>rh_t1!H82</f>
        <v>1.8221000000011145E-2</v>
      </c>
      <c r="H366" s="227">
        <f>rh_t1!I82</f>
        <v>1.8433666666666682E-2</v>
      </c>
      <c r="I366" s="227">
        <f>rh_t1!J82</f>
        <v>1.2190333333329306E-2</v>
      </c>
      <c r="J366" s="227">
        <f>rh_t1!K82</f>
        <v>1.5558666666663612E-2</v>
      </c>
      <c r="K366" s="416"/>
      <c r="L366" s="416"/>
    </row>
    <row r="367" spans="1:12" s="292" customFormat="1" ht="15" hidden="1" customHeight="1" x14ac:dyDescent="0.35">
      <c r="A367" s="228" t="s">
        <v>51</v>
      </c>
      <c r="B367" s="227">
        <f>rh_t1!C83</f>
        <v>8.9563333333373407E-3</v>
      </c>
      <c r="C367" s="227">
        <f>rh_t1!D83</f>
        <v>7.8966666666602237E-3</v>
      </c>
      <c r="D367" s="227">
        <f>rh_t1!E83</f>
        <v>8.7276666666724623E-3</v>
      </c>
      <c r="E367" s="227">
        <f>rh_t1!F83</f>
        <v>1.1280666666664274E-2</v>
      </c>
      <c r="F367" s="227">
        <f>rh_t1!G83</f>
        <v>1.4649000000005685E-2</v>
      </c>
      <c r="G367" s="227">
        <f>rh_t1!H83</f>
        <v>1.1968999999986352E-2</v>
      </c>
      <c r="H367" s="227">
        <f>rh_t1!I83</f>
        <v>1.270633333333393E-2</v>
      </c>
      <c r="I367" s="227">
        <f>rh_t1!J83</f>
        <v>8.2196666666689566E-3</v>
      </c>
      <c r="J367" s="227">
        <f>rh_t1!K83</f>
        <v>8.4013333333317064E-3</v>
      </c>
      <c r="K367" s="416"/>
      <c r="L367" s="416"/>
    </row>
    <row r="368" spans="1:12" s="292" customFormat="1" ht="15" hidden="1" customHeight="1" x14ac:dyDescent="0.35">
      <c r="A368" s="229" t="s">
        <v>44</v>
      </c>
      <c r="B368" s="227">
        <f>rh_t1!C84</f>
        <v>1.1455000000001547E-2</v>
      </c>
      <c r="C368" s="227">
        <f>rh_t1!D84</f>
        <v>1.0994999999997646E-2</v>
      </c>
      <c r="D368" s="227">
        <f>rh_t1!E84</f>
        <v>1.031499999999852E-2</v>
      </c>
      <c r="E368" s="227">
        <f>rh_t1!F84</f>
        <v>1.2249999999998096E-2</v>
      </c>
      <c r="F368" s="227">
        <f>rh_t1!G84</f>
        <v>1.9275000000000375E-2</v>
      </c>
      <c r="G368" s="227">
        <f>rh_t1!H84</f>
        <v>1.5094999999998748E-2</v>
      </c>
      <c r="H368" s="227">
        <f>rh_t1!I84</f>
        <v>1.5570000000000306E-2</v>
      </c>
      <c r="I368" s="227">
        <f>rh_t1!J84</f>
        <v>1.0204999999999131E-2</v>
      </c>
      <c r="J368" s="227">
        <f>rh_t1!K84</f>
        <v>1.1979999999997659E-2</v>
      </c>
      <c r="K368" s="416"/>
      <c r="L368" s="416"/>
    </row>
    <row r="369" spans="1:12" s="292" customFormat="1" ht="15" hidden="1" customHeight="1" x14ac:dyDescent="0.35">
      <c r="A369" s="230" t="s">
        <v>43</v>
      </c>
      <c r="B369" s="227">
        <f>rh_t1!C85</f>
        <v>-8.6622666666670511E-2</v>
      </c>
      <c r="C369" s="227">
        <f>rh_t1!D85</f>
        <v>0.11326766666665833</v>
      </c>
      <c r="D369" s="227">
        <f>rh_t1!E85</f>
        <v>2.6338666666667621E-2</v>
      </c>
      <c r="E369" s="227">
        <f>rh_t1!F85</f>
        <v>0.2540516666666619</v>
      </c>
      <c r="F369" s="227">
        <f>rh_t1!G85</f>
        <v>0</v>
      </c>
      <c r="G369" s="227">
        <f>rh_t1!H85</f>
        <v>-7.8150000000015041E-2</v>
      </c>
      <c r="H369" s="227">
        <f>rh_t1!I85</f>
        <v>-5.2272666666674183E-2</v>
      </c>
      <c r="I369" s="227">
        <f>rh_t1!J85</f>
        <v>-0.25522933333333242</v>
      </c>
      <c r="J369" s="227">
        <f>rh_t1!K85</f>
        <v>8.5702333333330216E-2</v>
      </c>
      <c r="K369" s="139"/>
      <c r="L369" s="139"/>
    </row>
    <row r="370" spans="1:12" s="292" customFormat="1" ht="15" hidden="1" customHeight="1" x14ac:dyDescent="0.35">
      <c r="A370" s="231" t="s">
        <v>95</v>
      </c>
      <c r="B370" s="282">
        <f>rh_t1!C87</f>
        <v>39.763486296296307</v>
      </c>
      <c r="C370" s="139"/>
      <c r="D370" s="139"/>
      <c r="E370" s="139"/>
      <c r="F370" s="139"/>
      <c r="G370" s="139"/>
      <c r="H370" s="139"/>
      <c r="I370" s="139"/>
      <c r="J370" s="139"/>
      <c r="K370" s="139"/>
      <c r="L370" s="139"/>
    </row>
    <row r="371" spans="1:12" s="292" customFormat="1" ht="15" hidden="1" customHeight="1" x14ac:dyDescent="0.35">
      <c r="A371" s="233" t="s">
        <v>47</v>
      </c>
      <c r="B371" s="232">
        <f>rh_t1!C88</f>
        <v>-0.23651370370369307</v>
      </c>
      <c r="C371" s="139"/>
      <c r="D371" s="139"/>
      <c r="E371" s="139"/>
      <c r="F371" s="139"/>
      <c r="G371" s="139"/>
      <c r="H371" s="139"/>
      <c r="I371" s="139"/>
      <c r="J371" s="139"/>
      <c r="K371" s="139"/>
      <c r="L371" s="139"/>
    </row>
    <row r="372" spans="1:12" s="292" customFormat="1" ht="15" hidden="1" customHeight="1" x14ac:dyDescent="0.35">
      <c r="A372" s="233" t="s">
        <v>270</v>
      </c>
      <c r="B372" s="232">
        <f>rh_t1!C93</f>
        <v>0.13632305115662899</v>
      </c>
      <c r="C372" s="139"/>
      <c r="D372" s="139"/>
      <c r="E372" s="139"/>
      <c r="F372" s="139"/>
      <c r="G372" s="139"/>
      <c r="H372" s="139"/>
      <c r="I372" s="139"/>
      <c r="J372" s="139"/>
      <c r="K372" s="139"/>
      <c r="L372" s="139"/>
    </row>
    <row r="373" spans="1:12" s="292" customFormat="1" ht="15" hidden="1" customHeight="1" x14ac:dyDescent="0.35">
      <c r="A373" s="241" t="s">
        <v>48</v>
      </c>
      <c r="B373" s="232">
        <f>rh_t1!C89</f>
        <v>0.50928099999999432</v>
      </c>
      <c r="C373" s="139"/>
      <c r="D373" s="139"/>
      <c r="E373" s="139"/>
      <c r="F373" s="139"/>
      <c r="G373" s="139"/>
      <c r="H373" s="139"/>
      <c r="I373" s="139"/>
      <c r="J373" s="139"/>
      <c r="K373" s="139"/>
      <c r="L373" s="139"/>
    </row>
    <row r="374" spans="1:12" s="292" customFormat="1" ht="15" hidden="1" customHeight="1" x14ac:dyDescent="0.35">
      <c r="A374" s="241" t="s">
        <v>49</v>
      </c>
      <c r="B374" s="240">
        <f>rh_t1!C90</f>
        <v>0.2540516666666619</v>
      </c>
      <c r="C374" s="139"/>
      <c r="D374" s="139"/>
      <c r="E374" s="139"/>
      <c r="F374" s="139"/>
      <c r="G374" s="139"/>
      <c r="H374" s="139"/>
      <c r="I374" s="139"/>
      <c r="J374" s="139"/>
      <c r="K374" s="139"/>
      <c r="L374" s="139"/>
    </row>
    <row r="375" spans="1:12" s="292" customFormat="1" ht="15" hidden="1" customHeight="1" x14ac:dyDescent="0.2">
      <c r="A375" s="242"/>
      <c r="B375" s="240">
        <f>rh_t1!C91</f>
        <v>-0.25522933333333242</v>
      </c>
      <c r="C375" s="140"/>
      <c r="D375" s="139"/>
      <c r="E375" s="139"/>
      <c r="F375" s="139"/>
      <c r="G375" s="139"/>
      <c r="H375" s="139"/>
      <c r="I375" s="139"/>
      <c r="J375" s="139"/>
      <c r="K375" s="139"/>
      <c r="L375" s="139"/>
    </row>
    <row r="376" spans="1:12" s="292" customFormat="1" ht="18.75" hidden="1" x14ac:dyDescent="0.35">
      <c r="A376" s="242" t="s">
        <v>50</v>
      </c>
      <c r="B376" s="232">
        <f>rh_t1!C92</f>
        <v>1.301555555555467E-2</v>
      </c>
      <c r="C376" s="139"/>
      <c r="D376" s="139"/>
      <c r="E376" s="139"/>
      <c r="F376" s="139"/>
      <c r="G376" s="139"/>
      <c r="H376" s="139"/>
      <c r="I376" s="139"/>
      <c r="J376" s="139"/>
      <c r="K376" s="139"/>
      <c r="L376" s="139"/>
    </row>
    <row r="377" spans="1:12" s="292" customFormat="1" ht="30.75" hidden="1" customHeight="1" x14ac:dyDescent="0.2">
      <c r="A377" s="417" t="s">
        <v>363</v>
      </c>
      <c r="B377" s="417"/>
      <c r="C377" s="417"/>
      <c r="D377" s="417"/>
      <c r="E377" s="417"/>
      <c r="F377" s="417"/>
      <c r="G377" s="417"/>
      <c r="H377" s="417"/>
      <c r="I377" s="417"/>
      <c r="J377" s="417"/>
      <c r="K377" s="417"/>
      <c r="L377" s="417"/>
    </row>
    <row r="378" spans="1:12" s="292" customFormat="1" ht="18" hidden="1" customHeight="1" thickBot="1" x14ac:dyDescent="0.25">
      <c r="A378" s="430" t="str">
        <f>"Заданная температура = "&amp;rh_t1!C86&amp;" °С;  Заданная относительная влажность =  "&amp;$E$1&amp;rh_t1!C39 &amp;" %."</f>
        <v>Заданная температура = 40 °С;  Заданная относительная влажность =  98 %.</v>
      </c>
      <c r="B378" s="430"/>
      <c r="C378" s="430"/>
      <c r="D378" s="430"/>
      <c r="E378" s="430"/>
      <c r="F378" s="430"/>
      <c r="G378" s="430"/>
      <c r="H378" s="430"/>
      <c r="I378" s="430"/>
      <c r="J378" s="430"/>
      <c r="K378" s="430"/>
      <c r="L378" s="430"/>
    </row>
    <row r="379" spans="1:12" s="292" customFormat="1" ht="29.25" hidden="1" customHeight="1" thickBot="1" x14ac:dyDescent="0.25">
      <c r="A379" s="239" t="s">
        <v>89</v>
      </c>
      <c r="B379" s="419" t="s">
        <v>90</v>
      </c>
      <c r="C379" s="419"/>
      <c r="D379" s="419"/>
      <c r="E379" s="419"/>
      <c r="F379" s="419"/>
      <c r="G379" s="419"/>
      <c r="H379" s="419"/>
      <c r="I379" s="419"/>
      <c r="J379" s="419"/>
      <c r="K379" s="420" t="s">
        <v>91</v>
      </c>
      <c r="L379" s="420"/>
    </row>
    <row r="380" spans="1:12" s="292" customFormat="1" ht="15.6" hidden="1" customHeight="1" x14ac:dyDescent="0.2">
      <c r="A380" s="236"/>
      <c r="B380" s="235">
        <v>1</v>
      </c>
      <c r="C380" s="235">
        <v>2</v>
      </c>
      <c r="D380" s="235">
        <v>3</v>
      </c>
      <c r="E380" s="235">
        <v>4</v>
      </c>
      <c r="F380" s="235">
        <v>5</v>
      </c>
      <c r="G380" s="235">
        <v>6</v>
      </c>
      <c r="H380" s="235">
        <v>7</v>
      </c>
      <c r="I380" s="235">
        <v>8</v>
      </c>
      <c r="J380" s="235">
        <v>9</v>
      </c>
      <c r="K380" s="237" t="s">
        <v>92</v>
      </c>
      <c r="L380" s="238" t="s">
        <v>93</v>
      </c>
    </row>
    <row r="381" spans="1:12" s="292" customFormat="1" ht="15.6" hidden="1" customHeight="1" x14ac:dyDescent="0.2">
      <c r="A381" s="226">
        <v>1</v>
      </c>
      <c r="B381" s="227">
        <f>rh_t1!C3</f>
        <v>99.23</v>
      </c>
      <c r="C381" s="227">
        <f>rh_t1!D3</f>
        <v>99.22</v>
      </c>
      <c r="D381" s="227">
        <f>rh_t1!E3</f>
        <v>99.21</v>
      </c>
      <c r="E381" s="227">
        <f>rh_t1!F3</f>
        <v>99.21</v>
      </c>
      <c r="F381" s="227">
        <f>rh_t1!G3</f>
        <v>99.21</v>
      </c>
      <c r="G381" s="227">
        <f>rh_t1!H3</f>
        <v>99.21</v>
      </c>
      <c r="H381" s="227">
        <f>rh_t1!I3</f>
        <v>99.21</v>
      </c>
      <c r="I381" s="227">
        <f>rh_t1!J3</f>
        <v>99.22</v>
      </c>
      <c r="J381" s="227">
        <f>rh_t1!K3</f>
        <v>99.24</v>
      </c>
      <c r="K381" s="227">
        <f>rh_t1!L3</f>
        <v>99.217777777777783</v>
      </c>
      <c r="L381" s="227">
        <f>rh_t1!M3</f>
        <v>1.0304020550552649E-2</v>
      </c>
    </row>
    <row r="382" spans="1:12" s="292" customFormat="1" ht="15.6" hidden="1" customHeight="1" x14ac:dyDescent="0.2">
      <c r="A382" s="226">
        <v>2</v>
      </c>
      <c r="B382" s="227">
        <f>rh_t1!C4</f>
        <v>99.23</v>
      </c>
      <c r="C382" s="227">
        <f>rh_t1!D4</f>
        <v>99.22</v>
      </c>
      <c r="D382" s="227">
        <f>rh_t1!E4</f>
        <v>99.21</v>
      </c>
      <c r="E382" s="227">
        <f>rh_t1!F4</f>
        <v>99.21</v>
      </c>
      <c r="F382" s="227">
        <f>rh_t1!G4</f>
        <v>99.21</v>
      </c>
      <c r="G382" s="227">
        <f>rh_t1!H4</f>
        <v>99.21</v>
      </c>
      <c r="H382" s="227">
        <f>rh_t1!I4</f>
        <v>99.21</v>
      </c>
      <c r="I382" s="227">
        <f>rh_t1!J4</f>
        <v>99.22</v>
      </c>
      <c r="J382" s="227">
        <f>rh_t1!K4</f>
        <v>99.24</v>
      </c>
      <c r="K382" s="227">
        <f>rh_t1!L4</f>
        <v>99.217777777777783</v>
      </c>
      <c r="L382" s="227">
        <f>rh_t1!M4</f>
        <v>1.0304020550552649E-2</v>
      </c>
    </row>
    <row r="383" spans="1:12" s="292" customFormat="1" ht="15.6" hidden="1" customHeight="1" x14ac:dyDescent="0.2">
      <c r="A383" s="226">
        <v>3</v>
      </c>
      <c r="B383" s="227">
        <f>rh_t1!C5</f>
        <v>99.23</v>
      </c>
      <c r="C383" s="227">
        <f>rh_t1!D5</f>
        <v>99.22</v>
      </c>
      <c r="D383" s="227">
        <f>rh_t1!E5</f>
        <v>99.21</v>
      </c>
      <c r="E383" s="227">
        <f>rh_t1!F5</f>
        <v>99.21</v>
      </c>
      <c r="F383" s="227">
        <f>rh_t1!G5</f>
        <v>99.21</v>
      </c>
      <c r="G383" s="227">
        <f>rh_t1!H5</f>
        <v>99.21</v>
      </c>
      <c r="H383" s="227">
        <f>rh_t1!I5</f>
        <v>99.21</v>
      </c>
      <c r="I383" s="227">
        <f>rh_t1!J5</f>
        <v>99.22</v>
      </c>
      <c r="J383" s="227">
        <f>rh_t1!K5</f>
        <v>99.24</v>
      </c>
      <c r="K383" s="227">
        <f>rh_t1!L5</f>
        <v>99.217777777777783</v>
      </c>
      <c r="L383" s="227">
        <f>rh_t1!M5</f>
        <v>1.0304020550552649E-2</v>
      </c>
    </row>
    <row r="384" spans="1:12" s="292" customFormat="1" ht="15.6" hidden="1" customHeight="1" x14ac:dyDescent="0.2">
      <c r="A384" s="226">
        <v>4</v>
      </c>
      <c r="B384" s="227">
        <f>rh_t1!C6</f>
        <v>99.23</v>
      </c>
      <c r="C384" s="227">
        <f>rh_t1!D6</f>
        <v>99.22</v>
      </c>
      <c r="D384" s="227">
        <f>rh_t1!E6</f>
        <v>99.21</v>
      </c>
      <c r="E384" s="227">
        <f>rh_t1!F6</f>
        <v>99.21</v>
      </c>
      <c r="F384" s="227">
        <f>rh_t1!G6</f>
        <v>99.21</v>
      </c>
      <c r="G384" s="227">
        <f>rh_t1!H6</f>
        <v>99.21</v>
      </c>
      <c r="H384" s="227">
        <f>rh_t1!I6</f>
        <v>99.21</v>
      </c>
      <c r="I384" s="227">
        <f>rh_t1!J6</f>
        <v>99.22</v>
      </c>
      <c r="J384" s="227">
        <f>rh_t1!K6</f>
        <v>99.24</v>
      </c>
      <c r="K384" s="227">
        <f>rh_t1!L6</f>
        <v>99.217777777777783</v>
      </c>
      <c r="L384" s="227">
        <f>rh_t1!M6</f>
        <v>1.0304020550552649E-2</v>
      </c>
    </row>
    <row r="385" spans="1:12" s="292" customFormat="1" ht="15.6" hidden="1" customHeight="1" x14ac:dyDescent="0.2">
      <c r="A385" s="226">
        <v>5</v>
      </c>
      <c r="B385" s="227">
        <f>rh_t1!C7</f>
        <v>99.23</v>
      </c>
      <c r="C385" s="227">
        <f>rh_t1!D7</f>
        <v>99.22</v>
      </c>
      <c r="D385" s="227">
        <f>rh_t1!E7</f>
        <v>99.21</v>
      </c>
      <c r="E385" s="227">
        <f>rh_t1!F7</f>
        <v>99.21</v>
      </c>
      <c r="F385" s="227">
        <f>rh_t1!G7</f>
        <v>99.21</v>
      </c>
      <c r="G385" s="227">
        <f>rh_t1!H7</f>
        <v>99.21</v>
      </c>
      <c r="H385" s="227">
        <f>rh_t1!I7</f>
        <v>99.21</v>
      </c>
      <c r="I385" s="227">
        <f>rh_t1!J7</f>
        <v>99.22</v>
      </c>
      <c r="J385" s="227">
        <f>rh_t1!K7</f>
        <v>99.24</v>
      </c>
      <c r="K385" s="227">
        <f>rh_t1!L7</f>
        <v>99.217777777777783</v>
      </c>
      <c r="L385" s="227">
        <f>rh_t1!M7</f>
        <v>1.0304020550552649E-2</v>
      </c>
    </row>
    <row r="386" spans="1:12" s="292" customFormat="1" ht="15.6" hidden="1" customHeight="1" x14ac:dyDescent="0.2">
      <c r="A386" s="226">
        <v>6</v>
      </c>
      <c r="B386" s="227">
        <f>rh_t1!C8</f>
        <v>99.23</v>
      </c>
      <c r="C386" s="227">
        <f>rh_t1!D8</f>
        <v>99.22</v>
      </c>
      <c r="D386" s="227">
        <f>rh_t1!E8</f>
        <v>99.21</v>
      </c>
      <c r="E386" s="227">
        <f>rh_t1!F8</f>
        <v>99.21</v>
      </c>
      <c r="F386" s="227">
        <f>rh_t1!G8</f>
        <v>99.21</v>
      </c>
      <c r="G386" s="227">
        <f>rh_t1!H8</f>
        <v>99.21</v>
      </c>
      <c r="H386" s="227">
        <f>rh_t1!I8</f>
        <v>99.21</v>
      </c>
      <c r="I386" s="227">
        <f>rh_t1!J8</f>
        <v>99.22</v>
      </c>
      <c r="J386" s="227">
        <f>rh_t1!K8</f>
        <v>99.24</v>
      </c>
      <c r="K386" s="227">
        <f>rh_t1!L8</f>
        <v>99.217777777777783</v>
      </c>
      <c r="L386" s="227">
        <f>rh_t1!M8</f>
        <v>1.0304020550552649E-2</v>
      </c>
    </row>
    <row r="387" spans="1:12" s="292" customFormat="1" ht="15.6" hidden="1" customHeight="1" x14ac:dyDescent="0.2">
      <c r="A387" s="226">
        <v>7</v>
      </c>
      <c r="B387" s="227">
        <f>rh_t1!C9</f>
        <v>99.23</v>
      </c>
      <c r="C387" s="227">
        <f>rh_t1!D9</f>
        <v>99.22</v>
      </c>
      <c r="D387" s="227">
        <f>rh_t1!E9</f>
        <v>99.21</v>
      </c>
      <c r="E387" s="227">
        <f>rh_t1!F9</f>
        <v>99.21</v>
      </c>
      <c r="F387" s="227">
        <f>rh_t1!G9</f>
        <v>99.21</v>
      </c>
      <c r="G387" s="227">
        <f>rh_t1!H9</f>
        <v>99.21</v>
      </c>
      <c r="H387" s="227">
        <f>rh_t1!I9</f>
        <v>99.21</v>
      </c>
      <c r="I387" s="227">
        <f>rh_t1!J9</f>
        <v>99.22</v>
      </c>
      <c r="J387" s="227">
        <f>rh_t1!K9</f>
        <v>99.24</v>
      </c>
      <c r="K387" s="227">
        <f>rh_t1!L9</f>
        <v>99.217777777777783</v>
      </c>
      <c r="L387" s="227">
        <f>rh_t1!M9</f>
        <v>1.0304020550552649E-2</v>
      </c>
    </row>
    <row r="388" spans="1:12" s="292" customFormat="1" ht="15.6" hidden="1" customHeight="1" x14ac:dyDescent="0.2">
      <c r="A388" s="226">
        <v>8</v>
      </c>
      <c r="B388" s="227">
        <f>rh_t1!C10</f>
        <v>99.23</v>
      </c>
      <c r="C388" s="227">
        <f>rh_t1!D10</f>
        <v>99.22</v>
      </c>
      <c r="D388" s="227">
        <f>rh_t1!E10</f>
        <v>99.21</v>
      </c>
      <c r="E388" s="227">
        <f>rh_t1!F10</f>
        <v>99.21</v>
      </c>
      <c r="F388" s="227">
        <f>rh_t1!G10</f>
        <v>99.21</v>
      </c>
      <c r="G388" s="227">
        <f>rh_t1!H10</f>
        <v>99.21</v>
      </c>
      <c r="H388" s="227">
        <f>rh_t1!I10</f>
        <v>99.21</v>
      </c>
      <c r="I388" s="227">
        <f>rh_t1!J10</f>
        <v>99.22</v>
      </c>
      <c r="J388" s="227">
        <f>rh_t1!K10</f>
        <v>99.24</v>
      </c>
      <c r="K388" s="227">
        <f>rh_t1!L10</f>
        <v>99.217777777777783</v>
      </c>
      <c r="L388" s="227">
        <f>rh_t1!M10</f>
        <v>1.0304020550552649E-2</v>
      </c>
    </row>
    <row r="389" spans="1:12" s="292" customFormat="1" ht="15.6" hidden="1" customHeight="1" x14ac:dyDescent="0.2">
      <c r="A389" s="226">
        <v>9</v>
      </c>
      <c r="B389" s="227">
        <f>rh_t1!C11</f>
        <v>99.23</v>
      </c>
      <c r="C389" s="227">
        <f>rh_t1!D11</f>
        <v>99.22</v>
      </c>
      <c r="D389" s="227">
        <f>rh_t1!E11</f>
        <v>99.21</v>
      </c>
      <c r="E389" s="227">
        <f>rh_t1!F11</f>
        <v>99.21</v>
      </c>
      <c r="F389" s="227">
        <f>rh_t1!G11</f>
        <v>99.21</v>
      </c>
      <c r="G389" s="227">
        <f>rh_t1!H11</f>
        <v>99.21</v>
      </c>
      <c r="H389" s="227">
        <f>rh_t1!I11</f>
        <v>99.21</v>
      </c>
      <c r="I389" s="227">
        <f>rh_t1!J11</f>
        <v>99.22</v>
      </c>
      <c r="J389" s="227">
        <f>rh_t1!K11</f>
        <v>99.24</v>
      </c>
      <c r="K389" s="227">
        <f>rh_t1!L11</f>
        <v>99.217777777777783</v>
      </c>
      <c r="L389" s="227">
        <f>rh_t1!M11</f>
        <v>1.0304020550552649E-2</v>
      </c>
    </row>
    <row r="390" spans="1:12" s="292" customFormat="1" ht="15.6" hidden="1" customHeight="1" x14ac:dyDescent="0.2">
      <c r="A390" s="226">
        <v>10</v>
      </c>
      <c r="B390" s="227">
        <f>rh_t1!C12</f>
        <v>99.23</v>
      </c>
      <c r="C390" s="227">
        <f>rh_t1!D12</f>
        <v>99.22</v>
      </c>
      <c r="D390" s="227">
        <f>rh_t1!E12</f>
        <v>99.21</v>
      </c>
      <c r="E390" s="227">
        <f>rh_t1!F12</f>
        <v>99.21</v>
      </c>
      <c r="F390" s="227">
        <f>rh_t1!G12</f>
        <v>99.21</v>
      </c>
      <c r="G390" s="227">
        <f>rh_t1!H12</f>
        <v>99.21</v>
      </c>
      <c r="H390" s="227">
        <f>rh_t1!I12</f>
        <v>99.21</v>
      </c>
      <c r="I390" s="227">
        <f>rh_t1!J12</f>
        <v>99.22</v>
      </c>
      <c r="J390" s="227">
        <f>rh_t1!K12</f>
        <v>99.24</v>
      </c>
      <c r="K390" s="227">
        <f>rh_t1!L12</f>
        <v>99.217777777777783</v>
      </c>
      <c r="L390" s="227">
        <f>rh_t1!M12</f>
        <v>1.0304020550552649E-2</v>
      </c>
    </row>
    <row r="391" spans="1:12" s="292" customFormat="1" ht="15.6" hidden="1" customHeight="1" x14ac:dyDescent="0.2">
      <c r="A391" s="226">
        <v>11</v>
      </c>
      <c r="B391" s="227">
        <f>rh_t1!C13</f>
        <v>99.22</v>
      </c>
      <c r="C391" s="227">
        <f>rh_t1!D13</f>
        <v>99.22</v>
      </c>
      <c r="D391" s="227">
        <f>rh_t1!E13</f>
        <v>99.21</v>
      </c>
      <c r="E391" s="227">
        <f>rh_t1!F13</f>
        <v>99.21</v>
      </c>
      <c r="F391" s="227">
        <f>rh_t1!G13</f>
        <v>99.21</v>
      </c>
      <c r="G391" s="227">
        <f>rh_t1!H13</f>
        <v>99.21</v>
      </c>
      <c r="H391" s="227">
        <f>rh_t1!I13</f>
        <v>99.21</v>
      </c>
      <c r="I391" s="227">
        <f>rh_t1!J13</f>
        <v>99.22</v>
      </c>
      <c r="J391" s="227">
        <f>rh_t1!K13</f>
        <v>99.24</v>
      </c>
      <c r="K391" s="227">
        <f>rh_t1!L13</f>
        <v>99.216666666666669</v>
      </c>
      <c r="L391" s="227">
        <f>rh_t1!M13</f>
        <v>9.4280904158215492E-3</v>
      </c>
    </row>
    <row r="392" spans="1:12" s="292" customFormat="1" ht="15.6" hidden="1" customHeight="1" x14ac:dyDescent="0.2">
      <c r="A392" s="226">
        <v>12</v>
      </c>
      <c r="B392" s="227">
        <f>rh_t1!C14</f>
        <v>99.22</v>
      </c>
      <c r="C392" s="227">
        <f>rh_t1!D14</f>
        <v>99.22</v>
      </c>
      <c r="D392" s="227">
        <f>rh_t1!E14</f>
        <v>99.21</v>
      </c>
      <c r="E392" s="227">
        <f>rh_t1!F14</f>
        <v>99.21</v>
      </c>
      <c r="F392" s="227">
        <f>rh_t1!G14</f>
        <v>99.21</v>
      </c>
      <c r="G392" s="227">
        <f>rh_t1!H14</f>
        <v>99.21</v>
      </c>
      <c r="H392" s="227">
        <f>rh_t1!I14</f>
        <v>99.21</v>
      </c>
      <c r="I392" s="227">
        <f>rh_t1!J14</f>
        <v>99.22</v>
      </c>
      <c r="J392" s="227">
        <f>rh_t1!K14</f>
        <v>99.24</v>
      </c>
      <c r="K392" s="227">
        <f>rh_t1!L14</f>
        <v>99.216666666666669</v>
      </c>
      <c r="L392" s="227">
        <f>rh_t1!M14</f>
        <v>9.4280904158215492E-3</v>
      </c>
    </row>
    <row r="393" spans="1:12" s="292" customFormat="1" ht="15.6" hidden="1" customHeight="1" x14ac:dyDescent="0.2">
      <c r="A393" s="226">
        <v>13</v>
      </c>
      <c r="B393" s="227">
        <f>rh_t1!C15</f>
        <v>99.22</v>
      </c>
      <c r="C393" s="227">
        <f>rh_t1!D15</f>
        <v>99.22</v>
      </c>
      <c r="D393" s="227">
        <f>rh_t1!E15</f>
        <v>99.21</v>
      </c>
      <c r="E393" s="227">
        <f>rh_t1!F15</f>
        <v>99.21</v>
      </c>
      <c r="F393" s="227">
        <f>rh_t1!G15</f>
        <v>99.21</v>
      </c>
      <c r="G393" s="227">
        <f>rh_t1!H15</f>
        <v>99.21</v>
      </c>
      <c r="H393" s="227">
        <f>rh_t1!I15</f>
        <v>99.21</v>
      </c>
      <c r="I393" s="227">
        <f>rh_t1!J15</f>
        <v>99.22</v>
      </c>
      <c r="J393" s="227">
        <f>rh_t1!K15</f>
        <v>99.24</v>
      </c>
      <c r="K393" s="227">
        <f>rh_t1!L15</f>
        <v>99.216666666666669</v>
      </c>
      <c r="L393" s="227">
        <f>rh_t1!M15</f>
        <v>9.4280904158215492E-3</v>
      </c>
    </row>
    <row r="394" spans="1:12" s="292" customFormat="1" ht="15.6" hidden="1" customHeight="1" x14ac:dyDescent="0.2">
      <c r="A394" s="226">
        <v>14</v>
      </c>
      <c r="B394" s="227">
        <f>rh_t1!C16</f>
        <v>99.22</v>
      </c>
      <c r="C394" s="227">
        <f>rh_t1!D16</f>
        <v>99.22</v>
      </c>
      <c r="D394" s="227">
        <f>rh_t1!E16</f>
        <v>99.21</v>
      </c>
      <c r="E394" s="227">
        <f>rh_t1!F16</f>
        <v>99.21</v>
      </c>
      <c r="F394" s="227">
        <f>rh_t1!G16</f>
        <v>99.21</v>
      </c>
      <c r="G394" s="227">
        <f>rh_t1!H16</f>
        <v>99.21</v>
      </c>
      <c r="H394" s="227">
        <f>rh_t1!I16</f>
        <v>99.21</v>
      </c>
      <c r="I394" s="227">
        <f>rh_t1!J16</f>
        <v>99.22</v>
      </c>
      <c r="J394" s="227">
        <f>rh_t1!K16</f>
        <v>99.24</v>
      </c>
      <c r="K394" s="227">
        <f>rh_t1!L16</f>
        <v>99.216666666666669</v>
      </c>
      <c r="L394" s="227">
        <f>rh_t1!M16</f>
        <v>9.4280904158215492E-3</v>
      </c>
    </row>
    <row r="395" spans="1:12" s="292" customFormat="1" ht="15.6" hidden="1" customHeight="1" x14ac:dyDescent="0.2">
      <c r="A395" s="226">
        <v>15</v>
      </c>
      <c r="B395" s="227">
        <f>rh_t1!C17</f>
        <v>99.22</v>
      </c>
      <c r="C395" s="227">
        <f>rh_t1!D17</f>
        <v>99.22</v>
      </c>
      <c r="D395" s="227">
        <f>rh_t1!E17</f>
        <v>99.21</v>
      </c>
      <c r="E395" s="227">
        <f>rh_t1!F17</f>
        <v>99.21</v>
      </c>
      <c r="F395" s="227">
        <f>rh_t1!G17</f>
        <v>99.21</v>
      </c>
      <c r="G395" s="227">
        <f>rh_t1!H17</f>
        <v>99.2</v>
      </c>
      <c r="H395" s="227">
        <f>rh_t1!I17</f>
        <v>99.21</v>
      </c>
      <c r="I395" s="227">
        <f>rh_t1!J17</f>
        <v>99.22</v>
      </c>
      <c r="J395" s="227">
        <f>rh_t1!K17</f>
        <v>99.23</v>
      </c>
      <c r="K395" s="227">
        <f>rh_t1!L17</f>
        <v>99.214444444444453</v>
      </c>
      <c r="L395" s="227">
        <f>rh_t1!M17</f>
        <v>8.3147941928324916E-3</v>
      </c>
    </row>
    <row r="396" spans="1:12" s="292" customFormat="1" ht="15.6" hidden="1" customHeight="1" x14ac:dyDescent="0.2">
      <c r="A396" s="226">
        <v>16</v>
      </c>
      <c r="B396" s="227">
        <f>rh_t1!C18</f>
        <v>99.22</v>
      </c>
      <c r="C396" s="227">
        <f>rh_t1!D18</f>
        <v>99.21</v>
      </c>
      <c r="D396" s="227">
        <f>rh_t1!E18</f>
        <v>99.21</v>
      </c>
      <c r="E396" s="227">
        <f>rh_t1!F18</f>
        <v>99.21</v>
      </c>
      <c r="F396" s="227">
        <f>rh_t1!G18</f>
        <v>99.21</v>
      </c>
      <c r="G396" s="227">
        <f>rh_t1!H18</f>
        <v>99.2</v>
      </c>
      <c r="H396" s="227">
        <f>rh_t1!I18</f>
        <v>99.21</v>
      </c>
      <c r="I396" s="227">
        <f>rh_t1!J18</f>
        <v>99.22</v>
      </c>
      <c r="J396" s="227">
        <f>rh_t1!K18</f>
        <v>99.24</v>
      </c>
      <c r="K396" s="227">
        <f>rh_t1!L18</f>
        <v>99.214444444444453</v>
      </c>
      <c r="L396" s="227">
        <f>rh_t1!M18</f>
        <v>1.0657403385138903E-2</v>
      </c>
    </row>
    <row r="397" spans="1:12" s="292" customFormat="1" ht="15.6" hidden="1" customHeight="1" x14ac:dyDescent="0.2">
      <c r="A397" s="226">
        <v>17</v>
      </c>
      <c r="B397" s="227">
        <f>rh_t1!C19</f>
        <v>99.22</v>
      </c>
      <c r="C397" s="227">
        <f>rh_t1!D19</f>
        <v>99.21</v>
      </c>
      <c r="D397" s="227">
        <f>rh_t1!E19</f>
        <v>99.21</v>
      </c>
      <c r="E397" s="227">
        <f>rh_t1!F19</f>
        <v>99.2</v>
      </c>
      <c r="F397" s="227">
        <f>rh_t1!G19</f>
        <v>99.21</v>
      </c>
      <c r="G397" s="227">
        <f>rh_t1!H19</f>
        <v>99.2</v>
      </c>
      <c r="H397" s="227">
        <f>rh_t1!I19</f>
        <v>99.21</v>
      </c>
      <c r="I397" s="227">
        <f>rh_t1!J19</f>
        <v>99.22</v>
      </c>
      <c r="J397" s="227">
        <f>rh_t1!K19</f>
        <v>99.24</v>
      </c>
      <c r="K397" s="227">
        <f>rh_t1!L19</f>
        <v>99.213333333333338</v>
      </c>
      <c r="L397" s="227">
        <f>rh_t1!M19</f>
        <v>1.154700538379113E-2</v>
      </c>
    </row>
    <row r="398" spans="1:12" s="292" customFormat="1" ht="15.6" hidden="1" customHeight="1" x14ac:dyDescent="0.2">
      <c r="A398" s="226">
        <v>18</v>
      </c>
      <c r="B398" s="227">
        <f>rh_t1!C20</f>
        <v>99.22</v>
      </c>
      <c r="C398" s="227">
        <f>rh_t1!D20</f>
        <v>99.21</v>
      </c>
      <c r="D398" s="227">
        <f>rh_t1!E20</f>
        <v>99.21</v>
      </c>
      <c r="E398" s="227">
        <f>rh_t1!F20</f>
        <v>99.2</v>
      </c>
      <c r="F398" s="227">
        <f>rh_t1!G20</f>
        <v>99.21</v>
      </c>
      <c r="G398" s="227">
        <f>rh_t1!H20</f>
        <v>99.2</v>
      </c>
      <c r="H398" s="227">
        <f>rh_t1!I20</f>
        <v>99.21</v>
      </c>
      <c r="I398" s="227">
        <f>rh_t1!J20</f>
        <v>99.21</v>
      </c>
      <c r="J398" s="227">
        <f>rh_t1!K20</f>
        <v>99.23</v>
      </c>
      <c r="K398" s="227">
        <f>rh_t1!L20</f>
        <v>99.211111111111123</v>
      </c>
      <c r="L398" s="227">
        <f>rh_t1!M20</f>
        <v>8.7488976377913669E-3</v>
      </c>
    </row>
    <row r="399" spans="1:12" s="292" customFormat="1" ht="15.6" hidden="1" customHeight="1" x14ac:dyDescent="0.2">
      <c r="A399" s="226">
        <v>19</v>
      </c>
      <c r="B399" s="227">
        <f>rh_t1!C21</f>
        <v>99.22</v>
      </c>
      <c r="C399" s="227">
        <f>rh_t1!D21</f>
        <v>99.21</v>
      </c>
      <c r="D399" s="227">
        <f>rh_t1!E21</f>
        <v>99.21</v>
      </c>
      <c r="E399" s="227">
        <f>rh_t1!F21</f>
        <v>99.2</v>
      </c>
      <c r="F399" s="227">
        <f>rh_t1!G21</f>
        <v>99.21</v>
      </c>
      <c r="G399" s="227">
        <f>rh_t1!H21</f>
        <v>99.08</v>
      </c>
      <c r="H399" s="227">
        <f>rh_t1!I21</f>
        <v>99.2</v>
      </c>
      <c r="I399" s="227">
        <f>rh_t1!J21</f>
        <v>99.21</v>
      </c>
      <c r="J399" s="227">
        <f>rh_t1!K21</f>
        <v>99.23</v>
      </c>
      <c r="K399" s="227">
        <f>rh_t1!L21</f>
        <v>99.196666666666673</v>
      </c>
      <c r="L399" s="227">
        <f>rh_t1!M21</f>
        <v>4.2163702135578365E-2</v>
      </c>
    </row>
    <row r="400" spans="1:12" s="292" customFormat="1" ht="15.6" hidden="1" customHeight="1" x14ac:dyDescent="0.2">
      <c r="A400" s="226">
        <v>20</v>
      </c>
      <c r="B400" s="227">
        <f>rh_t1!C22</f>
        <v>99.22</v>
      </c>
      <c r="C400" s="227">
        <f>rh_t1!D22</f>
        <v>99.21</v>
      </c>
      <c r="D400" s="227">
        <f>rh_t1!E22</f>
        <v>99.21</v>
      </c>
      <c r="E400" s="227">
        <f>rh_t1!F22</f>
        <v>99.2</v>
      </c>
      <c r="F400" s="227">
        <f>rh_t1!G22</f>
        <v>99.2</v>
      </c>
      <c r="G400" s="227">
        <f>rh_t1!H22</f>
        <v>98.96</v>
      </c>
      <c r="H400" s="227">
        <f>rh_t1!I22</f>
        <v>99.2</v>
      </c>
      <c r="I400" s="227">
        <f>rh_t1!J22</f>
        <v>99.21</v>
      </c>
      <c r="J400" s="227">
        <f>rh_t1!K22</f>
        <v>99.23</v>
      </c>
      <c r="K400" s="227">
        <f>rh_t1!L22</f>
        <v>99.182222222222236</v>
      </c>
      <c r="L400" s="227">
        <f>rh_t1!M22</f>
        <v>7.913108362117878E-2</v>
      </c>
    </row>
    <row r="401" spans="1:12" s="292" customFormat="1" ht="15.6" hidden="1" customHeight="1" x14ac:dyDescent="0.2">
      <c r="A401" s="226">
        <v>21</v>
      </c>
      <c r="B401" s="227">
        <f>rh_t1!C23</f>
        <v>99.22</v>
      </c>
      <c r="C401" s="227">
        <f>rh_t1!D23</f>
        <v>99.21</v>
      </c>
      <c r="D401" s="227">
        <f>rh_t1!E23</f>
        <v>99.21</v>
      </c>
      <c r="E401" s="227">
        <f>rh_t1!F23</f>
        <v>99.2</v>
      </c>
      <c r="F401" s="227">
        <f>rh_t1!G23</f>
        <v>99.2</v>
      </c>
      <c r="G401" s="227">
        <f>rh_t1!H23</f>
        <v>98.91</v>
      </c>
      <c r="H401" s="227">
        <f>rh_t1!I23</f>
        <v>99.2</v>
      </c>
      <c r="I401" s="227">
        <f>rh_t1!J23</f>
        <v>99.21</v>
      </c>
      <c r="J401" s="227">
        <f>rh_t1!K23</f>
        <v>99.23</v>
      </c>
      <c r="K401" s="227">
        <f>rh_t1!L23</f>
        <v>99.176666666666677</v>
      </c>
      <c r="L401" s="227">
        <f>rh_t1!M23</f>
        <v>9.4751136023680058E-2</v>
      </c>
    </row>
    <row r="402" spans="1:12" s="292" customFormat="1" ht="15.6" hidden="1" customHeight="1" x14ac:dyDescent="0.2">
      <c r="A402" s="226">
        <v>22</v>
      </c>
      <c r="B402" s="227">
        <f>rh_t1!C24</f>
        <v>99.22</v>
      </c>
      <c r="C402" s="227">
        <f>rh_t1!D24</f>
        <v>99.21</v>
      </c>
      <c r="D402" s="227">
        <f>rh_t1!E24</f>
        <v>99.2</v>
      </c>
      <c r="E402" s="227">
        <f>rh_t1!F24</f>
        <v>99.1</v>
      </c>
      <c r="F402" s="227">
        <f>rh_t1!G24</f>
        <v>99.2</v>
      </c>
      <c r="G402" s="227">
        <f>rh_t1!H24</f>
        <v>98.79</v>
      </c>
      <c r="H402" s="227">
        <f>rh_t1!I24</f>
        <v>99.2</v>
      </c>
      <c r="I402" s="227">
        <f>rh_t1!J24</f>
        <v>99.21</v>
      </c>
      <c r="J402" s="227">
        <f>rh_t1!K24</f>
        <v>99.22</v>
      </c>
      <c r="K402" s="227">
        <f>rh_t1!L24</f>
        <v>99.15000000000002</v>
      </c>
      <c r="L402" s="227">
        <f>rh_t1!M24</f>
        <v>0.13190905958272711</v>
      </c>
    </row>
    <row r="403" spans="1:12" s="292" customFormat="1" ht="15.6" hidden="1" customHeight="1" x14ac:dyDescent="0.2">
      <c r="A403" s="226">
        <v>23</v>
      </c>
      <c r="B403" s="227">
        <f>rh_t1!C25</f>
        <v>99.22</v>
      </c>
      <c r="C403" s="227">
        <f>rh_t1!D25</f>
        <v>99.21</v>
      </c>
      <c r="D403" s="227">
        <f>rh_t1!E25</f>
        <v>99.2</v>
      </c>
      <c r="E403" s="227">
        <f>rh_t1!F25</f>
        <v>98.96</v>
      </c>
      <c r="F403" s="227">
        <f>rh_t1!G25</f>
        <v>99.2</v>
      </c>
      <c r="G403" s="227">
        <f>rh_t1!H25</f>
        <v>98.69</v>
      </c>
      <c r="H403" s="227">
        <f>rh_t1!I25</f>
        <v>99.2</v>
      </c>
      <c r="I403" s="227">
        <f>rh_t1!J25</f>
        <v>99.21</v>
      </c>
      <c r="J403" s="227">
        <f>rh_t1!K25</f>
        <v>99.23</v>
      </c>
      <c r="K403" s="227">
        <f>rh_t1!L25</f>
        <v>99.124444444444464</v>
      </c>
      <c r="L403" s="227">
        <f>rh_t1!M25</f>
        <v>0.17250514395622654</v>
      </c>
    </row>
    <row r="404" spans="1:12" s="292" customFormat="1" ht="15.6" hidden="1" customHeight="1" x14ac:dyDescent="0.2">
      <c r="A404" s="226">
        <v>24</v>
      </c>
      <c r="B404" s="227">
        <f>rh_t1!C26</f>
        <v>99.22</v>
      </c>
      <c r="C404" s="227">
        <f>rh_t1!D26</f>
        <v>99.21</v>
      </c>
      <c r="D404" s="227">
        <f>rh_t1!E26</f>
        <v>99.2</v>
      </c>
      <c r="E404" s="227">
        <f>rh_t1!F26</f>
        <v>98.83</v>
      </c>
      <c r="F404" s="227">
        <f>rh_t1!G26</f>
        <v>99.2</v>
      </c>
      <c r="G404" s="227">
        <f>rh_t1!H26</f>
        <v>98.58</v>
      </c>
      <c r="H404" s="227">
        <f>rh_t1!I26</f>
        <v>99.2</v>
      </c>
      <c r="I404" s="227">
        <f>rh_t1!J26</f>
        <v>99.21</v>
      </c>
      <c r="J404" s="227">
        <f>rh_t1!K26</f>
        <v>99.23</v>
      </c>
      <c r="K404" s="227">
        <f>rh_t1!L26</f>
        <v>99.097777777777793</v>
      </c>
      <c r="L404" s="227">
        <f>rh_t1!M26</f>
        <v>0.21826476163787817</v>
      </c>
    </row>
    <row r="405" spans="1:12" s="292" customFormat="1" ht="15.6" hidden="1" customHeight="1" x14ac:dyDescent="0.2">
      <c r="A405" s="226">
        <v>25</v>
      </c>
      <c r="B405" s="227">
        <f>rh_t1!C27</f>
        <v>99.22</v>
      </c>
      <c r="C405" s="227">
        <f>rh_t1!D27</f>
        <v>99.21</v>
      </c>
      <c r="D405" s="227">
        <f>rh_t1!E27</f>
        <v>99.2</v>
      </c>
      <c r="E405" s="227">
        <f>rh_t1!F27</f>
        <v>98.7</v>
      </c>
      <c r="F405" s="227">
        <f>rh_t1!G27</f>
        <v>99.2</v>
      </c>
      <c r="G405" s="227">
        <f>rh_t1!H27</f>
        <v>98.52</v>
      </c>
      <c r="H405" s="227">
        <f>rh_t1!I27</f>
        <v>99.2</v>
      </c>
      <c r="I405" s="227">
        <f>rh_t1!J27</f>
        <v>99.21</v>
      </c>
      <c r="J405" s="227">
        <f>rh_t1!K27</f>
        <v>99.31</v>
      </c>
      <c r="K405" s="227">
        <f>rh_t1!L27</f>
        <v>99.085555555555558</v>
      </c>
      <c r="L405" s="227">
        <f>rh_t1!M27</f>
        <v>0.25974821616802174</v>
      </c>
    </row>
    <row r="406" spans="1:12" s="292" customFormat="1" ht="15.6" hidden="1" customHeight="1" x14ac:dyDescent="0.2">
      <c r="A406" s="226">
        <v>26</v>
      </c>
      <c r="B406" s="227">
        <f>rh_t1!C28</f>
        <v>99.22</v>
      </c>
      <c r="C406" s="227">
        <f>rh_t1!D28</f>
        <v>99.21</v>
      </c>
      <c r="D406" s="227">
        <f>rh_t1!E28</f>
        <v>99.2</v>
      </c>
      <c r="E406" s="227">
        <f>rh_t1!F28</f>
        <v>98.59</v>
      </c>
      <c r="F406" s="227">
        <f>rh_t1!G28</f>
        <v>99.2</v>
      </c>
      <c r="G406" s="227">
        <f>rh_t1!H28</f>
        <v>98.48</v>
      </c>
      <c r="H406" s="227">
        <f>rh_t1!I28</f>
        <v>99.16</v>
      </c>
      <c r="I406" s="227">
        <f>rh_t1!J28</f>
        <v>99.21</v>
      </c>
      <c r="J406" s="227">
        <f>rh_t1!K28</f>
        <v>99.22</v>
      </c>
      <c r="K406" s="227">
        <f>rh_t1!L28</f>
        <v>99.054444444444442</v>
      </c>
      <c r="L406" s="227">
        <f>rh_t1!M28</f>
        <v>0.27936877703180368</v>
      </c>
    </row>
    <row r="407" spans="1:12" s="292" customFormat="1" ht="15.6" hidden="1" customHeight="1" x14ac:dyDescent="0.2">
      <c r="A407" s="226">
        <v>27</v>
      </c>
      <c r="B407" s="227">
        <f>rh_t1!C29</f>
        <v>99.22</v>
      </c>
      <c r="C407" s="227">
        <f>rh_t1!D29</f>
        <v>99.21</v>
      </c>
      <c r="D407" s="227">
        <f>rh_t1!E29</f>
        <v>99.2</v>
      </c>
      <c r="E407" s="227">
        <f>rh_t1!F29</f>
        <v>98.54</v>
      </c>
      <c r="F407" s="227">
        <f>rh_t1!G29</f>
        <v>99.2</v>
      </c>
      <c r="G407" s="227">
        <f>rh_t1!H29</f>
        <v>98.48</v>
      </c>
      <c r="H407" s="227">
        <f>rh_t1!I29</f>
        <v>99.14</v>
      </c>
      <c r="I407" s="227">
        <f>rh_t1!J29</f>
        <v>99.21</v>
      </c>
      <c r="J407" s="227">
        <f>rh_t1!K29</f>
        <v>99.22</v>
      </c>
      <c r="K407" s="227">
        <f>rh_t1!L29</f>
        <v>99.046666666666681</v>
      </c>
      <c r="L407" s="227">
        <f>rh_t1!M29</f>
        <v>0.288097205817756</v>
      </c>
    </row>
    <row r="408" spans="1:12" s="292" customFormat="1" ht="15.6" hidden="1" customHeight="1" x14ac:dyDescent="0.2">
      <c r="A408" s="226">
        <v>28</v>
      </c>
      <c r="B408" s="227">
        <f>rh_t1!C30</f>
        <v>99.21</v>
      </c>
      <c r="C408" s="227">
        <f>rh_t1!D30</f>
        <v>99.21</v>
      </c>
      <c r="D408" s="227">
        <f>rh_t1!E30</f>
        <v>99.2</v>
      </c>
      <c r="E408" s="227">
        <f>rh_t1!F30</f>
        <v>98.55</v>
      </c>
      <c r="F408" s="227">
        <f>rh_t1!G30</f>
        <v>99.18</v>
      </c>
      <c r="G408" s="227">
        <f>rh_t1!H30</f>
        <v>98.51</v>
      </c>
      <c r="H408" s="227">
        <f>rh_t1!I30</f>
        <v>99.12</v>
      </c>
      <c r="I408" s="227">
        <f>rh_t1!J30</f>
        <v>99.21</v>
      </c>
      <c r="J408" s="227">
        <f>rh_t1!K30</f>
        <v>99.23</v>
      </c>
      <c r="K408" s="227">
        <f>rh_t1!L30</f>
        <v>99.046666666666681</v>
      </c>
      <c r="L408" s="227">
        <f>rh_t1!M30</f>
        <v>0.27788886667555035</v>
      </c>
    </row>
    <row r="409" spans="1:12" s="292" customFormat="1" ht="15.6" hidden="1" customHeight="1" x14ac:dyDescent="0.2">
      <c r="A409" s="226">
        <v>29</v>
      </c>
      <c r="B409" s="227">
        <f>rh_t1!C31</f>
        <v>99.21</v>
      </c>
      <c r="C409" s="227">
        <f>rh_t1!D31</f>
        <v>99.21</v>
      </c>
      <c r="D409" s="227">
        <f>rh_t1!E31</f>
        <v>99.2</v>
      </c>
      <c r="E409" s="227">
        <f>rh_t1!F31</f>
        <v>98.55</v>
      </c>
      <c r="F409" s="227">
        <f>rh_t1!G31</f>
        <v>99.18</v>
      </c>
      <c r="G409" s="227">
        <f>rh_t1!H31</f>
        <v>98.54</v>
      </c>
      <c r="H409" s="227">
        <f>rh_t1!I31</f>
        <v>99.07</v>
      </c>
      <c r="I409" s="227">
        <f>rh_t1!J31</f>
        <v>99.21</v>
      </c>
      <c r="J409" s="227">
        <f>rh_t1!K31</f>
        <v>99.22</v>
      </c>
      <c r="K409" s="227">
        <f>rh_t1!L31</f>
        <v>99.043333333333351</v>
      </c>
      <c r="L409" s="227">
        <f>rh_t1!M31</f>
        <v>0.26981475126463922</v>
      </c>
    </row>
    <row r="410" spans="1:12" s="292" customFormat="1" ht="15.6" hidden="1" customHeight="1" x14ac:dyDescent="0.2">
      <c r="A410" s="226">
        <v>30</v>
      </c>
      <c r="B410" s="227">
        <f>rh_t1!C32</f>
        <v>99.21</v>
      </c>
      <c r="C410" s="227">
        <f>rh_t1!D32</f>
        <v>99.21</v>
      </c>
      <c r="D410" s="227">
        <f>rh_t1!E32</f>
        <v>99.2</v>
      </c>
      <c r="E410" s="227">
        <f>rh_t1!F32</f>
        <v>98.55</v>
      </c>
      <c r="F410" s="227">
        <f>rh_t1!G32</f>
        <v>99.18</v>
      </c>
      <c r="G410" s="227">
        <f>rh_t1!H32</f>
        <v>98.54</v>
      </c>
      <c r="H410" s="227">
        <f>rh_t1!I32</f>
        <v>99.07</v>
      </c>
      <c r="I410" s="227">
        <f>rh_t1!J32</f>
        <v>99.21</v>
      </c>
      <c r="J410" s="227">
        <f>rh_t1!K32</f>
        <v>99.22</v>
      </c>
      <c r="K410" s="227">
        <f>rh_t1!L32</f>
        <v>99.043333333333351</v>
      </c>
      <c r="L410" s="227">
        <f>rh_t1!M32</f>
        <v>0.26981475126463922</v>
      </c>
    </row>
    <row r="411" spans="1:12" s="292" customFormat="1" ht="15.6" hidden="1" customHeight="1" x14ac:dyDescent="0.35">
      <c r="A411" s="228" t="s">
        <v>64</v>
      </c>
      <c r="B411" s="227">
        <f>rh_t1!C33</f>
        <v>99.22233333333331</v>
      </c>
      <c r="C411" s="227">
        <f>rh_t1!D33</f>
        <v>99.215000000000018</v>
      </c>
      <c r="D411" s="227">
        <f>rh_t1!E33</f>
        <v>99.206999999999951</v>
      </c>
      <c r="E411" s="227">
        <f>rh_t1!F33</f>
        <v>99.057666666666691</v>
      </c>
      <c r="F411" s="227">
        <f>rh_t1!G33</f>
        <v>99.204333333333295</v>
      </c>
      <c r="G411" s="227">
        <f>rh_t1!H33</f>
        <v>98.994000000000014</v>
      </c>
      <c r="H411" s="227">
        <f>rh_t1!I33</f>
        <v>99.191333333333333</v>
      </c>
      <c r="I411" s="227">
        <f>rh_t1!J33</f>
        <v>99.215666666666692</v>
      </c>
      <c r="J411" s="227">
        <f>rh_t1!K33</f>
        <v>99.236333333333292</v>
      </c>
      <c r="K411" s="137"/>
      <c r="L411" s="137"/>
    </row>
    <row r="412" spans="1:12" s="292" customFormat="1" ht="15.6" hidden="1" customHeight="1" x14ac:dyDescent="0.35">
      <c r="A412" s="228" t="s">
        <v>39</v>
      </c>
      <c r="B412" s="227">
        <f>rh_t1!C34</f>
        <v>6.1553951042096133E-3</v>
      </c>
      <c r="C412" s="227">
        <f>rh_t1!D34</f>
        <v>5.0000000000025562E-3</v>
      </c>
      <c r="D412" s="227">
        <f>rh_t1!E34</f>
        <v>4.5825756949516719E-3</v>
      </c>
      <c r="E412" s="227">
        <f>rh_t1!F34</f>
        <v>0.25321510399043728</v>
      </c>
      <c r="F412" s="227">
        <f>rh_t1!G34</f>
        <v>9.1954094827512104E-3</v>
      </c>
      <c r="G412" s="227">
        <f>rh_t1!H34</f>
        <v>0.29117692216245128</v>
      </c>
      <c r="H412" s="227">
        <f>rh_t1!I34</f>
        <v>3.8706875645318981E-2</v>
      </c>
      <c r="I412" s="227">
        <f>rh_t1!J34</f>
        <v>4.9553562491087026E-3</v>
      </c>
      <c r="J412" s="227">
        <f>rh_t1!K34</f>
        <v>1.5595583420385598E-2</v>
      </c>
      <c r="K412" s="294"/>
      <c r="L412" s="294"/>
    </row>
    <row r="413" spans="1:12" s="292" customFormat="1" ht="15.6" hidden="1" customHeight="1" x14ac:dyDescent="0.35">
      <c r="A413" s="228" t="s">
        <v>65</v>
      </c>
      <c r="B413" s="227">
        <f>rh_t1!C35</f>
        <v>7.6666666666937999E-3</v>
      </c>
      <c r="C413" s="227">
        <f>rh_t1!D35</f>
        <v>4.9999999999812417E-3</v>
      </c>
      <c r="D413" s="227">
        <f>rh_t1!E35</f>
        <v>3.0000000000427463E-3</v>
      </c>
      <c r="E413" s="227">
        <f>rh_t1!F35</f>
        <v>0.15233333333330279</v>
      </c>
      <c r="F413" s="227">
        <f>rh_t1!G35</f>
        <v>5.6666666666984611E-3</v>
      </c>
      <c r="G413" s="227">
        <f>rh_t1!H35</f>
        <v>0.21599999999997976</v>
      </c>
      <c r="H413" s="227">
        <f>rh_t1!I35</f>
        <v>1.8666666666661058E-2</v>
      </c>
      <c r="I413" s="227">
        <f>rh_t1!J35</f>
        <v>4.3333333333066548E-3</v>
      </c>
      <c r="J413" s="227">
        <f>rh_t1!K35</f>
        <v>7.3666666666710512E-2</v>
      </c>
      <c r="K413" s="416"/>
      <c r="L413" s="416"/>
    </row>
    <row r="414" spans="1:12" s="292" customFormat="1" ht="15.6" hidden="1" customHeight="1" x14ac:dyDescent="0.35">
      <c r="A414" s="228" t="s">
        <v>66</v>
      </c>
      <c r="B414" s="227">
        <f>rh_t1!C36</f>
        <v>1.2333333333316432E-2</v>
      </c>
      <c r="C414" s="227">
        <f>rh_t1!D36</f>
        <v>5.0000000000238742E-3</v>
      </c>
      <c r="D414" s="227">
        <f>rh_t1!E36</f>
        <v>6.9999999999481588E-3</v>
      </c>
      <c r="E414" s="227">
        <f>rh_t1!F36</f>
        <v>0.5176666666666847</v>
      </c>
      <c r="F414" s="227">
        <f>rh_t1!G36</f>
        <v>2.4333333333288465E-2</v>
      </c>
      <c r="G414" s="227">
        <f>rh_t1!H36</f>
        <v>0.51400000000001</v>
      </c>
      <c r="H414" s="227">
        <f>rh_t1!I36</f>
        <v>0.12133333333333951</v>
      </c>
      <c r="I414" s="227">
        <f>rh_t1!J36</f>
        <v>5.6666666666984611E-3</v>
      </c>
      <c r="J414" s="227">
        <f>rh_t1!K36</f>
        <v>1.6333333333292899E-2</v>
      </c>
      <c r="K414" s="416"/>
      <c r="L414" s="416"/>
    </row>
    <row r="415" spans="1:12" s="292" customFormat="1" ht="15.6" hidden="1" customHeight="1" x14ac:dyDescent="0.2">
      <c r="A415" s="229" t="s">
        <v>37</v>
      </c>
      <c r="B415" s="227">
        <f>rh_t1!C37</f>
        <v>1.0000000000005116E-2</v>
      </c>
      <c r="C415" s="227">
        <f>rh_t1!D37</f>
        <v>5.000000000002558E-3</v>
      </c>
      <c r="D415" s="227">
        <f>rh_t1!E37</f>
        <v>4.9999999999954525E-3</v>
      </c>
      <c r="E415" s="227">
        <f>rh_t1!F37</f>
        <v>0.33499999999999375</v>
      </c>
      <c r="F415" s="227">
        <f>rh_t1!G37</f>
        <v>1.4999999999993463E-2</v>
      </c>
      <c r="G415" s="227">
        <f>rh_t1!H37</f>
        <v>0.36499999999999488</v>
      </c>
      <c r="H415" s="227">
        <f>rh_t1!I37</f>
        <v>7.0000000000000284E-2</v>
      </c>
      <c r="I415" s="227">
        <f>rh_t1!J37</f>
        <v>5.000000000002558E-3</v>
      </c>
      <c r="J415" s="227">
        <f>rh_t1!K37</f>
        <v>4.5000000000001705E-2</v>
      </c>
      <c r="K415" s="416"/>
      <c r="L415" s="416"/>
    </row>
    <row r="416" spans="1:12" s="292" customFormat="1" ht="15.6" hidden="1" customHeight="1" x14ac:dyDescent="0.35">
      <c r="A416" s="230" t="s">
        <v>67</v>
      </c>
      <c r="B416" s="227">
        <f>rh_t1!C38</f>
        <v>1.8000000000014893E-2</v>
      </c>
      <c r="C416" s="227">
        <f>rh_t1!D38</f>
        <v>1.0666666666722335E-2</v>
      </c>
      <c r="D416" s="227">
        <f>rh_t1!E38</f>
        <v>2.6666666666557148E-3</v>
      </c>
      <c r="E416" s="227">
        <f>rh_t1!F38</f>
        <v>-0.14666666666660433</v>
      </c>
      <c r="F416" s="227">
        <f>rh_t1!G38</f>
        <v>0</v>
      </c>
      <c r="G416" s="227">
        <f>rh_t1!H38</f>
        <v>-0.2103333333332813</v>
      </c>
      <c r="H416" s="227">
        <f>rh_t1!I38</f>
        <v>-1.2999999999962597E-2</v>
      </c>
      <c r="I416" s="227">
        <f>rh_t1!J38</f>
        <v>1.1333333333396922E-2</v>
      </c>
      <c r="J416" s="227">
        <f>rh_t1!K38</f>
        <v>3.1999999999996476E-2</v>
      </c>
      <c r="K416" s="139"/>
      <c r="L416" s="139"/>
    </row>
    <row r="417" spans="1:12" s="292" customFormat="1" ht="15.6" hidden="1" customHeight="1" x14ac:dyDescent="0.35">
      <c r="A417" s="233" t="s">
        <v>69</v>
      </c>
      <c r="B417" s="232">
        <f>rh_t1!C40</f>
        <v>99.171518518518354</v>
      </c>
      <c r="C417" s="139"/>
      <c r="D417" s="139"/>
      <c r="E417" s="139"/>
      <c r="F417" s="139"/>
      <c r="G417" s="139"/>
      <c r="H417" s="139"/>
      <c r="I417" s="139"/>
      <c r="J417" s="139"/>
      <c r="K417" s="139"/>
      <c r="L417" s="139"/>
    </row>
    <row r="418" spans="1:12" s="292" customFormat="1" ht="15.6" hidden="1" customHeight="1" x14ac:dyDescent="0.35">
      <c r="A418" s="233" t="s">
        <v>70</v>
      </c>
      <c r="B418" s="232">
        <f>rh_t1!C41</f>
        <v>1.1715185185183543</v>
      </c>
      <c r="C418" s="139"/>
      <c r="D418" s="139"/>
      <c r="E418" s="139"/>
      <c r="F418" s="139"/>
      <c r="G418" s="139"/>
      <c r="H418" s="139"/>
      <c r="I418" s="139"/>
      <c r="J418" s="139"/>
      <c r="K418" s="139"/>
      <c r="L418" s="139"/>
    </row>
    <row r="419" spans="1:12" s="292" customFormat="1" ht="15.6" hidden="1" customHeight="1" x14ac:dyDescent="0.35">
      <c r="A419" s="233" t="s">
        <v>270</v>
      </c>
      <c r="B419" s="232">
        <f>rh_t1!C46</f>
        <v>0.15226533137436651</v>
      </c>
      <c r="C419" s="139"/>
      <c r="D419" s="139"/>
      <c r="E419" s="139"/>
      <c r="F419" s="139"/>
      <c r="G419" s="139"/>
      <c r="H419" s="139"/>
      <c r="I419" s="139"/>
      <c r="J419" s="139"/>
      <c r="K419" s="139"/>
      <c r="L419" s="139"/>
    </row>
    <row r="420" spans="1:12" s="292" customFormat="1" ht="15.6" hidden="1" customHeight="1" x14ac:dyDescent="0.35">
      <c r="A420" s="241" t="s">
        <v>71</v>
      </c>
      <c r="B420" s="232">
        <f>rh_t1!C42</f>
        <v>0.24233333333327778</v>
      </c>
      <c r="C420" s="139"/>
      <c r="D420" s="139"/>
      <c r="E420" s="139"/>
      <c r="F420" s="139"/>
      <c r="G420" s="139"/>
      <c r="H420" s="139"/>
      <c r="I420" s="139"/>
      <c r="J420" s="139"/>
      <c r="K420" s="139"/>
      <c r="L420" s="139"/>
    </row>
    <row r="421" spans="1:12" s="292" customFormat="1" ht="15.6" hidden="1" customHeight="1" x14ac:dyDescent="0.35">
      <c r="A421" s="241" t="s">
        <v>72</v>
      </c>
      <c r="B421" s="240">
        <f>rh_t1!C43</f>
        <v>3.1999999999996476E-2</v>
      </c>
      <c r="C421" s="139"/>
      <c r="D421" s="139"/>
      <c r="E421" s="139"/>
      <c r="F421" s="139"/>
      <c r="G421" s="139"/>
      <c r="H421" s="139"/>
      <c r="I421" s="139"/>
      <c r="J421" s="139"/>
      <c r="K421" s="139"/>
      <c r="L421" s="139"/>
    </row>
    <row r="422" spans="1:12" s="292" customFormat="1" ht="15.6" hidden="1" customHeight="1" x14ac:dyDescent="0.2">
      <c r="A422" s="283"/>
      <c r="B422" s="240">
        <f>rh_t1!C44</f>
        <v>-0.2103333333332813</v>
      </c>
      <c r="C422" s="140"/>
      <c r="D422" s="139"/>
      <c r="E422" s="139"/>
      <c r="F422" s="139"/>
      <c r="G422" s="139"/>
      <c r="H422" s="139"/>
      <c r="I422" s="139"/>
      <c r="J422" s="139"/>
      <c r="K422" s="139"/>
      <c r="L422" s="139"/>
    </row>
    <row r="423" spans="1:12" s="292" customFormat="1" ht="18.75" hidden="1" x14ac:dyDescent="0.35">
      <c r="A423" s="242" t="s">
        <v>50</v>
      </c>
      <c r="B423" s="232">
        <f>rh_t1!C45</f>
        <v>9.4999999999998863E-2</v>
      </c>
      <c r="C423" s="139"/>
      <c r="D423" s="139"/>
      <c r="E423" s="139"/>
      <c r="F423" s="139"/>
      <c r="G423" s="139"/>
      <c r="H423" s="139"/>
      <c r="I423" s="139"/>
      <c r="J423" s="139"/>
      <c r="K423" s="139"/>
      <c r="L423" s="139"/>
    </row>
    <row r="424" spans="1:12" s="292" customFormat="1" ht="34.5" hidden="1" customHeight="1" x14ac:dyDescent="0.2">
      <c r="A424" s="417" t="s">
        <v>364</v>
      </c>
      <c r="B424" s="417"/>
      <c r="C424" s="417"/>
      <c r="D424" s="417"/>
      <c r="E424" s="417"/>
      <c r="F424" s="417"/>
      <c r="G424" s="417"/>
      <c r="H424" s="417"/>
      <c r="I424" s="417"/>
      <c r="J424" s="417"/>
      <c r="K424" s="417"/>
      <c r="L424" s="417"/>
    </row>
    <row r="425" spans="1:12" s="292" customFormat="1" ht="31.5" hidden="1" customHeight="1" thickBot="1" x14ac:dyDescent="0.25">
      <c r="A425" s="430" t="str">
        <f>"Заданная температура = "&amp;rh_t1!C86&amp;" °С;  Заданная относительная влажность =  "&amp;$E$1&amp;rh_t1!C39 &amp;" %."</f>
        <v>Заданная температура = 40 °С;  Заданная относительная влажность =  98 %.</v>
      </c>
      <c r="B425" s="430"/>
      <c r="C425" s="430"/>
      <c r="D425" s="430"/>
      <c r="E425" s="430"/>
      <c r="F425" s="430"/>
      <c r="G425" s="430"/>
      <c r="H425" s="430"/>
      <c r="I425" s="430"/>
      <c r="J425" s="430"/>
      <c r="K425" s="430"/>
      <c r="L425" s="430"/>
    </row>
    <row r="426" spans="1:12" s="292" customFormat="1" ht="30.75" hidden="1" customHeight="1" thickBot="1" x14ac:dyDescent="0.25">
      <c r="A426" s="239" t="s">
        <v>89</v>
      </c>
      <c r="B426" s="419" t="s">
        <v>94</v>
      </c>
      <c r="C426" s="419"/>
      <c r="D426" s="419"/>
      <c r="E426" s="419"/>
      <c r="F426" s="419"/>
      <c r="G426" s="419"/>
      <c r="H426" s="419"/>
      <c r="I426" s="419"/>
      <c r="J426" s="419"/>
      <c r="K426" s="420" t="s">
        <v>91</v>
      </c>
      <c r="L426" s="420"/>
    </row>
    <row r="427" spans="1:12" s="292" customFormat="1" ht="15" hidden="1" customHeight="1" x14ac:dyDescent="0.2">
      <c r="A427" s="236"/>
      <c r="B427" s="235">
        <v>1</v>
      </c>
      <c r="C427" s="235">
        <v>2</v>
      </c>
      <c r="D427" s="235">
        <v>3</v>
      </c>
      <c r="E427" s="235">
        <v>4</v>
      </c>
      <c r="F427" s="235">
        <v>5</v>
      </c>
      <c r="G427" s="235">
        <v>6</v>
      </c>
      <c r="H427" s="235">
        <v>7</v>
      </c>
      <c r="I427" s="235">
        <v>8</v>
      </c>
      <c r="J427" s="235">
        <v>9</v>
      </c>
      <c r="K427" s="237" t="s">
        <v>92</v>
      </c>
      <c r="L427" s="238" t="s">
        <v>93</v>
      </c>
    </row>
    <row r="428" spans="1:12" s="292" customFormat="1" ht="15" hidden="1" customHeight="1" x14ac:dyDescent="0.2">
      <c r="A428" s="226">
        <v>1</v>
      </c>
      <c r="B428" s="227">
        <f>rh_t1!C50</f>
        <v>39.69003</v>
      </c>
      <c r="C428" s="227">
        <f>rh_t1!D50</f>
        <v>39.890059999999998</v>
      </c>
      <c r="D428" s="227">
        <f>rh_t1!E50</f>
        <v>39.800939999999997</v>
      </c>
      <c r="E428" s="227">
        <f>rh_t1!F50</f>
        <v>40.029969999999999</v>
      </c>
      <c r="F428" s="227">
        <f>rh_t1!G50</f>
        <v>39.7866</v>
      </c>
      <c r="G428" s="227">
        <f>rh_t1!H50</f>
        <v>39.702770000000001</v>
      </c>
      <c r="H428" s="227">
        <f>rh_t1!I50</f>
        <v>39.728859999999997</v>
      </c>
      <c r="I428" s="227">
        <f>rh_t1!J50</f>
        <v>39.519660000000002</v>
      </c>
      <c r="J428" s="227">
        <f>rh_t1!K50</f>
        <v>39.863959999999999</v>
      </c>
      <c r="K428" s="227">
        <f>rh_t1!L50</f>
        <v>39.779205555555556</v>
      </c>
      <c r="L428" s="227">
        <f>rh_t1!M50</f>
        <v>0.13604539210711991</v>
      </c>
    </row>
    <row r="429" spans="1:12" s="292" customFormat="1" ht="15" hidden="1" customHeight="1" x14ac:dyDescent="0.2">
      <c r="A429" s="226">
        <v>2</v>
      </c>
      <c r="B429" s="227">
        <f>rh_t1!C51</f>
        <v>39.681750000000001</v>
      </c>
      <c r="C429" s="227">
        <f>rh_t1!D51</f>
        <v>39.884929999999997</v>
      </c>
      <c r="D429" s="227">
        <f>rh_t1!E51</f>
        <v>39.797649999999997</v>
      </c>
      <c r="E429" s="227">
        <f>rh_t1!F51</f>
        <v>40.025069999999999</v>
      </c>
      <c r="F429" s="227">
        <f>rh_t1!G51</f>
        <v>39.777160000000002</v>
      </c>
      <c r="G429" s="227">
        <f>rh_t1!H51</f>
        <v>39.693420000000003</v>
      </c>
      <c r="H429" s="227">
        <f>rh_t1!I51</f>
        <v>39.72146</v>
      </c>
      <c r="I429" s="227">
        <f>rh_t1!J51</f>
        <v>39.514279999999999</v>
      </c>
      <c r="J429" s="227">
        <f>rh_t1!K51</f>
        <v>39.856560000000002</v>
      </c>
      <c r="K429" s="227">
        <f>rh_t1!L51</f>
        <v>39.772475555555552</v>
      </c>
      <c r="L429" s="227">
        <f>rh_t1!M51</f>
        <v>0.13659521913799874</v>
      </c>
    </row>
    <row r="430" spans="1:12" s="292" customFormat="1" ht="15" hidden="1" customHeight="1" x14ac:dyDescent="0.2">
      <c r="A430" s="226">
        <v>3</v>
      </c>
      <c r="B430" s="227">
        <f>rh_t1!C52</f>
        <v>39.674460000000003</v>
      </c>
      <c r="C430" s="227">
        <f>rh_t1!D52</f>
        <v>39.876220000000004</v>
      </c>
      <c r="D430" s="227">
        <f>rh_t1!E52</f>
        <v>39.790990000000001</v>
      </c>
      <c r="E430" s="227">
        <f>rh_t1!F52</f>
        <v>40.015439999999998</v>
      </c>
      <c r="F430" s="227">
        <f>rh_t1!G52</f>
        <v>39.765549999999998</v>
      </c>
      <c r="G430" s="227">
        <f>rh_t1!H52</f>
        <v>39.684570000000001</v>
      </c>
      <c r="H430" s="227">
        <f>rh_t1!I52</f>
        <v>39.711449999999999</v>
      </c>
      <c r="I430" s="227">
        <f>rh_t1!J52</f>
        <v>39.508580000000002</v>
      </c>
      <c r="J430" s="227">
        <f>rh_t1!K52</f>
        <v>39.849730000000001</v>
      </c>
      <c r="K430" s="227">
        <f>rh_t1!L52</f>
        <v>39.764109999999995</v>
      </c>
      <c r="L430" s="227">
        <f>rh_t1!M52</f>
        <v>0.13590160002328416</v>
      </c>
    </row>
    <row r="431" spans="1:12" s="292" customFormat="1" ht="15" hidden="1" customHeight="1" x14ac:dyDescent="0.2">
      <c r="A431" s="226">
        <v>4</v>
      </c>
      <c r="B431" s="227">
        <f>rh_t1!C53</f>
        <v>39.672179999999997</v>
      </c>
      <c r="C431" s="227">
        <f>rh_t1!D53</f>
        <v>39.870190000000001</v>
      </c>
      <c r="D431" s="227">
        <f>rh_t1!E53</f>
        <v>39.786540000000002</v>
      </c>
      <c r="E431" s="227">
        <f>rh_t1!F53</f>
        <v>40.011139999999997</v>
      </c>
      <c r="F431" s="227">
        <f>rh_t1!G53</f>
        <v>39.761249999999997</v>
      </c>
      <c r="G431" s="227">
        <f>rh_t1!H53</f>
        <v>39.679839999999999</v>
      </c>
      <c r="H431" s="227">
        <f>rh_t1!I53</f>
        <v>39.706609999999998</v>
      </c>
      <c r="I431" s="227">
        <f>rh_t1!J53</f>
        <v>39.504309999999997</v>
      </c>
      <c r="J431" s="227">
        <f>rh_t1!K53</f>
        <v>39.84554</v>
      </c>
      <c r="K431" s="227">
        <f>rh_t1!L53</f>
        <v>39.75973333333333</v>
      </c>
      <c r="L431" s="227">
        <f>rh_t1!M53</f>
        <v>0.1356471597769586</v>
      </c>
    </row>
    <row r="432" spans="1:12" s="292" customFormat="1" ht="15" hidden="1" customHeight="1" x14ac:dyDescent="0.2">
      <c r="A432" s="226">
        <v>5</v>
      </c>
      <c r="B432" s="227">
        <f>rh_t1!C54</f>
        <v>39.670569999999998</v>
      </c>
      <c r="C432" s="227">
        <f>rh_t1!D54</f>
        <v>39.868899999999996</v>
      </c>
      <c r="D432" s="227">
        <f>rh_t1!E54</f>
        <v>39.783459999999998</v>
      </c>
      <c r="E432" s="227">
        <f>rh_t1!F54</f>
        <v>40.008620000000001</v>
      </c>
      <c r="F432" s="227">
        <f>rh_t1!G54</f>
        <v>39.760420000000003</v>
      </c>
      <c r="G432" s="227">
        <f>rh_t1!H54</f>
        <v>39.680489999999999</v>
      </c>
      <c r="H432" s="227">
        <f>rh_t1!I54</f>
        <v>39.70449</v>
      </c>
      <c r="I432" s="227">
        <f>rh_t1!J54</f>
        <v>39.502130000000001</v>
      </c>
      <c r="J432" s="227">
        <f>rh_t1!K54</f>
        <v>39.844569999999997</v>
      </c>
      <c r="K432" s="227">
        <f>rh_t1!L54</f>
        <v>39.758183333333335</v>
      </c>
      <c r="L432" s="227">
        <f>rh_t1!M54</f>
        <v>0.13549985928651936</v>
      </c>
    </row>
    <row r="433" spans="1:12" s="292" customFormat="1" ht="15" hidden="1" customHeight="1" x14ac:dyDescent="0.2">
      <c r="A433" s="226">
        <v>6</v>
      </c>
      <c r="B433" s="227">
        <f>rh_t1!C55</f>
        <v>39.669589999999999</v>
      </c>
      <c r="C433" s="227">
        <f>rh_t1!D55</f>
        <v>39.870109999999997</v>
      </c>
      <c r="D433" s="227">
        <f>rh_t1!E55</f>
        <v>39.783029999999997</v>
      </c>
      <c r="E433" s="227">
        <f>rh_t1!F55</f>
        <v>40.005470000000003</v>
      </c>
      <c r="F433" s="227">
        <f>rh_t1!G55</f>
        <v>39.760249999999999</v>
      </c>
      <c r="G433" s="227">
        <f>rh_t1!H55</f>
        <v>39.679079999999999</v>
      </c>
      <c r="H433" s="227">
        <f>rh_t1!I55</f>
        <v>39.703200000000002</v>
      </c>
      <c r="I433" s="227">
        <f>rh_t1!J55</f>
        <v>39.500999999999998</v>
      </c>
      <c r="J433" s="227">
        <f>rh_t1!K55</f>
        <v>39.843069999999997</v>
      </c>
      <c r="K433" s="227">
        <f>rh_t1!L55</f>
        <v>39.75719999999999</v>
      </c>
      <c r="L433" s="227">
        <f>rh_t1!M55</f>
        <v>0.13530603000441507</v>
      </c>
    </row>
    <row r="434" spans="1:12" s="292" customFormat="1" ht="15" hidden="1" customHeight="1" x14ac:dyDescent="0.2">
      <c r="A434" s="226">
        <v>7</v>
      </c>
      <c r="B434" s="227">
        <f>rh_t1!C56</f>
        <v>39.673169999999999</v>
      </c>
      <c r="C434" s="227">
        <f>rh_t1!D56</f>
        <v>39.873399999999997</v>
      </c>
      <c r="D434" s="227">
        <f>rh_t1!E56</f>
        <v>39.782539999999997</v>
      </c>
      <c r="E434" s="227">
        <f>rh_t1!F56</f>
        <v>40.00703</v>
      </c>
      <c r="F434" s="227">
        <f>rh_t1!G56</f>
        <v>39.76238</v>
      </c>
      <c r="G434" s="227">
        <f>rh_t1!H56</f>
        <v>39.683059999999998</v>
      </c>
      <c r="H434" s="227">
        <f>rh_t1!I56</f>
        <v>39.708100000000002</v>
      </c>
      <c r="I434" s="227">
        <f>rh_t1!J56</f>
        <v>39.504710000000003</v>
      </c>
      <c r="J434" s="227">
        <f>rh_t1!K56</f>
        <v>39.846530000000001</v>
      </c>
      <c r="K434" s="227">
        <f>rh_t1!L56</f>
        <v>39.760102222222223</v>
      </c>
      <c r="L434" s="227">
        <f>rh_t1!M56</f>
        <v>0.13466429468024632</v>
      </c>
    </row>
    <row r="435" spans="1:12" s="292" customFormat="1" ht="15" hidden="1" customHeight="1" x14ac:dyDescent="0.2">
      <c r="A435" s="226">
        <v>8</v>
      </c>
      <c r="B435" s="227">
        <f>rh_t1!C57</f>
        <v>39.676960000000001</v>
      </c>
      <c r="C435" s="227">
        <f>rh_t1!D57</f>
        <v>39.87426</v>
      </c>
      <c r="D435" s="227">
        <f>rh_t1!E57</f>
        <v>39.785069999999997</v>
      </c>
      <c r="E435" s="227">
        <f>rh_t1!F57</f>
        <v>40.015099999999997</v>
      </c>
      <c r="F435" s="227">
        <f>rh_t1!G57</f>
        <v>39.768030000000003</v>
      </c>
      <c r="G435" s="227">
        <f>rh_t1!H57</f>
        <v>39.687869999999997</v>
      </c>
      <c r="H435" s="227">
        <f>rh_t1!I57</f>
        <v>39.712510000000002</v>
      </c>
      <c r="I435" s="227">
        <f>rh_t1!J57</f>
        <v>39.506239999999998</v>
      </c>
      <c r="J435" s="227">
        <f>rh_t1!K57</f>
        <v>39.849550000000001</v>
      </c>
      <c r="K435" s="227">
        <f>rh_t1!L57</f>
        <v>39.763954444444444</v>
      </c>
      <c r="L435" s="227">
        <f>rh_t1!M57</f>
        <v>0.13558540704098307</v>
      </c>
    </row>
    <row r="436" spans="1:12" s="292" customFormat="1" ht="15" hidden="1" customHeight="1" x14ac:dyDescent="0.2">
      <c r="A436" s="226">
        <v>9</v>
      </c>
      <c r="B436" s="227">
        <f>rh_t1!C58</f>
        <v>39.677930000000003</v>
      </c>
      <c r="C436" s="227">
        <f>rh_t1!D58</f>
        <v>39.87574</v>
      </c>
      <c r="D436" s="227">
        <f>rh_t1!E58</f>
        <v>39.787039999999998</v>
      </c>
      <c r="E436" s="227">
        <f>rh_t1!F58</f>
        <v>40.018030000000003</v>
      </c>
      <c r="F436" s="227">
        <f>rh_t1!G58</f>
        <v>39.770040000000002</v>
      </c>
      <c r="G436" s="227">
        <f>rh_t1!H58</f>
        <v>39.689169999999997</v>
      </c>
      <c r="H436" s="227">
        <f>rh_t1!I58</f>
        <v>39.711649999999999</v>
      </c>
      <c r="I436" s="227">
        <f>rh_t1!J58</f>
        <v>39.508800000000001</v>
      </c>
      <c r="J436" s="227">
        <f>rh_t1!K58</f>
        <v>39.849629999999998</v>
      </c>
      <c r="K436" s="227">
        <f>rh_t1!L58</f>
        <v>39.76533666666667</v>
      </c>
      <c r="L436" s="227">
        <f>rh_t1!M58</f>
        <v>0.13571864065861514</v>
      </c>
    </row>
    <row r="437" spans="1:12" s="292" customFormat="1" ht="15" hidden="1" customHeight="1" x14ac:dyDescent="0.2">
      <c r="A437" s="226">
        <v>10</v>
      </c>
      <c r="B437" s="227">
        <f>rh_t1!C59</f>
        <v>39.677720000000001</v>
      </c>
      <c r="C437" s="227">
        <f>rh_t1!D59</f>
        <v>39.877400000000002</v>
      </c>
      <c r="D437" s="227">
        <f>rh_t1!E59</f>
        <v>39.79</v>
      </c>
      <c r="E437" s="227">
        <f>rh_t1!F59</f>
        <v>40.020339999999997</v>
      </c>
      <c r="F437" s="227">
        <f>rh_t1!G59</f>
        <v>39.769390000000001</v>
      </c>
      <c r="G437" s="227">
        <f>rh_t1!H59</f>
        <v>39.69126</v>
      </c>
      <c r="H437" s="227">
        <f>rh_t1!I59</f>
        <v>39.715809999999998</v>
      </c>
      <c r="I437" s="227">
        <f>rh_t1!J59</f>
        <v>39.509979999999999</v>
      </c>
      <c r="J437" s="227">
        <f>rh_t1!K59</f>
        <v>39.852119999999999</v>
      </c>
      <c r="K437" s="227">
        <f>rh_t1!L59</f>
        <v>39.767113333333334</v>
      </c>
      <c r="L437" s="227">
        <f>rh_t1!M59</f>
        <v>0.13602960829662522</v>
      </c>
    </row>
    <row r="438" spans="1:12" s="292" customFormat="1" ht="15" hidden="1" customHeight="1" x14ac:dyDescent="0.2">
      <c r="A438" s="226">
        <v>11</v>
      </c>
      <c r="B438" s="227">
        <f>rh_t1!C60</f>
        <v>39.672899999999998</v>
      </c>
      <c r="C438" s="227">
        <f>rh_t1!D60</f>
        <v>39.873179999999998</v>
      </c>
      <c r="D438" s="227">
        <f>rh_t1!E60</f>
        <v>39.788400000000003</v>
      </c>
      <c r="E438" s="227">
        <f>rh_t1!F60</f>
        <v>40.019829999999999</v>
      </c>
      <c r="F438" s="227">
        <f>rh_t1!G60</f>
        <v>39.764180000000003</v>
      </c>
      <c r="G438" s="227">
        <f>rh_t1!H60</f>
        <v>39.687390000000001</v>
      </c>
      <c r="H438" s="227">
        <f>rh_t1!I60</f>
        <v>39.713039999999999</v>
      </c>
      <c r="I438" s="227">
        <f>rh_t1!J60</f>
        <v>39.506</v>
      </c>
      <c r="J438" s="227">
        <f>rh_t1!K60</f>
        <v>39.847990000000003</v>
      </c>
      <c r="K438" s="227">
        <f>rh_t1!L60</f>
        <v>39.763656666666662</v>
      </c>
      <c r="L438" s="227">
        <f>rh_t1!M60</f>
        <v>0.1367670918020851</v>
      </c>
    </row>
    <row r="439" spans="1:12" s="292" customFormat="1" ht="15" hidden="1" customHeight="1" x14ac:dyDescent="0.2">
      <c r="A439" s="226">
        <v>12</v>
      </c>
      <c r="B439" s="227">
        <f>rh_t1!C61</f>
        <v>39.667740000000002</v>
      </c>
      <c r="C439" s="227">
        <f>rh_t1!D61</f>
        <v>39.870519999999999</v>
      </c>
      <c r="D439" s="227">
        <f>rh_t1!E61</f>
        <v>39.78434</v>
      </c>
      <c r="E439" s="227">
        <f>rh_t1!F61</f>
        <v>40.013300000000001</v>
      </c>
      <c r="F439" s="227">
        <f>rh_t1!G61</f>
        <v>39.752510000000001</v>
      </c>
      <c r="G439" s="227">
        <f>rh_t1!H61</f>
        <v>39.681019999999997</v>
      </c>
      <c r="H439" s="227">
        <f>rh_t1!I61</f>
        <v>39.703629999999997</v>
      </c>
      <c r="I439" s="227">
        <f>rh_t1!J61</f>
        <v>39.50047</v>
      </c>
      <c r="J439" s="227">
        <f>rh_t1!K61</f>
        <v>39.844889999999999</v>
      </c>
      <c r="K439" s="227">
        <f>rh_t1!L61</f>
        <v>39.757602222222225</v>
      </c>
      <c r="L439" s="227">
        <f>rh_t1!M61</f>
        <v>0.13721913130122129</v>
      </c>
    </row>
    <row r="440" spans="1:12" s="292" customFormat="1" ht="15" hidden="1" customHeight="1" x14ac:dyDescent="0.2">
      <c r="A440" s="226">
        <v>13</v>
      </c>
      <c r="B440" s="227">
        <f>rh_t1!C62</f>
        <v>39.674410000000002</v>
      </c>
      <c r="C440" s="227">
        <f>rh_t1!D62</f>
        <v>39.87697</v>
      </c>
      <c r="D440" s="227">
        <f>rh_t1!E62</f>
        <v>39.78031</v>
      </c>
      <c r="E440" s="227">
        <f>rh_t1!F62</f>
        <v>40.012999999999998</v>
      </c>
      <c r="F440" s="227">
        <f>rh_t1!G62</f>
        <v>39.751730000000002</v>
      </c>
      <c r="G440" s="227">
        <f>rh_t1!H62</f>
        <v>39.683219999999999</v>
      </c>
      <c r="H440" s="227">
        <f>rh_t1!I62</f>
        <v>39.707880000000003</v>
      </c>
      <c r="I440" s="227">
        <f>rh_t1!J62</f>
        <v>39.503399999999999</v>
      </c>
      <c r="J440" s="227">
        <f>rh_t1!K62</f>
        <v>39.850299999999997</v>
      </c>
      <c r="K440" s="227">
        <f>rh_t1!L62</f>
        <v>39.760135555555557</v>
      </c>
      <c r="L440" s="227">
        <f>rh_t1!M62</f>
        <v>0.13666937616103597</v>
      </c>
    </row>
    <row r="441" spans="1:12" s="292" customFormat="1" ht="15" hidden="1" customHeight="1" x14ac:dyDescent="0.2">
      <c r="A441" s="226">
        <v>14</v>
      </c>
      <c r="B441" s="227">
        <f>rh_t1!C63</f>
        <v>39.679380000000002</v>
      </c>
      <c r="C441" s="227">
        <f>rh_t1!D63</f>
        <v>39.882129999999997</v>
      </c>
      <c r="D441" s="227">
        <f>rh_t1!E63</f>
        <v>39.786169999999998</v>
      </c>
      <c r="E441" s="227">
        <f>rh_t1!F63</f>
        <v>40.019390000000001</v>
      </c>
      <c r="F441" s="227">
        <f>rh_t1!G63</f>
        <v>39.765659999999997</v>
      </c>
      <c r="G441" s="227">
        <f>rh_t1!H63</f>
        <v>39.692070000000001</v>
      </c>
      <c r="H441" s="227">
        <f>rh_t1!I63</f>
        <v>39.714840000000002</v>
      </c>
      <c r="I441" s="227">
        <f>rh_t1!J63</f>
        <v>39.509169999999997</v>
      </c>
      <c r="J441" s="227">
        <f>rh_t1!K63</f>
        <v>39.852939999999997</v>
      </c>
      <c r="K441" s="227">
        <f>rh_t1!L63</f>
        <v>39.766861111111112</v>
      </c>
      <c r="L441" s="227">
        <f>rh_t1!M63</f>
        <v>0.13629998259105158</v>
      </c>
    </row>
    <row r="442" spans="1:12" s="292" customFormat="1" ht="15" hidden="1" customHeight="1" x14ac:dyDescent="0.2">
      <c r="A442" s="226">
        <v>15</v>
      </c>
      <c r="B442" s="227">
        <f>rh_t1!C64</f>
        <v>39.685670000000002</v>
      </c>
      <c r="C442" s="227">
        <f>rh_t1!D64</f>
        <v>39.887729999999998</v>
      </c>
      <c r="D442" s="227">
        <f>rh_t1!E64</f>
        <v>39.790019999999998</v>
      </c>
      <c r="E442" s="227">
        <f>rh_t1!F64</f>
        <v>40.023159999999997</v>
      </c>
      <c r="F442" s="227">
        <f>rh_t1!G64</f>
        <v>39.777250000000002</v>
      </c>
      <c r="G442" s="227">
        <f>rh_t1!H64</f>
        <v>39.698569999999997</v>
      </c>
      <c r="H442" s="227">
        <f>rh_t1!I64</f>
        <v>39.720739999999999</v>
      </c>
      <c r="I442" s="227">
        <f>rh_t1!J64</f>
        <v>39.514740000000003</v>
      </c>
      <c r="J442" s="227">
        <f>rh_t1!K64</f>
        <v>39.85839</v>
      </c>
      <c r="K442" s="227">
        <f>rh_t1!L64</f>
        <v>39.772918888888881</v>
      </c>
      <c r="L442" s="227">
        <f>rh_t1!M64</f>
        <v>0.13578488841173481</v>
      </c>
    </row>
    <row r="443" spans="1:12" s="292" customFormat="1" ht="15" hidden="1" customHeight="1" x14ac:dyDescent="0.2">
      <c r="A443" s="226">
        <v>16</v>
      </c>
      <c r="B443" s="227">
        <f>rh_t1!C65</f>
        <v>39.681669999999997</v>
      </c>
      <c r="C443" s="227">
        <f>rh_t1!D65</f>
        <v>39.880740000000003</v>
      </c>
      <c r="D443" s="227">
        <f>rh_t1!E65</f>
        <v>39.79419</v>
      </c>
      <c r="E443" s="227">
        <f>rh_t1!F65</f>
        <v>40.025069999999999</v>
      </c>
      <c r="F443" s="227">
        <f>rh_t1!G65</f>
        <v>39.771419999999999</v>
      </c>
      <c r="G443" s="227">
        <f>rh_t1!H65</f>
        <v>39.694389999999999</v>
      </c>
      <c r="H443" s="227">
        <f>rh_t1!I65</f>
        <v>39.715299999999999</v>
      </c>
      <c r="I443" s="227">
        <f>rh_t1!J65</f>
        <v>39.513689999999997</v>
      </c>
      <c r="J443" s="227">
        <f>rh_t1!K65</f>
        <v>39.852800000000002</v>
      </c>
      <c r="K443" s="227">
        <f>rh_t1!L65</f>
        <v>39.769918888888888</v>
      </c>
      <c r="L443" s="227">
        <f>rh_t1!M65</f>
        <v>0.13620775507734584</v>
      </c>
    </row>
    <row r="444" spans="1:12" s="292" customFormat="1" ht="15" hidden="1" customHeight="1" x14ac:dyDescent="0.2">
      <c r="A444" s="226">
        <v>17</v>
      </c>
      <c r="B444" s="227">
        <f>rh_t1!C66</f>
        <v>39.673409999999997</v>
      </c>
      <c r="C444" s="227">
        <f>rh_t1!D66</f>
        <v>39.872459999999997</v>
      </c>
      <c r="D444" s="227">
        <f>rh_t1!E66</f>
        <v>39.790950000000002</v>
      </c>
      <c r="E444" s="227">
        <f>rh_t1!F66</f>
        <v>40.015439999999998</v>
      </c>
      <c r="F444" s="227">
        <f>rh_t1!G66</f>
        <v>39.759450000000001</v>
      </c>
      <c r="G444" s="227">
        <f>rh_t1!H66</f>
        <v>39.679920000000003</v>
      </c>
      <c r="H444" s="227">
        <f>rh_t1!I66</f>
        <v>39.70608</v>
      </c>
      <c r="I444" s="227">
        <f>rh_t1!J66</f>
        <v>39.50656</v>
      </c>
      <c r="J444" s="227">
        <f>rh_t1!K66</f>
        <v>39.844329999999999</v>
      </c>
      <c r="K444" s="227">
        <f>rh_t1!L66</f>
        <v>39.760955555555562</v>
      </c>
      <c r="L444" s="227">
        <f>rh_t1!M66</f>
        <v>0.1362221289831104</v>
      </c>
    </row>
    <row r="445" spans="1:12" s="292" customFormat="1" ht="15" hidden="1" customHeight="1" x14ac:dyDescent="0.2">
      <c r="A445" s="226">
        <v>18</v>
      </c>
      <c r="B445" s="227">
        <f>rh_t1!C67</f>
        <v>39.670250000000003</v>
      </c>
      <c r="C445" s="227">
        <f>rh_t1!D67</f>
        <v>39.873289999999997</v>
      </c>
      <c r="D445" s="227">
        <f>rh_t1!E67</f>
        <v>39.785769999999999</v>
      </c>
      <c r="E445" s="227">
        <f>rh_t1!F67</f>
        <v>40.01155</v>
      </c>
      <c r="F445" s="227">
        <f>rh_t1!G67</f>
        <v>39.754710000000003</v>
      </c>
      <c r="G445" s="227">
        <f>rh_t1!H67</f>
        <v>39.675379999999997</v>
      </c>
      <c r="H445" s="227">
        <f>rh_t1!I67</f>
        <v>39.701970000000003</v>
      </c>
      <c r="I445" s="227">
        <f>rh_t1!J67</f>
        <v>39.504600000000003</v>
      </c>
      <c r="J445" s="227">
        <f>rh_t1!K67</f>
        <v>39.842559999999999</v>
      </c>
      <c r="K445" s="227">
        <f>rh_t1!L67</f>
        <v>39.757786666666661</v>
      </c>
      <c r="L445" s="227">
        <f>rh_t1!M67</f>
        <v>0.13637709786552094</v>
      </c>
    </row>
    <row r="446" spans="1:12" s="292" customFormat="1" ht="15" hidden="1" customHeight="1" x14ac:dyDescent="0.2">
      <c r="A446" s="226">
        <v>19</v>
      </c>
      <c r="B446" s="227">
        <f>rh_t1!C68</f>
        <v>39.667119999999997</v>
      </c>
      <c r="C446" s="227">
        <f>rh_t1!D68</f>
        <v>39.872369999999997</v>
      </c>
      <c r="D446" s="227">
        <f>rh_t1!E68</f>
        <v>39.78389</v>
      </c>
      <c r="E446" s="227">
        <f>rh_t1!F68</f>
        <v>40.010440000000003</v>
      </c>
      <c r="F446" s="227">
        <f>rh_t1!G68</f>
        <v>39.748690000000003</v>
      </c>
      <c r="G446" s="227">
        <f>rh_t1!H68</f>
        <v>39.672580000000004</v>
      </c>
      <c r="H446" s="227">
        <f>rh_t1!I68</f>
        <v>39.697719999999997</v>
      </c>
      <c r="I446" s="227">
        <f>rh_t1!J68</f>
        <v>39.501080000000002</v>
      </c>
      <c r="J446" s="227">
        <f>rh_t1!K68</f>
        <v>39.840000000000003</v>
      </c>
      <c r="K446" s="227">
        <f>rh_t1!L68</f>
        <v>39.754876666666668</v>
      </c>
      <c r="L446" s="227">
        <f>rh_t1!M68</f>
        <v>0.1371928640029553</v>
      </c>
    </row>
    <row r="447" spans="1:12" s="292" customFormat="1" ht="15" hidden="1" customHeight="1" x14ac:dyDescent="0.2">
      <c r="A447" s="226">
        <v>20</v>
      </c>
      <c r="B447" s="227">
        <f>rh_t1!C69</f>
        <v>39.66769</v>
      </c>
      <c r="C447" s="227">
        <f>rh_t1!D69</f>
        <v>39.874899999999997</v>
      </c>
      <c r="D447" s="227">
        <f>rh_t1!E69</f>
        <v>39.782359999999997</v>
      </c>
      <c r="E447" s="227">
        <f>rh_t1!F69</f>
        <v>40.009099999999997</v>
      </c>
      <c r="F447" s="227">
        <f>rh_t1!G69</f>
        <v>39.748049999999999</v>
      </c>
      <c r="G447" s="227">
        <f>rh_t1!H69</f>
        <v>39.673189999999998</v>
      </c>
      <c r="H447" s="227">
        <f>rh_t1!I69</f>
        <v>39.700319999999998</v>
      </c>
      <c r="I447" s="227">
        <f>rh_t1!J69</f>
        <v>39.499250000000004</v>
      </c>
      <c r="J447" s="227">
        <f>rh_t1!K69</f>
        <v>39.841769999999997</v>
      </c>
      <c r="K447" s="227">
        <f>rh_t1!L69</f>
        <v>39.755181111111114</v>
      </c>
      <c r="L447" s="227">
        <f>rh_t1!M69</f>
        <v>0.13742970198488319</v>
      </c>
    </row>
    <row r="448" spans="1:12" s="292" customFormat="1" ht="15" hidden="1" customHeight="1" x14ac:dyDescent="0.2">
      <c r="A448" s="226">
        <v>21</v>
      </c>
      <c r="B448" s="227">
        <f>rh_t1!C70</f>
        <v>39.669029999999999</v>
      </c>
      <c r="C448" s="227">
        <f>rh_t1!D70</f>
        <v>39.877400000000002</v>
      </c>
      <c r="D448" s="227">
        <f>rh_t1!E70</f>
        <v>39.785339999999998</v>
      </c>
      <c r="E448" s="227">
        <f>rh_t1!F70</f>
        <v>40.014420000000001</v>
      </c>
      <c r="F448" s="227">
        <f>rh_t1!G70</f>
        <v>39.751710000000003</v>
      </c>
      <c r="G448" s="227">
        <f>rh_t1!H70</f>
        <v>39.678870000000003</v>
      </c>
      <c r="H448" s="227">
        <f>rh_t1!I70</f>
        <v>39.704700000000003</v>
      </c>
      <c r="I448" s="227">
        <f>rh_t1!J70</f>
        <v>39.502099999999999</v>
      </c>
      <c r="J448" s="227">
        <f>rh_t1!K70</f>
        <v>39.843150000000001</v>
      </c>
      <c r="K448" s="227">
        <f>rh_t1!L70</f>
        <v>39.75852444444444</v>
      </c>
      <c r="L448" s="227">
        <f>rh_t1!M70</f>
        <v>0.13765721558447</v>
      </c>
    </row>
    <row r="449" spans="1:12" s="292" customFormat="1" ht="15" hidden="1" customHeight="1" x14ac:dyDescent="0.2">
      <c r="A449" s="226">
        <v>22</v>
      </c>
      <c r="B449" s="227">
        <f>rh_t1!C71</f>
        <v>39.673070000000003</v>
      </c>
      <c r="C449" s="227">
        <f>rh_t1!D71</f>
        <v>39.87697</v>
      </c>
      <c r="D449" s="227">
        <f>rh_t1!E71</f>
        <v>39.786009999999997</v>
      </c>
      <c r="E449" s="227">
        <f>rh_t1!F71</f>
        <v>40.016959999999997</v>
      </c>
      <c r="F449" s="227">
        <f>rh_t1!G71</f>
        <v>39.753419999999998</v>
      </c>
      <c r="G449" s="227">
        <f>rh_t1!H71</f>
        <v>39.681080000000001</v>
      </c>
      <c r="H449" s="227">
        <f>rh_t1!I71</f>
        <v>39.706699999999998</v>
      </c>
      <c r="I449" s="227">
        <f>rh_t1!J71</f>
        <v>39.503979999999999</v>
      </c>
      <c r="J449" s="227">
        <f>rh_t1!K71</f>
        <v>39.843600000000002</v>
      </c>
      <c r="K449" s="227">
        <f>rh_t1!L71</f>
        <v>39.760198888888887</v>
      </c>
      <c r="L449" s="227">
        <f>rh_t1!M71</f>
        <v>0.13727149282793491</v>
      </c>
    </row>
    <row r="450" spans="1:12" s="292" customFormat="1" ht="15" hidden="1" customHeight="1" x14ac:dyDescent="0.2">
      <c r="A450" s="226">
        <v>23</v>
      </c>
      <c r="B450" s="227">
        <f>rh_t1!C72</f>
        <v>39.671390000000002</v>
      </c>
      <c r="C450" s="227">
        <f>rh_t1!D72</f>
        <v>39.872329999999998</v>
      </c>
      <c r="D450" s="227">
        <f>rh_t1!E72</f>
        <v>39.788319999999999</v>
      </c>
      <c r="E450" s="227">
        <f>rh_t1!F72</f>
        <v>40.016930000000002</v>
      </c>
      <c r="F450" s="227">
        <f>rh_t1!G72</f>
        <v>39.753369999999997</v>
      </c>
      <c r="G450" s="227">
        <f>rh_t1!H72</f>
        <v>39.680320000000002</v>
      </c>
      <c r="H450" s="227">
        <f>rh_t1!I72</f>
        <v>39.705919999999999</v>
      </c>
      <c r="I450" s="227">
        <f>rh_t1!J72</f>
        <v>39.504440000000002</v>
      </c>
      <c r="J450" s="227">
        <f>rh_t1!K72</f>
        <v>39.842750000000002</v>
      </c>
      <c r="K450" s="227">
        <f>rh_t1!L72</f>
        <v>39.759530000000005</v>
      </c>
      <c r="L450" s="227">
        <f>rh_t1!M72</f>
        <v>0.13693421048079951</v>
      </c>
    </row>
    <row r="451" spans="1:12" s="292" customFormat="1" ht="15" hidden="1" customHeight="1" x14ac:dyDescent="0.2">
      <c r="A451" s="226">
        <v>24</v>
      </c>
      <c r="B451" s="227">
        <f>rh_t1!C73</f>
        <v>39.676960000000001</v>
      </c>
      <c r="C451" s="227">
        <f>rh_t1!D73</f>
        <v>39.880710000000001</v>
      </c>
      <c r="D451" s="227">
        <f>rh_t1!E73</f>
        <v>39.786630000000002</v>
      </c>
      <c r="E451" s="227">
        <f>rh_t1!F73</f>
        <v>40.013840000000002</v>
      </c>
      <c r="F451" s="227">
        <f>rh_t1!G73</f>
        <v>39.754100000000001</v>
      </c>
      <c r="G451" s="227">
        <f>rh_t1!H73</f>
        <v>39.67653</v>
      </c>
      <c r="H451" s="227">
        <f>rh_t1!I73</f>
        <v>39.706960000000002</v>
      </c>
      <c r="I451" s="227">
        <f>rh_t1!J73</f>
        <v>39.50667</v>
      </c>
      <c r="J451" s="227">
        <f>rh_t1!K73</f>
        <v>39.8461</v>
      </c>
      <c r="K451" s="227">
        <f>rh_t1!L73</f>
        <v>39.760944444444441</v>
      </c>
      <c r="L451" s="227">
        <f>rh_t1!M73</f>
        <v>0.13662886136546989</v>
      </c>
    </row>
    <row r="452" spans="1:12" s="292" customFormat="1" ht="15" hidden="1" customHeight="1" x14ac:dyDescent="0.2">
      <c r="A452" s="226">
        <v>25</v>
      </c>
      <c r="B452" s="227">
        <f>rh_t1!C74</f>
        <v>39.684930000000001</v>
      </c>
      <c r="C452" s="227">
        <f>rh_t1!D74</f>
        <v>39.885010000000001</v>
      </c>
      <c r="D452" s="227">
        <f>rh_t1!E74</f>
        <v>39.790599999999998</v>
      </c>
      <c r="E452" s="227">
        <f>rh_t1!F74</f>
        <v>40.020659999999999</v>
      </c>
      <c r="F452" s="227">
        <f>rh_t1!G74</f>
        <v>39.767859999999999</v>
      </c>
      <c r="G452" s="227">
        <f>rh_t1!H74</f>
        <v>39.687130000000003</v>
      </c>
      <c r="H452" s="227">
        <f>rh_t1!I74</f>
        <v>39.716189999999997</v>
      </c>
      <c r="I452" s="227">
        <f>rh_t1!J74</f>
        <v>39.513019999999997</v>
      </c>
      <c r="J452" s="227">
        <f>rh_t1!K74</f>
        <v>39.852849999999997</v>
      </c>
      <c r="K452" s="227">
        <f>rh_t1!L74</f>
        <v>39.768694444444442</v>
      </c>
      <c r="L452" s="227">
        <f>rh_t1!M74</f>
        <v>0.1359632449607133</v>
      </c>
    </row>
    <row r="453" spans="1:12" s="292" customFormat="1" ht="15" hidden="1" customHeight="1" x14ac:dyDescent="0.2">
      <c r="A453" s="226">
        <v>26</v>
      </c>
      <c r="B453" s="227">
        <f>rh_t1!C75</f>
        <v>39.686160000000001</v>
      </c>
      <c r="C453" s="227">
        <f>rh_t1!D75</f>
        <v>39.878369999999997</v>
      </c>
      <c r="D453" s="227">
        <f>rh_t1!E75</f>
        <v>39.797249999999998</v>
      </c>
      <c r="E453" s="227">
        <f>rh_t1!F75</f>
        <v>40.025419999999997</v>
      </c>
      <c r="F453" s="227">
        <f>rh_t1!G75</f>
        <v>39.774799999999999</v>
      </c>
      <c r="G453" s="227">
        <f>rh_t1!H75</f>
        <v>39.690460000000002</v>
      </c>
      <c r="H453" s="227">
        <f>rh_t1!I75</f>
        <v>39.718690000000002</v>
      </c>
      <c r="I453" s="227">
        <f>rh_t1!J75</f>
        <v>39.514679999999998</v>
      </c>
      <c r="J453" s="227">
        <f>rh_t1!K75</f>
        <v>39.8521</v>
      </c>
      <c r="K453" s="227">
        <f>rh_t1!L75</f>
        <v>39.770881111111109</v>
      </c>
      <c r="L453" s="227">
        <f>rh_t1!M75</f>
        <v>0.13567085754742642</v>
      </c>
    </row>
    <row r="454" spans="1:12" s="292" customFormat="1" ht="15" hidden="1" customHeight="1" x14ac:dyDescent="0.2">
      <c r="A454" s="226">
        <v>27</v>
      </c>
      <c r="B454" s="227">
        <f>rh_t1!C76</f>
        <v>39.682899999999997</v>
      </c>
      <c r="C454" s="227">
        <f>rh_t1!D76</f>
        <v>39.872590000000002</v>
      </c>
      <c r="D454" s="227">
        <f>rh_t1!E76</f>
        <v>39.797280000000001</v>
      </c>
      <c r="E454" s="227">
        <f>rh_t1!F76</f>
        <v>40.023069999999997</v>
      </c>
      <c r="F454" s="227">
        <f>rh_t1!G76</f>
        <v>39.769970000000001</v>
      </c>
      <c r="G454" s="227">
        <f>rh_t1!H76</f>
        <v>39.685459999999999</v>
      </c>
      <c r="H454" s="227">
        <f>rh_t1!I76</f>
        <v>39.716610000000003</v>
      </c>
      <c r="I454" s="227">
        <f>rh_t1!J76</f>
        <v>39.513420000000004</v>
      </c>
      <c r="J454" s="227">
        <f>rh_t1!K76</f>
        <v>39.850700000000003</v>
      </c>
      <c r="K454" s="227">
        <f>rh_t1!L76</f>
        <v>39.768000000000001</v>
      </c>
      <c r="L454" s="227">
        <f>rh_t1!M76</f>
        <v>0.13548555987016897</v>
      </c>
    </row>
    <row r="455" spans="1:12" s="292" customFormat="1" ht="15" hidden="1" customHeight="1" x14ac:dyDescent="0.2">
      <c r="A455" s="226">
        <v>28</v>
      </c>
      <c r="B455" s="227">
        <f>rh_t1!C77</f>
        <v>39.677500000000002</v>
      </c>
      <c r="C455" s="227">
        <f>rh_t1!D77</f>
        <v>39.868070000000003</v>
      </c>
      <c r="D455" s="227">
        <f>rh_t1!E77</f>
        <v>39.797080000000001</v>
      </c>
      <c r="E455" s="227">
        <f>rh_t1!F77</f>
        <v>40.018590000000003</v>
      </c>
      <c r="F455" s="227">
        <f>rh_t1!G77</f>
        <v>39.763269999999999</v>
      </c>
      <c r="G455" s="227">
        <f>rh_t1!H77</f>
        <v>39.681150000000002</v>
      </c>
      <c r="H455" s="227">
        <f>rh_t1!I77</f>
        <v>39.711239999999997</v>
      </c>
      <c r="I455" s="227">
        <f>rh_t1!J77</f>
        <v>39.509059999999998</v>
      </c>
      <c r="J455" s="227">
        <f>rh_t1!K77</f>
        <v>39.846429999999998</v>
      </c>
      <c r="K455" s="227">
        <f>rh_t1!L77</f>
        <v>39.763598888888886</v>
      </c>
      <c r="L455" s="227">
        <f>rh_t1!M77</f>
        <v>0.13567080374072607</v>
      </c>
    </row>
    <row r="456" spans="1:12" s="292" customFormat="1" ht="15" hidden="1" customHeight="1" x14ac:dyDescent="0.2">
      <c r="A456" s="226">
        <v>29</v>
      </c>
      <c r="B456" s="227">
        <f>rh_t1!C78</f>
        <v>39.680079999999997</v>
      </c>
      <c r="C456" s="227">
        <f>rh_t1!D78</f>
        <v>39.873420000000003</v>
      </c>
      <c r="D456" s="227">
        <f>rh_t1!E78</f>
        <v>39.793869999999998</v>
      </c>
      <c r="E456" s="227">
        <f>rh_t1!F78</f>
        <v>40.016039999999997</v>
      </c>
      <c r="F456" s="227">
        <f>rh_t1!G78</f>
        <v>39.759990000000002</v>
      </c>
      <c r="G456" s="227">
        <f>rh_t1!H78</f>
        <v>39.685540000000003</v>
      </c>
      <c r="H456" s="227">
        <f>rh_t1!I78</f>
        <v>39.71275</v>
      </c>
      <c r="I456" s="227">
        <f>rh_t1!J78</f>
        <v>39.51108</v>
      </c>
      <c r="J456" s="227">
        <f>rh_t1!K78</f>
        <v>39.850700000000003</v>
      </c>
      <c r="K456" s="227">
        <f>rh_t1!L78</f>
        <v>39.764830000000003</v>
      </c>
      <c r="L456" s="227">
        <f>rh_t1!M78</f>
        <v>0.13487010697539881</v>
      </c>
    </row>
    <row r="457" spans="1:12" s="292" customFormat="1" ht="15" hidden="1" customHeight="1" x14ac:dyDescent="0.2">
      <c r="A457" s="226">
        <v>30</v>
      </c>
      <c r="B457" s="227">
        <f>rh_t1!C79</f>
        <v>39.675669999999997</v>
      </c>
      <c r="C457" s="227">
        <f>rh_t1!D79</f>
        <v>39.868630000000003</v>
      </c>
      <c r="D457" s="227">
        <f>rh_t1!E79</f>
        <v>39.795090000000002</v>
      </c>
      <c r="E457" s="227">
        <f>rh_t1!F79</f>
        <v>40.020099999999999</v>
      </c>
      <c r="F457" s="227">
        <f>rh_t1!G79</f>
        <v>39.757759999999998</v>
      </c>
      <c r="G457" s="227">
        <f>rh_t1!H79</f>
        <v>39.680669999999999</v>
      </c>
      <c r="H457" s="227">
        <f>rh_t1!I79</f>
        <v>39.707369999999997</v>
      </c>
      <c r="I457" s="227">
        <f>rh_t1!J79</f>
        <v>39.506990000000002</v>
      </c>
      <c r="J457" s="227">
        <f>rh_t1!K79</f>
        <v>39.846429999999998</v>
      </c>
      <c r="K457" s="227">
        <f>rh_t1!L79</f>
        <v>39.76207888888888</v>
      </c>
      <c r="L457" s="227">
        <f>rh_t1!M79</f>
        <v>0.13675153311709731</v>
      </c>
    </row>
    <row r="458" spans="1:12" s="292" customFormat="1" ht="15" hidden="1" customHeight="1" x14ac:dyDescent="0.35">
      <c r="A458" s="228" t="s">
        <v>40</v>
      </c>
      <c r="B458" s="227">
        <f>rh_t1!C80</f>
        <v>39.676076333333334</v>
      </c>
      <c r="C458" s="227">
        <f>rh_t1!D80</f>
        <v>39.875966666666663</v>
      </c>
      <c r="D458" s="227">
        <f>rh_t1!E80</f>
        <v>39.789037666666673</v>
      </c>
      <c r="E458" s="227">
        <f>rh_t1!F80</f>
        <v>40.016750666666667</v>
      </c>
      <c r="F458" s="227">
        <f>rh_t1!G80</f>
        <v>39.762699000000005</v>
      </c>
      <c r="G458" s="227">
        <f>rh_t1!H80</f>
        <v>39.68454899999999</v>
      </c>
      <c r="H458" s="227">
        <f>rh_t1!I80</f>
        <v>39.710426333333331</v>
      </c>
      <c r="I458" s="227">
        <f>rh_t1!J80</f>
        <v>39.507469666666672</v>
      </c>
      <c r="J458" s="227">
        <f>rh_t1!K80</f>
        <v>39.848401333333335</v>
      </c>
      <c r="K458" s="137"/>
      <c r="L458" s="137"/>
    </row>
    <row r="459" spans="1:12" s="292" customFormat="1" ht="15" hidden="1" customHeight="1" x14ac:dyDescent="0.35">
      <c r="A459" s="228" t="s">
        <v>39</v>
      </c>
      <c r="B459" s="227">
        <f>rh_t1!C81</f>
        <v>5.9635942648336611E-3</v>
      </c>
      <c r="C459" s="227">
        <f>rh_t1!D81</f>
        <v>5.596957109795157E-3</v>
      </c>
      <c r="D459" s="227">
        <f>rh_t1!E81</f>
        <v>5.3771347285419199E-3</v>
      </c>
      <c r="E459" s="227">
        <f>rh_t1!F81</f>
        <v>5.8353891234617606E-3</v>
      </c>
      <c r="F459" s="227">
        <f>rh_t1!G81</f>
        <v>9.2428604338699646E-3</v>
      </c>
      <c r="G459" s="227">
        <f>rh_t1!H81</f>
        <v>7.0839185719015815E-3</v>
      </c>
      <c r="H459" s="227">
        <f>rh_t1!I81</f>
        <v>6.8364105997876399E-3</v>
      </c>
      <c r="I459" s="227">
        <f>rh_t1!J81</f>
        <v>5.0272792398626783E-3</v>
      </c>
      <c r="J459" s="227">
        <f>rh_t1!K81</f>
        <v>5.2996941630834736E-3</v>
      </c>
      <c r="K459" s="294"/>
      <c r="L459" s="294"/>
    </row>
    <row r="460" spans="1:12" s="292" customFormat="1" ht="15" hidden="1" customHeight="1" x14ac:dyDescent="0.35">
      <c r="A460" s="228" t="s">
        <v>52</v>
      </c>
      <c r="B460" s="227">
        <f>rh_t1!C82</f>
        <v>1.3953666666665754E-2</v>
      </c>
      <c r="C460" s="227">
        <f>rh_t1!D82</f>
        <v>1.4093333333335067E-2</v>
      </c>
      <c r="D460" s="227">
        <f>rh_t1!E82</f>
        <v>1.1902333333324577E-2</v>
      </c>
      <c r="E460" s="227">
        <f>rh_t1!F82</f>
        <v>1.3219333333331917E-2</v>
      </c>
      <c r="F460" s="227">
        <f>rh_t1!G82</f>
        <v>2.3900999999995065E-2</v>
      </c>
      <c r="G460" s="227">
        <f>rh_t1!H82</f>
        <v>1.8221000000011145E-2</v>
      </c>
      <c r="H460" s="227">
        <f>rh_t1!I82</f>
        <v>1.8433666666666682E-2</v>
      </c>
      <c r="I460" s="227">
        <f>rh_t1!J82</f>
        <v>1.2190333333329306E-2</v>
      </c>
      <c r="J460" s="227">
        <f>rh_t1!K82</f>
        <v>1.5558666666663612E-2</v>
      </c>
      <c r="K460" s="416"/>
      <c r="L460" s="416"/>
    </row>
    <row r="461" spans="1:12" s="292" customFormat="1" ht="15" hidden="1" customHeight="1" x14ac:dyDescent="0.35">
      <c r="A461" s="228" t="s">
        <v>51</v>
      </c>
      <c r="B461" s="227">
        <f>rh_t1!C83</f>
        <v>8.9563333333373407E-3</v>
      </c>
      <c r="C461" s="227">
        <f>rh_t1!D83</f>
        <v>7.8966666666602237E-3</v>
      </c>
      <c r="D461" s="227">
        <f>rh_t1!E83</f>
        <v>8.7276666666724623E-3</v>
      </c>
      <c r="E461" s="227">
        <f>rh_t1!F83</f>
        <v>1.1280666666664274E-2</v>
      </c>
      <c r="F461" s="227">
        <f>rh_t1!G83</f>
        <v>1.4649000000005685E-2</v>
      </c>
      <c r="G461" s="227">
        <f>rh_t1!H83</f>
        <v>1.1968999999986352E-2</v>
      </c>
      <c r="H461" s="227">
        <f>rh_t1!I83</f>
        <v>1.270633333333393E-2</v>
      </c>
      <c r="I461" s="227">
        <f>rh_t1!J83</f>
        <v>8.2196666666689566E-3</v>
      </c>
      <c r="J461" s="227">
        <f>rh_t1!K83</f>
        <v>8.4013333333317064E-3</v>
      </c>
      <c r="K461" s="416"/>
      <c r="L461" s="416"/>
    </row>
    <row r="462" spans="1:12" s="292" customFormat="1" ht="15" hidden="1" customHeight="1" x14ac:dyDescent="0.35">
      <c r="A462" s="229" t="s">
        <v>44</v>
      </c>
      <c r="B462" s="227">
        <f>rh_t1!C84</f>
        <v>1.1455000000001547E-2</v>
      </c>
      <c r="C462" s="227">
        <f>rh_t1!D84</f>
        <v>1.0994999999997646E-2</v>
      </c>
      <c r="D462" s="227">
        <f>rh_t1!E84</f>
        <v>1.031499999999852E-2</v>
      </c>
      <c r="E462" s="227">
        <f>rh_t1!F84</f>
        <v>1.2249999999998096E-2</v>
      </c>
      <c r="F462" s="227">
        <f>rh_t1!G84</f>
        <v>1.9275000000000375E-2</v>
      </c>
      <c r="G462" s="227">
        <f>rh_t1!H84</f>
        <v>1.5094999999998748E-2</v>
      </c>
      <c r="H462" s="227">
        <f>rh_t1!I84</f>
        <v>1.5570000000000306E-2</v>
      </c>
      <c r="I462" s="227">
        <f>rh_t1!J84</f>
        <v>1.0204999999999131E-2</v>
      </c>
      <c r="J462" s="227">
        <f>rh_t1!K84</f>
        <v>1.1979999999997659E-2</v>
      </c>
      <c r="K462" s="416"/>
      <c r="L462" s="416"/>
    </row>
    <row r="463" spans="1:12" s="292" customFormat="1" ht="15" hidden="1" customHeight="1" x14ac:dyDescent="0.35">
      <c r="A463" s="230" t="s">
        <v>43</v>
      </c>
      <c r="B463" s="227">
        <f>rh_t1!C85</f>
        <v>-8.6622666666670511E-2</v>
      </c>
      <c r="C463" s="227">
        <f>rh_t1!D85</f>
        <v>0.11326766666665833</v>
      </c>
      <c r="D463" s="227">
        <f>rh_t1!E85</f>
        <v>2.6338666666667621E-2</v>
      </c>
      <c r="E463" s="227">
        <f>rh_t1!F85</f>
        <v>0.2540516666666619</v>
      </c>
      <c r="F463" s="227">
        <f>rh_t1!G85</f>
        <v>0</v>
      </c>
      <c r="G463" s="227">
        <f>rh_t1!H85</f>
        <v>-7.8150000000015041E-2</v>
      </c>
      <c r="H463" s="227">
        <f>rh_t1!I85</f>
        <v>-5.2272666666674183E-2</v>
      </c>
      <c r="I463" s="227">
        <f>rh_t1!J85</f>
        <v>-0.25522933333333242</v>
      </c>
      <c r="J463" s="227">
        <f>rh_t1!K85</f>
        <v>8.5702333333330216E-2</v>
      </c>
      <c r="K463" s="139"/>
      <c r="L463" s="139"/>
    </row>
    <row r="464" spans="1:12" s="292" customFormat="1" ht="15" hidden="1" customHeight="1" x14ac:dyDescent="0.35">
      <c r="A464" s="231" t="s">
        <v>95</v>
      </c>
      <c r="B464" s="282">
        <f>rh_t1!C87</f>
        <v>39.763486296296307</v>
      </c>
      <c r="C464" s="139"/>
      <c r="D464" s="139"/>
      <c r="E464" s="139"/>
      <c r="F464" s="139"/>
      <c r="G464" s="139"/>
      <c r="H464" s="139"/>
      <c r="I464" s="139"/>
      <c r="J464" s="139"/>
      <c r="K464" s="139"/>
      <c r="L464" s="139"/>
    </row>
    <row r="465" spans="1:12" s="292" customFormat="1" ht="15" hidden="1" customHeight="1" x14ac:dyDescent="0.35">
      <c r="A465" s="233" t="s">
        <v>47</v>
      </c>
      <c r="B465" s="232">
        <f>rh_t1!C88</f>
        <v>-0.23651370370369307</v>
      </c>
      <c r="C465" s="139"/>
      <c r="D465" s="139"/>
      <c r="E465" s="139"/>
      <c r="F465" s="139"/>
      <c r="G465" s="139"/>
      <c r="H465" s="139"/>
      <c r="I465" s="139"/>
      <c r="J465" s="139"/>
      <c r="K465" s="139"/>
      <c r="L465" s="139"/>
    </row>
    <row r="466" spans="1:12" s="292" customFormat="1" ht="15" hidden="1" customHeight="1" x14ac:dyDescent="0.35">
      <c r="A466" s="233" t="s">
        <v>270</v>
      </c>
      <c r="B466" s="232">
        <f>rh_t1!C93</f>
        <v>0.13632305115662899</v>
      </c>
      <c r="C466" s="139"/>
      <c r="D466" s="139"/>
      <c r="E466" s="139"/>
      <c r="F466" s="139"/>
      <c r="G466" s="139"/>
      <c r="H466" s="139"/>
      <c r="I466" s="139"/>
      <c r="J466" s="139"/>
      <c r="K466" s="139"/>
      <c r="L466" s="139"/>
    </row>
    <row r="467" spans="1:12" s="292" customFormat="1" ht="15" hidden="1" customHeight="1" x14ac:dyDescent="0.35">
      <c r="A467" s="241" t="s">
        <v>48</v>
      </c>
      <c r="B467" s="232">
        <f>rh_t1!C89</f>
        <v>0.50928099999999432</v>
      </c>
      <c r="C467" s="139"/>
      <c r="D467" s="139"/>
      <c r="E467" s="139"/>
      <c r="F467" s="139"/>
      <c r="G467" s="139"/>
      <c r="H467" s="139"/>
      <c r="I467" s="139"/>
      <c r="J467" s="139"/>
      <c r="K467" s="139"/>
      <c r="L467" s="139"/>
    </row>
    <row r="468" spans="1:12" s="292" customFormat="1" ht="15" hidden="1" customHeight="1" x14ac:dyDescent="0.35">
      <c r="A468" s="241" t="s">
        <v>49</v>
      </c>
      <c r="B468" s="240">
        <f>rh_t1!C90</f>
        <v>0.2540516666666619</v>
      </c>
      <c r="C468" s="139"/>
      <c r="D468" s="139"/>
      <c r="E468" s="139"/>
      <c r="F468" s="139"/>
      <c r="G468" s="139"/>
      <c r="H468" s="139"/>
      <c r="I468" s="139"/>
      <c r="J468" s="139"/>
      <c r="K468" s="139"/>
      <c r="L468" s="139"/>
    </row>
    <row r="469" spans="1:12" s="292" customFormat="1" ht="15" hidden="1" customHeight="1" x14ac:dyDescent="0.2">
      <c r="A469" s="242"/>
      <c r="B469" s="240">
        <f>rh_t1!C91</f>
        <v>-0.25522933333333242</v>
      </c>
      <c r="C469" s="140"/>
      <c r="D469" s="139"/>
      <c r="E469" s="139"/>
      <c r="F469" s="139"/>
      <c r="G469" s="139"/>
      <c r="H469" s="139"/>
      <c r="I469" s="139"/>
      <c r="J469" s="139"/>
      <c r="K469" s="139"/>
      <c r="L469" s="139"/>
    </row>
    <row r="470" spans="1:12" s="292" customFormat="1" ht="18.75" hidden="1" x14ac:dyDescent="0.35">
      <c r="A470" s="242" t="s">
        <v>50</v>
      </c>
      <c r="B470" s="232">
        <f>rh_t1!C92</f>
        <v>1.301555555555467E-2</v>
      </c>
      <c r="C470" s="139"/>
      <c r="D470" s="139"/>
      <c r="E470" s="139"/>
      <c r="F470" s="139"/>
      <c r="G470" s="139"/>
      <c r="H470" s="139"/>
      <c r="I470" s="139"/>
      <c r="J470" s="139"/>
      <c r="K470" s="139"/>
      <c r="L470" s="139"/>
    </row>
  </sheetData>
  <mergeCells count="60">
    <mergeCell ref="A330:L330"/>
    <mergeCell ref="L319:L321"/>
    <mergeCell ref="K319:K321"/>
    <mergeCell ref="A1:L1"/>
    <mergeCell ref="K131:K133"/>
    <mergeCell ref="L131:L133"/>
    <mergeCell ref="L225:L227"/>
    <mergeCell ref="K225:K227"/>
    <mergeCell ref="L272:L274"/>
    <mergeCell ref="K272:K274"/>
    <mergeCell ref="A2:L2"/>
    <mergeCell ref="B3:J3"/>
    <mergeCell ref="K3:L3"/>
    <mergeCell ref="K37:K39"/>
    <mergeCell ref="L37:L39"/>
    <mergeCell ref="A48:L48"/>
    <mergeCell ref="A95:L95"/>
    <mergeCell ref="A96:L96"/>
    <mergeCell ref="B97:J97"/>
    <mergeCell ref="K97:L97"/>
    <mergeCell ref="A49:L49"/>
    <mergeCell ref="B50:J50"/>
    <mergeCell ref="K50:L50"/>
    <mergeCell ref="K84:K86"/>
    <mergeCell ref="L84:L86"/>
    <mergeCell ref="A189:L189"/>
    <mergeCell ref="A190:L190"/>
    <mergeCell ref="B191:J191"/>
    <mergeCell ref="K191:L191"/>
    <mergeCell ref="A142:L142"/>
    <mergeCell ref="A143:L143"/>
    <mergeCell ref="B144:J144"/>
    <mergeCell ref="K144:L144"/>
    <mergeCell ref="K178:K180"/>
    <mergeCell ref="L178:L180"/>
    <mergeCell ref="A283:L283"/>
    <mergeCell ref="A284:L284"/>
    <mergeCell ref="B285:J285"/>
    <mergeCell ref="K285:L285"/>
    <mergeCell ref="A236:L236"/>
    <mergeCell ref="A237:L237"/>
    <mergeCell ref="B238:J238"/>
    <mergeCell ref="K238:L238"/>
    <mergeCell ref="A331:L331"/>
    <mergeCell ref="B332:J332"/>
    <mergeCell ref="K332:L332"/>
    <mergeCell ref="K366:K368"/>
    <mergeCell ref="L366:L368"/>
    <mergeCell ref="A377:L377"/>
    <mergeCell ref="A378:L378"/>
    <mergeCell ref="B379:J379"/>
    <mergeCell ref="K379:L379"/>
    <mergeCell ref="K413:K415"/>
    <mergeCell ref="L413:L415"/>
    <mergeCell ref="A424:L424"/>
    <mergeCell ref="A425:L425"/>
    <mergeCell ref="B426:J426"/>
    <mergeCell ref="K426:L426"/>
    <mergeCell ref="K460:K462"/>
    <mergeCell ref="L460:L462"/>
  </mergeCells>
  <pageMargins left="0.70866141732283461" right="0.70866141732283461" top="0.74803149606299213" bottom="0.74803149606299213" header="0.31496062992125984" footer="0.31496062992125984"/>
  <pageSetup paperSize="9" orientation="portrait" r:id="rId1"/>
  <headerFooter scaleWithDoc="0">
    <oddHeader>&amp;C&amp;16&amp;P</oddHeader>
    <oddFooter>&amp;C&amp;"Arial,&amp;полужирный"&amp;14Протокол первичной аттестации от 18.05.2020г. № 1994.1</oddFooter>
    <evenHeader>&amp;C&amp;P</evenHeader>
    <firstHeader>&amp;C&amp;"Arial,обычный"&amp;14&amp;P</firstHeader>
    <firstFooter>&amp;C&amp;"Arial,&amp;полужирный"&amp;14Протокол первичной аттестации от 18.05.2020г. № 1994.1</first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752"/>
  <sheetViews>
    <sheetView view="pageLayout" topLeftCell="A7" zoomScale="70" zoomScaleNormal="85" zoomScalePageLayoutView="70" workbookViewId="0">
      <selection activeCell="G3" sqref="G3"/>
    </sheetView>
  </sheetViews>
  <sheetFormatPr defaultColWidth="8.875" defaultRowHeight="14.25" x14ac:dyDescent="0.2"/>
  <cols>
    <col min="1" max="1" width="6" customWidth="1"/>
    <col min="2" max="2" width="15.375" customWidth="1"/>
    <col min="3" max="3" width="11.375" customWidth="1"/>
    <col min="4" max="4" width="13.875" customWidth="1"/>
    <col min="5" max="5" width="8.625" style="65" customWidth="1"/>
    <col min="6" max="6" width="11.375" customWidth="1"/>
    <col min="7" max="7" width="13.75" style="56" customWidth="1"/>
    <col min="13" max="13" width="3.875" customWidth="1"/>
    <col min="15" max="15" width="6.625" customWidth="1"/>
  </cols>
  <sheetData>
    <row r="1" spans="1:7" ht="30.75" customHeight="1" x14ac:dyDescent="0.2">
      <c r="A1" s="434" t="str">
        <f>"Таблица Д.1 Расчёт неопределенностей относительной влажности по результам измерения при температуре "&amp;""&amp;rh_t1!$C$86&amp;" C° и относительной влажности "&amp;""&amp;rh_t1!$C$39&amp;" %."</f>
        <v>Таблица Д.1 Расчёт неопределенностей относительной влажности по результам измерения при температуре 40 C° и относительной влажности 98 %.</v>
      </c>
      <c r="B1" s="434"/>
      <c r="C1" s="434"/>
      <c r="D1" s="434"/>
      <c r="E1" s="434"/>
      <c r="F1" s="434"/>
      <c r="G1" s="434"/>
    </row>
    <row r="2" spans="1:7" ht="38.25" x14ac:dyDescent="0.2">
      <c r="A2" s="305"/>
      <c r="B2" s="306" t="s">
        <v>7</v>
      </c>
      <c r="C2" s="307" t="s">
        <v>84</v>
      </c>
      <c r="D2" s="306" t="s">
        <v>9</v>
      </c>
      <c r="E2" s="308" t="s">
        <v>10</v>
      </c>
      <c r="F2" s="306" t="s">
        <v>88</v>
      </c>
      <c r="G2" s="309" t="s">
        <v>87</v>
      </c>
    </row>
    <row r="3" spans="1:7" ht="25.5" x14ac:dyDescent="0.2">
      <c r="A3" s="441" t="s">
        <v>32</v>
      </c>
      <c r="B3" s="112" t="s">
        <v>76</v>
      </c>
      <c r="C3" s="118">
        <f>rh_t1!T4</f>
        <v>0.1</v>
      </c>
      <c r="D3" s="118" t="str">
        <f>rh_t1!U4</f>
        <v>Нормальное</v>
      </c>
      <c r="E3" s="125">
        <f>rh_t1!V4</f>
        <v>2</v>
      </c>
      <c r="F3" s="118">
        <f>rh_t1!W4</f>
        <v>0.05</v>
      </c>
      <c r="G3" s="117">
        <f>rh_t1!X4</f>
        <v>2.5000000000000005E-3</v>
      </c>
    </row>
    <row r="4" spans="1:7" x14ac:dyDescent="0.2">
      <c r="A4" s="442"/>
      <c r="B4" s="112" t="s">
        <v>14</v>
      </c>
      <c r="C4" s="118">
        <f>rh_t1!T5</f>
        <v>0.01</v>
      </c>
      <c r="D4" s="118" t="str">
        <f>rh_t1!U5</f>
        <v>Нормальное</v>
      </c>
      <c r="E4" s="125">
        <f>rh_t1!V5</f>
        <v>1</v>
      </c>
      <c r="F4" s="118">
        <f>rh_t1!W5</f>
        <v>0.01</v>
      </c>
      <c r="G4" s="117">
        <f>rh_t1!X5</f>
        <v>1E-4</v>
      </c>
    </row>
    <row r="5" spans="1:7" x14ac:dyDescent="0.2">
      <c r="A5" s="442"/>
      <c r="B5" s="112" t="s">
        <v>15</v>
      </c>
      <c r="C5" s="118">
        <f>rh_t1!T6</f>
        <v>0.01</v>
      </c>
      <c r="D5" s="118" t="str">
        <f>rh_t1!U6</f>
        <v>Прямоугольное</v>
      </c>
      <c r="E5" s="125">
        <f>rh_t1!V6</f>
        <v>1.73</v>
      </c>
      <c r="F5" s="118">
        <f>rh_t1!W6</f>
        <v>5.7803468208092491E-3</v>
      </c>
      <c r="G5" s="117">
        <f>rh_t1!X6</f>
        <v>3.3412409368839592E-5</v>
      </c>
    </row>
    <row r="6" spans="1:7" ht="25.5" x14ac:dyDescent="0.2">
      <c r="A6" s="442"/>
      <c r="B6" s="112" t="s">
        <v>17</v>
      </c>
      <c r="C6" s="118">
        <f>rh_t1!T7</f>
        <v>0.01</v>
      </c>
      <c r="D6" s="118" t="str">
        <f>rh_t1!U7</f>
        <v>Прямоугольное</v>
      </c>
      <c r="E6" s="125">
        <f>rh_t1!V7</f>
        <v>1.73</v>
      </c>
      <c r="F6" s="118">
        <f>rh_t1!W7</f>
        <v>5.7803468208092491E-3</v>
      </c>
      <c r="G6" s="117">
        <f>rh_t1!X7</f>
        <v>3.3412409368839592E-5</v>
      </c>
    </row>
    <row r="7" spans="1:7" x14ac:dyDescent="0.2">
      <c r="A7" s="442"/>
      <c r="B7" s="112" t="s">
        <v>77</v>
      </c>
      <c r="C7" s="118">
        <f>rh_t1!T8</f>
        <v>0.1</v>
      </c>
      <c r="D7" s="118" t="str">
        <f>rh_t1!U8</f>
        <v>Прямоугольное</v>
      </c>
      <c r="E7" s="125">
        <f>rh_t1!V8</f>
        <v>1.73</v>
      </c>
      <c r="F7" s="118">
        <f>rh_t1!W8</f>
        <v>5.7803468208092491E-2</v>
      </c>
      <c r="G7" s="117">
        <f>rh_t1!X8</f>
        <v>3.3412409368839594E-3</v>
      </c>
    </row>
    <row r="8" spans="1:7" x14ac:dyDescent="0.2">
      <c r="A8" s="442"/>
      <c r="B8" s="112" t="s">
        <v>19</v>
      </c>
      <c r="C8" s="118">
        <f>rh_t1!T9</f>
        <v>0.02</v>
      </c>
      <c r="D8" s="118" t="str">
        <f>rh_t1!U9</f>
        <v>Прямоугольное</v>
      </c>
      <c r="E8" s="125">
        <f>rh_t1!V9</f>
        <v>1.73</v>
      </c>
      <c r="F8" s="118">
        <f>rh_t1!W9</f>
        <v>1.1560693641618498E-2</v>
      </c>
      <c r="G8" s="117">
        <f>rh_t1!X9</f>
        <v>1.3364963747535837E-4</v>
      </c>
    </row>
    <row r="9" spans="1:7" ht="25.5" x14ac:dyDescent="0.2">
      <c r="A9" s="443"/>
      <c r="B9" s="112" t="s">
        <v>78</v>
      </c>
      <c r="C9" s="118">
        <f>rh_t1!T10</f>
        <v>0.01</v>
      </c>
      <c r="D9" s="118" t="str">
        <f>rh_t1!U10</f>
        <v>Прямоугольное</v>
      </c>
      <c r="E9" s="125">
        <f>rh_t1!V10</f>
        <v>1.73</v>
      </c>
      <c r="F9" s="118">
        <f>rh_t1!W10</f>
        <v>5.7803468208092491E-3</v>
      </c>
      <c r="G9" s="117">
        <f>rh_t1!X10</f>
        <v>3.3412409368839592E-5</v>
      </c>
    </row>
    <row r="10" spans="1:7" ht="25.5" x14ac:dyDescent="0.2">
      <c r="A10" s="431" t="s">
        <v>34</v>
      </c>
      <c r="B10" s="112" t="s">
        <v>80</v>
      </c>
      <c r="C10" s="118">
        <f>rh_t1!T11</f>
        <v>0.288097205817756</v>
      </c>
      <c r="D10" s="118" t="str">
        <f>rh_t1!U11</f>
        <v>Нормальное</v>
      </c>
      <c r="E10" s="125">
        <f>rh_t1!V11</f>
        <v>1</v>
      </c>
      <c r="F10" s="118">
        <f>rh_t1!W11</f>
        <v>0.288097205817756</v>
      </c>
      <c r="G10" s="117">
        <f>rh_t1!X11</f>
        <v>8.2999999999998464E-2</v>
      </c>
    </row>
    <row r="11" spans="1:7" ht="25.5" x14ac:dyDescent="0.2">
      <c r="A11" s="432"/>
      <c r="B11" s="113" t="s">
        <v>81</v>
      </c>
      <c r="C11" s="118">
        <f>rh_t1!T12</f>
        <v>0.21599999999997976</v>
      </c>
      <c r="D11" s="118" t="str">
        <f>rh_t1!U12</f>
        <v>Нормальное</v>
      </c>
      <c r="E11" s="125">
        <f>rh_t1!V12</f>
        <v>1</v>
      </c>
      <c r="F11" s="118">
        <f>rh_t1!W12</f>
        <v>0.21599999999997976</v>
      </c>
      <c r="G11" s="117">
        <f>rh_t1!X12</f>
        <v>4.665599999999126E-2</v>
      </c>
    </row>
    <row r="12" spans="1:7" x14ac:dyDescent="0.2">
      <c r="A12" s="433"/>
      <c r="B12" s="114" t="s">
        <v>3</v>
      </c>
      <c r="C12" s="119">
        <f>rh_t1!T13</f>
        <v>3.2885893473255522E-3</v>
      </c>
      <c r="D12" s="119" t="str">
        <f>rh_t1!U13</f>
        <v>Нормальное</v>
      </c>
      <c r="E12" s="126">
        <f>rh_t1!V13</f>
        <v>1</v>
      </c>
      <c r="F12" s="119">
        <f>rh_t1!W13</f>
        <v>3.2885893473255522E-3</v>
      </c>
      <c r="G12" s="117">
        <f>rh_t1!X13</f>
        <v>1.0814819895343101E-5</v>
      </c>
    </row>
    <row r="13" spans="1:7" x14ac:dyDescent="0.2">
      <c r="A13" s="115"/>
      <c r="B13" s="115"/>
      <c r="C13" s="115"/>
      <c r="D13" s="115"/>
      <c r="E13" s="131"/>
      <c r="F13" s="115"/>
      <c r="G13" s="135"/>
    </row>
    <row r="14" spans="1:7" x14ac:dyDescent="0.2">
      <c r="A14" s="78" t="str">
        <f>"Cумма квадратов (σ²): "&amp;""&amp;rh_t1!S17</f>
        <v>Cумма квадратов (σ²): 0,13584194</v>
      </c>
      <c r="B14" s="115"/>
      <c r="C14" s="115"/>
      <c r="D14" s="115"/>
      <c r="E14" s="131"/>
      <c r="F14" s="115"/>
      <c r="G14" s="135"/>
    </row>
    <row r="15" spans="1:7" x14ac:dyDescent="0.2">
      <c r="A15" s="79" t="str">
        <f>"Общая среднеквадратичная неопределенность: ±"&amp;""&amp;rh_t1!V17&amp;" %"</f>
        <v>Общая среднеквадратичная неопределенность: ±0,369 %</v>
      </c>
      <c r="B15" s="116"/>
      <c r="C15" s="116"/>
      <c r="D15" s="116"/>
      <c r="E15" s="132"/>
      <c r="F15" s="116"/>
      <c r="G15" s="136"/>
    </row>
    <row r="16" spans="1:7" x14ac:dyDescent="0.2">
      <c r="A16" s="82" t="str">
        <f>"Расширенная неопределенность при 95 % доверительной вероятности: ±"&amp;""&amp;rh_t1!X17&amp;" %"</f>
        <v>Расширенная неопределенность при 95 % доверительной вероятности: ±0,737 %</v>
      </c>
      <c r="B16" s="116"/>
      <c r="C16" s="116"/>
      <c r="D16" s="116"/>
      <c r="E16" s="132"/>
      <c r="F16" s="116"/>
      <c r="G16" s="136"/>
    </row>
    <row r="17" spans="1:7" x14ac:dyDescent="0.2">
      <c r="A17" s="116"/>
      <c r="B17" s="116"/>
      <c r="C17" s="116"/>
      <c r="D17" s="116"/>
      <c r="E17" s="132"/>
      <c r="F17" s="116"/>
      <c r="G17" s="136"/>
    </row>
    <row r="18" spans="1:7" ht="42.75" customHeight="1" x14ac:dyDescent="0.2">
      <c r="A18" s="434" t="str">
        <f>"Таблица Д.2 Расчёт неопределенностей относительной влажности в каждой точке установки датчиков по результам измерения при температуре "&amp;""&amp;rh_t1!$C$86&amp;" C° и относительной влажности "&amp;""&amp;rh_t1!$C$39&amp;" %"</f>
        <v>Таблица Д.2 Расчёт неопределенностей относительной влажности в каждой точке установки датчиков по результам измерения при температуре 40 C° и относительной влажности 98 %</v>
      </c>
      <c r="B18" s="434"/>
      <c r="C18" s="434"/>
      <c r="D18" s="434"/>
      <c r="E18" s="434"/>
      <c r="F18" s="434"/>
      <c r="G18" s="434"/>
    </row>
    <row r="19" spans="1:7" ht="55.5" customHeight="1" x14ac:dyDescent="0.2">
      <c r="A19" s="305"/>
      <c r="B19" s="306" t="s">
        <v>7</v>
      </c>
      <c r="C19" s="307" t="s">
        <v>84</v>
      </c>
      <c r="D19" s="306" t="s">
        <v>9</v>
      </c>
      <c r="E19" s="308" t="s">
        <v>10</v>
      </c>
      <c r="F19" s="306" t="s">
        <v>88</v>
      </c>
      <c r="G19" s="309" t="s">
        <v>87</v>
      </c>
    </row>
    <row r="20" spans="1:7" ht="25.5" x14ac:dyDescent="0.2">
      <c r="A20" s="435" t="s">
        <v>32</v>
      </c>
      <c r="B20" s="112" t="s">
        <v>76</v>
      </c>
      <c r="C20" s="128">
        <f>rh_t1!T22</f>
        <v>0.1</v>
      </c>
      <c r="D20" s="128" t="str">
        <f>rh_t1!U22</f>
        <v>Нормальное</v>
      </c>
      <c r="E20" s="133">
        <f>rh_t1!V22</f>
        <v>2</v>
      </c>
      <c r="F20" s="128">
        <f>rh_t1!W22</f>
        <v>0.05</v>
      </c>
      <c r="G20" s="129">
        <f>rh_t1!X22</f>
        <v>2.5000000000000005E-3</v>
      </c>
    </row>
    <row r="21" spans="1:7" x14ac:dyDescent="0.2">
      <c r="A21" s="436"/>
      <c r="B21" s="112" t="s">
        <v>14</v>
      </c>
      <c r="C21" s="128">
        <f>rh_t1!T23</f>
        <v>0.01</v>
      </c>
      <c r="D21" s="128" t="str">
        <f>rh_t1!U23</f>
        <v>Нормальное</v>
      </c>
      <c r="E21" s="133">
        <f>rh_t1!V23</f>
        <v>1</v>
      </c>
      <c r="F21" s="128">
        <f>rh_t1!W23</f>
        <v>0.01</v>
      </c>
      <c r="G21" s="129">
        <f>rh_t1!X23</f>
        <v>1E-4</v>
      </c>
    </row>
    <row r="22" spans="1:7" x14ac:dyDescent="0.2">
      <c r="A22" s="436"/>
      <c r="B22" s="112" t="s">
        <v>15</v>
      </c>
      <c r="C22" s="128">
        <f>rh_t1!T24</f>
        <v>0.01</v>
      </c>
      <c r="D22" s="128" t="str">
        <f>rh_t1!U24</f>
        <v>Прямоугольное</v>
      </c>
      <c r="E22" s="133">
        <f>rh_t1!V24</f>
        <v>1.73</v>
      </c>
      <c r="F22" s="128">
        <f>rh_t1!W24</f>
        <v>5.7803468208092491E-3</v>
      </c>
      <c r="G22" s="129">
        <f>rh_t1!X24</f>
        <v>3.3412409368839592E-5</v>
      </c>
    </row>
    <row r="23" spans="1:7" ht="25.5" x14ac:dyDescent="0.2">
      <c r="A23" s="436"/>
      <c r="B23" s="112" t="s">
        <v>17</v>
      </c>
      <c r="C23" s="128">
        <f>rh_t1!T25</f>
        <v>0.01</v>
      </c>
      <c r="D23" s="128" t="str">
        <f>rh_t1!U25</f>
        <v>Прямоугольное</v>
      </c>
      <c r="E23" s="133">
        <f>rh_t1!V25</f>
        <v>1.73</v>
      </c>
      <c r="F23" s="128">
        <f>rh_t1!W25</f>
        <v>5.7803468208092491E-3</v>
      </c>
      <c r="G23" s="129">
        <f>rh_t1!X25</f>
        <v>3.3412409368839592E-5</v>
      </c>
    </row>
    <row r="24" spans="1:7" x14ac:dyDescent="0.2">
      <c r="A24" s="436"/>
      <c r="B24" s="112" t="s">
        <v>77</v>
      </c>
      <c r="C24" s="128">
        <f>rh_t1!T26</f>
        <v>0.1</v>
      </c>
      <c r="D24" s="128" t="str">
        <f>rh_t1!U26</f>
        <v>Прямоугольное</v>
      </c>
      <c r="E24" s="133">
        <f>rh_t1!V26</f>
        <v>1.73</v>
      </c>
      <c r="F24" s="128">
        <f>rh_t1!W26</f>
        <v>5.7803468208092491E-2</v>
      </c>
      <c r="G24" s="129">
        <f>rh_t1!X26</f>
        <v>3.3412409368839594E-3</v>
      </c>
    </row>
    <row r="25" spans="1:7" x14ac:dyDescent="0.2">
      <c r="A25" s="436"/>
      <c r="B25" s="112" t="s">
        <v>19</v>
      </c>
      <c r="C25" s="128">
        <f>rh_t1!T27</f>
        <v>0.02</v>
      </c>
      <c r="D25" s="128" t="str">
        <f>rh_t1!U27</f>
        <v>Прямоугольное</v>
      </c>
      <c r="E25" s="133">
        <f>rh_t1!V27</f>
        <v>1.73</v>
      </c>
      <c r="F25" s="128">
        <f>rh_t1!W27</f>
        <v>1.1560693641618498E-2</v>
      </c>
      <c r="G25" s="129">
        <f>rh_t1!X27</f>
        <v>1.3364963747535837E-4</v>
      </c>
    </row>
    <row r="26" spans="1:7" ht="25.5" x14ac:dyDescent="0.2">
      <c r="A26" s="437"/>
      <c r="B26" s="112" t="s">
        <v>78</v>
      </c>
      <c r="C26" s="128">
        <f>rh_t1!T28</f>
        <v>0.01</v>
      </c>
      <c r="D26" s="128" t="str">
        <f>rh_t1!U28</f>
        <v>Прямоугольное</v>
      </c>
      <c r="E26" s="133">
        <f>rh_t1!V28</f>
        <v>1.73</v>
      </c>
      <c r="F26" s="128">
        <f>rh_t1!W28</f>
        <v>5.7803468208092491E-3</v>
      </c>
      <c r="G26" s="129">
        <f>rh_t1!X28</f>
        <v>3.3412409368839592E-5</v>
      </c>
    </row>
    <row r="27" spans="1:7" ht="43.5" customHeight="1" x14ac:dyDescent="0.2">
      <c r="A27" s="154" t="s">
        <v>34</v>
      </c>
      <c r="B27" s="127" t="s">
        <v>80</v>
      </c>
      <c r="C27" s="130">
        <f>rh_t1!T29</f>
        <v>0.21599999999997976</v>
      </c>
      <c r="D27" s="130" t="str">
        <f>rh_t1!U29</f>
        <v>Нормальное</v>
      </c>
      <c r="E27" s="134">
        <f>rh_t1!V29</f>
        <v>1</v>
      </c>
      <c r="F27" s="130">
        <f>rh_t1!W29</f>
        <v>0.21599999999997976</v>
      </c>
      <c r="G27" s="129">
        <f>rh_t1!X29</f>
        <v>4.665599999999126E-2</v>
      </c>
    </row>
    <row r="28" spans="1:7" x14ac:dyDescent="0.2">
      <c r="A28" s="115"/>
      <c r="B28" s="115"/>
      <c r="C28" s="115"/>
      <c r="D28" s="115"/>
      <c r="E28" s="131"/>
      <c r="F28" s="115"/>
      <c r="G28" s="135"/>
    </row>
    <row r="29" spans="1:7" x14ac:dyDescent="0.2">
      <c r="A29" s="78" t="str">
        <f>"Cумма квадратов (σ²): "&amp;""&amp;rh_t1!S33</f>
        <v>Cумма квадратов (σ²): 0,05283113</v>
      </c>
      <c r="B29" s="115"/>
      <c r="C29" s="115"/>
      <c r="D29" s="115"/>
      <c r="E29" s="131"/>
      <c r="F29" s="115"/>
      <c r="G29" s="135"/>
    </row>
    <row r="30" spans="1:7" x14ac:dyDescent="0.2">
      <c r="A30" s="79" t="str">
        <f>"Общая среднеквадратичная неопределенность: ±"&amp;""&amp;rh_t1!V33&amp;" %"</f>
        <v>Общая среднеквадратичная неопределенность: ±0,23 %</v>
      </c>
      <c r="B30" s="116"/>
      <c r="C30" s="116"/>
      <c r="D30" s="116"/>
      <c r="E30" s="132"/>
      <c r="F30" s="116"/>
      <c r="G30" s="136"/>
    </row>
    <row r="31" spans="1:7" x14ac:dyDescent="0.2">
      <c r="A31" s="82" t="str">
        <f>"Расширенная неопределенность при 95 % доверительной вероятности: ±"&amp;""&amp;rh_t1!X33&amp;" %"</f>
        <v>Расширенная неопределенность при 95 % доверительной вероятности: ±0,46 %</v>
      </c>
      <c r="B31" s="116"/>
      <c r="C31" s="116"/>
      <c r="D31" s="116"/>
      <c r="E31" s="132"/>
      <c r="F31" s="116"/>
      <c r="G31" s="136"/>
    </row>
    <row r="32" spans="1:7" x14ac:dyDescent="0.2">
      <c r="A32" s="115"/>
      <c r="B32" s="115"/>
      <c r="C32" s="115"/>
      <c r="D32" s="115"/>
      <c r="E32" s="131"/>
      <c r="F32" s="115"/>
      <c r="G32" s="135"/>
    </row>
    <row r="33" spans="1:7" ht="14.25" customHeight="1" x14ac:dyDescent="0.2">
      <c r="A33" s="425" t="s">
        <v>79</v>
      </c>
      <c r="B33" s="425"/>
      <c r="C33" s="425"/>
      <c r="D33" s="425"/>
      <c r="E33" s="425"/>
      <c r="F33" s="425"/>
      <c r="G33" s="425"/>
    </row>
    <row r="34" spans="1:7" x14ac:dyDescent="0.2">
      <c r="A34" s="425"/>
      <c r="B34" s="425"/>
      <c r="C34" s="425"/>
      <c r="D34" s="425"/>
      <c r="E34" s="425"/>
      <c r="F34" s="425"/>
      <c r="G34" s="425"/>
    </row>
    <row r="35" spans="1:7" x14ac:dyDescent="0.2">
      <c r="A35" s="425"/>
      <c r="B35" s="425"/>
      <c r="C35" s="425"/>
      <c r="D35" s="425"/>
      <c r="E35" s="425"/>
      <c r="F35" s="425"/>
      <c r="G35" s="425"/>
    </row>
    <row r="36" spans="1:7" ht="14.25" customHeight="1" x14ac:dyDescent="0.2">
      <c r="A36" s="425"/>
      <c r="B36" s="425"/>
      <c r="C36" s="425"/>
      <c r="D36" s="425"/>
      <c r="E36" s="425"/>
      <c r="F36" s="425"/>
      <c r="G36" s="425"/>
    </row>
    <row r="37" spans="1:7" ht="34.5" customHeight="1" x14ac:dyDescent="0.2">
      <c r="A37" s="434" t="str">
        <f>"Таблица Д.3 Расчёт неопределенностей температуры по результам измерения при 
температуре "&amp;""&amp;rh_t1!$C$86&amp;" C° и относительной влажности "&amp;""&amp;rh_t1!$C$39&amp;" %"</f>
        <v>Таблица Д.3 Расчёт неопределенностей температуры по результам измерения при 
температуре 40 C° и относительной влажности 98 %</v>
      </c>
      <c r="B37" s="434"/>
      <c r="C37" s="434"/>
      <c r="D37" s="434"/>
      <c r="E37" s="434"/>
      <c r="F37" s="434"/>
      <c r="G37" s="434"/>
    </row>
    <row r="38" spans="1:7" ht="38.25" x14ac:dyDescent="0.2">
      <c r="A38" s="305"/>
      <c r="B38" s="306" t="s">
        <v>7</v>
      </c>
      <c r="C38" s="307" t="s">
        <v>84</v>
      </c>
      <c r="D38" s="306" t="s">
        <v>9</v>
      </c>
      <c r="E38" s="308" t="s">
        <v>10</v>
      </c>
      <c r="F38" s="306" t="s">
        <v>88</v>
      </c>
      <c r="G38" s="309" t="s">
        <v>87</v>
      </c>
    </row>
    <row r="39" spans="1:7" ht="25.5" x14ac:dyDescent="0.2">
      <c r="A39" s="435" t="s">
        <v>32</v>
      </c>
      <c r="B39" s="84" t="s">
        <v>33</v>
      </c>
      <c r="C39" s="77">
        <f>rh_t1!T51</f>
        <v>0.1</v>
      </c>
      <c r="D39" s="77" t="str">
        <f>rh_t1!U51</f>
        <v>Нормальное</v>
      </c>
      <c r="E39" s="91">
        <f>rh_t1!V51</f>
        <v>2</v>
      </c>
      <c r="F39" s="77">
        <f>rh_t1!W51</f>
        <v>0.05</v>
      </c>
      <c r="G39" s="86">
        <f>rh_t1!X51</f>
        <v>2.5000000000000005E-3</v>
      </c>
    </row>
    <row r="40" spans="1:7" x14ac:dyDescent="0.2">
      <c r="A40" s="436"/>
      <c r="B40" s="84" t="s">
        <v>14</v>
      </c>
      <c r="C40" s="77">
        <f>rh_t1!T52</f>
        <v>0.01</v>
      </c>
      <c r="D40" s="77" t="str">
        <f>rh_t1!U52</f>
        <v>Нормальное</v>
      </c>
      <c r="E40" s="91">
        <f>rh_t1!V52</f>
        <v>1</v>
      </c>
      <c r="F40" s="77">
        <f>rh_t1!W52</f>
        <v>0.01</v>
      </c>
      <c r="G40" s="86">
        <f>rh_t1!X52</f>
        <v>1E-4</v>
      </c>
    </row>
    <row r="41" spans="1:7" x14ac:dyDescent="0.2">
      <c r="A41" s="436"/>
      <c r="B41" s="84" t="s">
        <v>15</v>
      </c>
      <c r="C41" s="77">
        <f>rh_t1!T53</f>
        <v>0.01</v>
      </c>
      <c r="D41" s="77" t="str">
        <f>rh_t1!U53</f>
        <v>Прямоугольное</v>
      </c>
      <c r="E41" s="91">
        <f>rh_t1!V53</f>
        <v>1.73</v>
      </c>
      <c r="F41" s="77">
        <f>rh_t1!W53</f>
        <v>5.7803468208092491E-3</v>
      </c>
      <c r="G41" s="86">
        <f>rh_t1!X53</f>
        <v>3.3412409368839592E-5</v>
      </c>
    </row>
    <row r="42" spans="1:7" ht="25.5" x14ac:dyDescent="0.2">
      <c r="A42" s="436"/>
      <c r="B42" s="84" t="s">
        <v>17</v>
      </c>
      <c r="C42" s="77">
        <f>rh_t1!T54</f>
        <v>0.01</v>
      </c>
      <c r="D42" s="77" t="str">
        <f>rh_t1!U54</f>
        <v>Прямоугольное</v>
      </c>
      <c r="E42" s="91">
        <f>rh_t1!V54</f>
        <v>1.73</v>
      </c>
      <c r="F42" s="77">
        <f>rh_t1!W54</f>
        <v>5.7803468208092491E-3</v>
      </c>
      <c r="G42" s="86">
        <f>rh_t1!X54</f>
        <v>3.3412409368839592E-5</v>
      </c>
    </row>
    <row r="43" spans="1:7" x14ac:dyDescent="0.2">
      <c r="A43" s="436"/>
      <c r="B43" s="84" t="s">
        <v>18</v>
      </c>
      <c r="C43" s="77">
        <f>rh_t1!T55</f>
        <v>0.1</v>
      </c>
      <c r="D43" s="77" t="str">
        <f>rh_t1!U55</f>
        <v>Прямоугольное</v>
      </c>
      <c r="E43" s="91">
        <f>rh_t1!V55</f>
        <v>1.73</v>
      </c>
      <c r="F43" s="77">
        <f>rh_t1!W55</f>
        <v>5.7803468208092491E-2</v>
      </c>
      <c r="G43" s="86">
        <f>rh_t1!X55</f>
        <v>3.3412409368839594E-3</v>
      </c>
    </row>
    <row r="44" spans="1:7" x14ac:dyDescent="0.2">
      <c r="A44" s="436"/>
      <c r="B44" s="84" t="s">
        <v>19</v>
      </c>
      <c r="C44" s="77">
        <f>rh_t1!T56</f>
        <v>0.02</v>
      </c>
      <c r="D44" s="77" t="str">
        <f>rh_t1!U56</f>
        <v>Прямоугольное</v>
      </c>
      <c r="E44" s="91">
        <f>rh_t1!V56</f>
        <v>1.73</v>
      </c>
      <c r="F44" s="77">
        <f>rh_t1!W56</f>
        <v>1.1560693641618498E-2</v>
      </c>
      <c r="G44" s="86">
        <f>rh_t1!X56</f>
        <v>1.3364963747535837E-4</v>
      </c>
    </row>
    <row r="45" spans="1:7" ht="25.5" x14ac:dyDescent="0.2">
      <c r="A45" s="437"/>
      <c r="B45" s="84" t="s">
        <v>20</v>
      </c>
      <c r="C45" s="77">
        <f>rh_t1!T57</f>
        <v>0.01</v>
      </c>
      <c r="D45" s="77" t="str">
        <f>rh_t1!U57</f>
        <v>Прямоугольное</v>
      </c>
      <c r="E45" s="91">
        <f>rh_t1!V57</f>
        <v>1.73</v>
      </c>
      <c r="F45" s="77">
        <f>rh_t1!W57</f>
        <v>5.7803468208092491E-3</v>
      </c>
      <c r="G45" s="86">
        <f>rh_t1!X57</f>
        <v>3.3412409368839592E-5</v>
      </c>
    </row>
    <row r="46" spans="1:7" x14ac:dyDescent="0.2">
      <c r="A46" s="438" t="s">
        <v>34</v>
      </c>
      <c r="B46" s="84" t="s">
        <v>0</v>
      </c>
      <c r="C46" s="77">
        <f>rh_t1!T58</f>
        <v>0.13765721558447</v>
      </c>
      <c r="D46" s="77" t="str">
        <f>rh_t1!U58</f>
        <v>Нормальное</v>
      </c>
      <c r="E46" s="91">
        <f>rh_t1!V58</f>
        <v>1</v>
      </c>
      <c r="F46" s="77">
        <f>rh_t1!W58</f>
        <v>0.13765721558447</v>
      </c>
      <c r="G46" s="86">
        <f>rh_t1!X58</f>
        <v>1.894950900246925E-2</v>
      </c>
    </row>
    <row r="47" spans="1:7" ht="25.5" x14ac:dyDescent="0.2">
      <c r="A47" s="439"/>
      <c r="B47" s="84" t="s">
        <v>21</v>
      </c>
      <c r="C47" s="77">
        <f>rh_t1!T59</f>
        <v>9.2428604338699646E-3</v>
      </c>
      <c r="D47" s="77" t="str">
        <f>rh_t1!U59</f>
        <v>Нормальное</v>
      </c>
      <c r="E47" s="91">
        <f>rh_t1!V59</f>
        <v>1</v>
      </c>
      <c r="F47" s="77">
        <f>rh_t1!W59</f>
        <v>9.2428604338699646E-3</v>
      </c>
      <c r="G47" s="86">
        <f>rh_t1!X59</f>
        <v>8.5430468999998872E-5</v>
      </c>
    </row>
    <row r="48" spans="1:7" x14ac:dyDescent="0.2">
      <c r="A48" s="440"/>
      <c r="B48" s="84" t="s">
        <v>3</v>
      </c>
      <c r="C48" s="77">
        <f>rh_t1!T60</f>
        <v>3.8045240419348324E-4</v>
      </c>
      <c r="D48" s="77" t="str">
        <f>rh_t1!U60</f>
        <v>Нормальное</v>
      </c>
      <c r="E48" s="91">
        <f>rh_t1!V60</f>
        <v>1</v>
      </c>
      <c r="F48" s="77">
        <f>rh_t1!W60</f>
        <v>3.8045240419348324E-4</v>
      </c>
      <c r="G48" s="86">
        <f>rh_t1!X60</f>
        <v>1.4474403185660156E-7</v>
      </c>
    </row>
    <row r="49" spans="1:7" x14ac:dyDescent="0.2">
      <c r="A49" s="76"/>
      <c r="B49" s="76"/>
      <c r="C49" s="88"/>
      <c r="D49" s="76"/>
      <c r="E49" s="81"/>
      <c r="F49" s="76"/>
      <c r="G49" s="85"/>
    </row>
    <row r="50" spans="1:7" x14ac:dyDescent="0.2">
      <c r="A50" s="78" t="str">
        <f>"Cумма квадратов (σ²): "&amp;""&amp;rh_t1!$S64</f>
        <v>Cумма квадратов (σ²): 0,02521021</v>
      </c>
      <c r="B50" s="76"/>
      <c r="C50" s="88"/>
      <c r="D50" s="76"/>
      <c r="E50" s="81"/>
      <c r="F50" s="76"/>
      <c r="G50" s="85"/>
    </row>
    <row r="51" spans="1:7" x14ac:dyDescent="0.2">
      <c r="A51" s="79" t="str">
        <f>"Общая среднеквадратичная неопределенность (σ): ±"&amp;""&amp;rh_t1!$V64&amp;" °C"</f>
        <v>Общая среднеквадратичная неопределенность (σ): ±0,159 °C</v>
      </c>
      <c r="B51" s="76"/>
      <c r="C51" s="88"/>
      <c r="D51" s="80"/>
      <c r="E51" s="81"/>
      <c r="F51" s="76"/>
      <c r="G51" s="85"/>
    </row>
    <row r="52" spans="1:7" x14ac:dyDescent="0.2">
      <c r="A52" s="82" t="str">
        <f>"Расширенная неопределенность при 95 % доверительной вероятности (2σ): ±"&amp;""&amp;rh_t1!$X64&amp;" °C"</f>
        <v>Расширенная неопределенность при 95 % доверительной вероятности (2σ): ±0,318 °C</v>
      </c>
      <c r="B52" s="76"/>
      <c r="C52" s="88"/>
      <c r="D52" s="76"/>
      <c r="E52" s="81"/>
      <c r="F52" s="76"/>
      <c r="G52" s="85"/>
    </row>
    <row r="53" spans="1:7" ht="24.75" customHeight="1" x14ac:dyDescent="0.2">
      <c r="A53" s="82"/>
      <c r="B53" s="76"/>
      <c r="C53" s="88"/>
      <c r="D53" s="76"/>
      <c r="E53" s="81"/>
      <c r="F53" s="76"/>
      <c r="G53" s="85"/>
    </row>
    <row r="54" spans="1:7" ht="42" customHeight="1" x14ac:dyDescent="0.2">
      <c r="A54" s="434" t="str">
        <f>"Таблица Д.4 Расчёт неопределенностей температуры в каждой точке установки датчиков по результам измерения при температуре "&amp;""&amp;rh_t1!$C$86&amp;" C° и относительной влажности "&amp;""&amp;rh_t1!$C$39&amp;" %"</f>
        <v>Таблица Д.4 Расчёт неопределенностей температуры в каждой точке установки датчиков по результам измерения при температуре 40 C° и относительной влажности 98 %</v>
      </c>
      <c r="B54" s="434"/>
      <c r="C54" s="434"/>
      <c r="D54" s="434"/>
      <c r="E54" s="434"/>
      <c r="F54" s="434"/>
      <c r="G54" s="434"/>
    </row>
    <row r="55" spans="1:7" ht="38.25" x14ac:dyDescent="0.2">
      <c r="A55" s="305"/>
      <c r="B55" s="306" t="s">
        <v>7</v>
      </c>
      <c r="C55" s="307" t="s">
        <v>84</v>
      </c>
      <c r="D55" s="306" t="s">
        <v>9</v>
      </c>
      <c r="E55" s="308" t="s">
        <v>10</v>
      </c>
      <c r="F55" s="306" t="s">
        <v>88</v>
      </c>
      <c r="G55" s="309" t="s">
        <v>87</v>
      </c>
    </row>
    <row r="56" spans="1:7" ht="25.5" x14ac:dyDescent="0.2">
      <c r="A56" s="422" t="s">
        <v>32</v>
      </c>
      <c r="B56" s="84" t="s">
        <v>33</v>
      </c>
      <c r="C56" s="77">
        <f>rh_t1!T51</f>
        <v>0.1</v>
      </c>
      <c r="D56" s="77" t="str">
        <f>rh_t1!U51</f>
        <v>Нормальное</v>
      </c>
      <c r="E56" s="91">
        <f>rh_t1!V51</f>
        <v>2</v>
      </c>
      <c r="F56" s="77">
        <f>rh_t1!W51</f>
        <v>0.05</v>
      </c>
      <c r="G56" s="86">
        <f>rh_t1!X51</f>
        <v>2.5000000000000005E-3</v>
      </c>
    </row>
    <row r="57" spans="1:7" x14ac:dyDescent="0.2">
      <c r="A57" s="423"/>
      <c r="B57" s="84" t="s">
        <v>14</v>
      </c>
      <c r="C57" s="77">
        <f>rh_t1!T52</f>
        <v>0.01</v>
      </c>
      <c r="D57" s="77" t="str">
        <f>rh_t1!U52</f>
        <v>Нормальное</v>
      </c>
      <c r="E57" s="91">
        <f>rh_t1!V52</f>
        <v>1</v>
      </c>
      <c r="F57" s="77">
        <f>rh_t1!W52</f>
        <v>0.01</v>
      </c>
      <c r="G57" s="86">
        <f>rh_t1!X52</f>
        <v>1E-4</v>
      </c>
    </row>
    <row r="58" spans="1:7" x14ac:dyDescent="0.2">
      <c r="A58" s="423"/>
      <c r="B58" s="84" t="s">
        <v>15</v>
      </c>
      <c r="C58" s="77">
        <f>rh_t1!T53</f>
        <v>0.01</v>
      </c>
      <c r="D58" s="77" t="str">
        <f>rh_t1!U53</f>
        <v>Прямоугольное</v>
      </c>
      <c r="E58" s="91">
        <f>rh_t1!V53</f>
        <v>1.73</v>
      </c>
      <c r="F58" s="77">
        <f>rh_t1!W53</f>
        <v>5.7803468208092491E-3</v>
      </c>
      <c r="G58" s="86">
        <f>rh_t1!X53</f>
        <v>3.3412409368839592E-5</v>
      </c>
    </row>
    <row r="59" spans="1:7" ht="25.5" x14ac:dyDescent="0.2">
      <c r="A59" s="423"/>
      <c r="B59" s="84" t="s">
        <v>17</v>
      </c>
      <c r="C59" s="77">
        <f>rh_t1!T54</f>
        <v>0.01</v>
      </c>
      <c r="D59" s="77" t="str">
        <f>rh_t1!U54</f>
        <v>Прямоугольное</v>
      </c>
      <c r="E59" s="91">
        <f>rh_t1!V54</f>
        <v>1.73</v>
      </c>
      <c r="F59" s="77">
        <f>rh_t1!W54</f>
        <v>5.7803468208092491E-3</v>
      </c>
      <c r="G59" s="86">
        <f>rh_t1!X54</f>
        <v>3.3412409368839592E-5</v>
      </c>
    </row>
    <row r="60" spans="1:7" x14ac:dyDescent="0.2">
      <c r="A60" s="423"/>
      <c r="B60" s="84" t="s">
        <v>18</v>
      </c>
      <c r="C60" s="77">
        <f>rh_t1!T55</f>
        <v>0.1</v>
      </c>
      <c r="D60" s="77" t="str">
        <f>rh_t1!U55</f>
        <v>Прямоугольное</v>
      </c>
      <c r="E60" s="91">
        <f>rh_t1!V55</f>
        <v>1.73</v>
      </c>
      <c r="F60" s="77">
        <f>rh_t1!W55</f>
        <v>5.7803468208092491E-2</v>
      </c>
      <c r="G60" s="86">
        <f>rh_t1!X55</f>
        <v>3.3412409368839594E-3</v>
      </c>
    </row>
    <row r="61" spans="1:7" x14ac:dyDescent="0.2">
      <c r="A61" s="423"/>
      <c r="B61" s="84" t="s">
        <v>19</v>
      </c>
      <c r="C61" s="77">
        <f>rh_t1!T56</f>
        <v>0.02</v>
      </c>
      <c r="D61" s="77" t="str">
        <f>rh_t1!U56</f>
        <v>Прямоугольное</v>
      </c>
      <c r="E61" s="91">
        <f>rh_t1!V56</f>
        <v>1.73</v>
      </c>
      <c r="F61" s="77">
        <f>rh_t1!W56</f>
        <v>1.1560693641618498E-2</v>
      </c>
      <c r="G61" s="86">
        <f>rh_t1!X56</f>
        <v>1.3364963747535837E-4</v>
      </c>
    </row>
    <row r="62" spans="1:7" ht="45" customHeight="1" x14ac:dyDescent="0.2">
      <c r="A62" s="424"/>
      <c r="B62" s="84" t="s">
        <v>20</v>
      </c>
      <c r="C62" s="77">
        <f>rh_t1!T57</f>
        <v>0.01</v>
      </c>
      <c r="D62" s="77" t="str">
        <f>rh_t1!U57</f>
        <v>Прямоугольное</v>
      </c>
      <c r="E62" s="91">
        <f>rh_t1!V57</f>
        <v>1.73</v>
      </c>
      <c r="F62" s="77">
        <f>rh_t1!W57</f>
        <v>5.7803468208092491E-3</v>
      </c>
      <c r="G62" s="86">
        <f>rh_t1!X57</f>
        <v>3.3412409368839592E-5</v>
      </c>
    </row>
    <row r="63" spans="1:7" ht="39" x14ac:dyDescent="0.2">
      <c r="A63" s="153" t="s">
        <v>34</v>
      </c>
      <c r="B63" s="84" t="s">
        <v>21</v>
      </c>
      <c r="C63" s="77">
        <f>rh_t1!T58</f>
        <v>0.13765721558447</v>
      </c>
      <c r="D63" s="77" t="str">
        <f>rh_t1!U58</f>
        <v>Нормальное</v>
      </c>
      <c r="E63" s="91">
        <f>rh_t1!V58</f>
        <v>1</v>
      </c>
      <c r="F63" s="77">
        <f>rh_t1!W58</f>
        <v>0.13765721558447</v>
      </c>
      <c r="G63" s="86">
        <f>rh_t1!X58</f>
        <v>1.894950900246925E-2</v>
      </c>
    </row>
    <row r="64" spans="1:7" x14ac:dyDescent="0.2">
      <c r="A64" s="83"/>
      <c r="B64" s="83"/>
      <c r="C64" s="89"/>
      <c r="D64" s="83"/>
      <c r="E64" s="92"/>
      <c r="F64" s="83"/>
      <c r="G64" s="87"/>
    </row>
    <row r="65" spans="1:7" x14ac:dyDescent="0.2">
      <c r="A65" s="78" t="str">
        <f>"Cумма квадратов (σ²): "&amp;""&amp;rh_t1!$S80</f>
        <v>Cумма квадратов (σ²): 0,00626056</v>
      </c>
      <c r="C65" s="90"/>
    </row>
    <row r="66" spans="1:7" x14ac:dyDescent="0.2">
      <c r="A66" s="79" t="str">
        <f>"Общая среднеквадратичная неопределенность (σ): ±"&amp;""&amp;rh_t1!$V80&amp;" °C"</f>
        <v>Общая среднеквадратичная неопределенность (σ): ±0,079 °C</v>
      </c>
      <c r="C66" s="90"/>
    </row>
    <row r="67" spans="1:7" x14ac:dyDescent="0.2">
      <c r="A67" s="82" t="str">
        <f>"Расширенная неопределенность при 95 % доверительной вероятности (2σ): ±"&amp;""&amp;rh_t1!$X80&amp;" °C"</f>
        <v>Расширенная неопределенность при 95 % доверительной вероятности (2σ): ±0,158 °C</v>
      </c>
      <c r="C67" s="90"/>
    </row>
    <row r="68" spans="1:7" ht="14.25" customHeight="1" x14ac:dyDescent="0.2">
      <c r="C68" s="90"/>
    </row>
    <row r="69" spans="1:7" x14ac:dyDescent="0.2">
      <c r="A69" s="425" t="s">
        <v>79</v>
      </c>
      <c r="B69" s="425"/>
      <c r="C69" s="425"/>
      <c r="D69" s="425"/>
      <c r="E69" s="425"/>
      <c r="F69" s="425"/>
      <c r="G69" s="425"/>
    </row>
    <row r="70" spans="1:7" x14ac:dyDescent="0.2">
      <c r="A70" s="425"/>
      <c r="B70" s="425"/>
      <c r="C70" s="425"/>
      <c r="D70" s="425"/>
      <c r="E70" s="425"/>
      <c r="F70" s="425"/>
      <c r="G70" s="425"/>
    </row>
    <row r="71" spans="1:7" x14ac:dyDescent="0.2">
      <c r="A71" s="425"/>
      <c r="B71" s="425"/>
      <c r="C71" s="425"/>
      <c r="D71" s="425"/>
      <c r="E71" s="425"/>
      <c r="F71" s="425"/>
      <c r="G71" s="425"/>
    </row>
    <row r="72" spans="1:7" x14ac:dyDescent="0.2">
      <c r="A72" s="425"/>
      <c r="B72" s="425"/>
      <c r="C72" s="425"/>
      <c r="D72" s="425"/>
      <c r="E72" s="425"/>
      <c r="F72" s="425"/>
      <c r="G72" s="425"/>
    </row>
    <row r="73" spans="1:7" x14ac:dyDescent="0.2">
      <c r="A73" s="425"/>
      <c r="B73" s="425"/>
      <c r="C73" s="425"/>
      <c r="D73" s="425"/>
      <c r="E73" s="425"/>
      <c r="F73" s="425"/>
      <c r="G73" s="425"/>
    </row>
    <row r="74" spans="1:7" s="292" customFormat="1" ht="30.75" customHeight="1" x14ac:dyDescent="0.2">
      <c r="A74" s="434" t="str">
        <f>"Таблица Д.5 Расчёт неопределенностей относительной влажности по результам измерения при температуре "&amp;""&amp;rh_t2!$C$86&amp;" C° и относительной влажности "&amp;""&amp;rh_t2!$C$39&amp;" %."</f>
        <v>Таблица Д.5 Расчёт неопределенностей относительной влажности по результам измерения при температуре 40 C° и относительной влажности 98 %.</v>
      </c>
      <c r="B74" s="434"/>
      <c r="C74" s="434"/>
      <c r="D74" s="434"/>
      <c r="E74" s="434"/>
      <c r="F74" s="434"/>
      <c r="G74" s="434"/>
    </row>
    <row r="75" spans="1:7" s="292" customFormat="1" ht="38.25" x14ac:dyDescent="0.2">
      <c r="A75" s="305"/>
      <c r="B75" s="306" t="s">
        <v>7</v>
      </c>
      <c r="C75" s="307" t="s">
        <v>84</v>
      </c>
      <c r="D75" s="306" t="s">
        <v>9</v>
      </c>
      <c r="E75" s="308" t="s">
        <v>10</v>
      </c>
      <c r="F75" s="306" t="s">
        <v>88</v>
      </c>
      <c r="G75" s="309" t="s">
        <v>87</v>
      </c>
    </row>
    <row r="76" spans="1:7" s="292" customFormat="1" ht="25.5" x14ac:dyDescent="0.2">
      <c r="A76" s="441" t="s">
        <v>32</v>
      </c>
      <c r="B76" s="112" t="s">
        <v>76</v>
      </c>
      <c r="C76" s="118">
        <f>rh_t2!T4</f>
        <v>0.1</v>
      </c>
      <c r="D76" s="118" t="str">
        <f>rh_t2!U4</f>
        <v>Нормальное</v>
      </c>
      <c r="E76" s="125">
        <f>rh_t2!V4</f>
        <v>2</v>
      </c>
      <c r="F76" s="118">
        <f>rh_t2!W4</f>
        <v>0.05</v>
      </c>
      <c r="G76" s="117">
        <f>rh_t2!X4</f>
        <v>2.5000000000000005E-3</v>
      </c>
    </row>
    <row r="77" spans="1:7" s="292" customFormat="1" x14ac:dyDescent="0.2">
      <c r="A77" s="442"/>
      <c r="B77" s="112" t="s">
        <v>14</v>
      </c>
      <c r="C77" s="118">
        <f>rh_t2!T5</f>
        <v>0.01</v>
      </c>
      <c r="D77" s="118" t="str">
        <f>rh_t2!U5</f>
        <v>Нормальное</v>
      </c>
      <c r="E77" s="125">
        <f>rh_t2!V5</f>
        <v>1</v>
      </c>
      <c r="F77" s="118">
        <f>rh_t2!W5</f>
        <v>0.01</v>
      </c>
      <c r="G77" s="117">
        <f>rh_t2!X5</f>
        <v>1E-4</v>
      </c>
    </row>
    <row r="78" spans="1:7" s="292" customFormat="1" x14ac:dyDescent="0.2">
      <c r="A78" s="442"/>
      <c r="B78" s="112" t="s">
        <v>15</v>
      </c>
      <c r="C78" s="118">
        <f>rh_t2!T6</f>
        <v>0.01</v>
      </c>
      <c r="D78" s="118" t="str">
        <f>rh_t2!U6</f>
        <v>Прямоугольное</v>
      </c>
      <c r="E78" s="125">
        <f>rh_t2!V6</f>
        <v>1.73</v>
      </c>
      <c r="F78" s="118">
        <f>rh_t2!W6</f>
        <v>5.7803468208092491E-3</v>
      </c>
      <c r="G78" s="117">
        <f>rh_t2!X6</f>
        <v>3.3412409368839592E-5</v>
      </c>
    </row>
    <row r="79" spans="1:7" s="292" customFormat="1" ht="25.5" x14ac:dyDescent="0.2">
      <c r="A79" s="442"/>
      <c r="B79" s="112" t="s">
        <v>17</v>
      </c>
      <c r="C79" s="118">
        <f>rh_t2!T7</f>
        <v>0.01</v>
      </c>
      <c r="D79" s="118" t="str">
        <f>rh_t2!U7</f>
        <v>Прямоугольное</v>
      </c>
      <c r="E79" s="125">
        <f>rh_t2!V7</f>
        <v>1.73</v>
      </c>
      <c r="F79" s="118">
        <f>rh_t2!W7</f>
        <v>5.7803468208092491E-3</v>
      </c>
      <c r="G79" s="117">
        <f>rh_t2!X7</f>
        <v>3.3412409368839592E-5</v>
      </c>
    </row>
    <row r="80" spans="1:7" s="292" customFormat="1" x14ac:dyDescent="0.2">
      <c r="A80" s="442"/>
      <c r="B80" s="112" t="s">
        <v>77</v>
      </c>
      <c r="C80" s="118">
        <f>rh_t2!T8</f>
        <v>0.1</v>
      </c>
      <c r="D80" s="118" t="str">
        <f>rh_t2!U8</f>
        <v>Прямоугольное</v>
      </c>
      <c r="E80" s="125">
        <f>rh_t2!V8</f>
        <v>1.73</v>
      </c>
      <c r="F80" s="118">
        <f>rh_t2!W8</f>
        <v>5.7803468208092491E-2</v>
      </c>
      <c r="G80" s="117">
        <f>rh_t2!X8</f>
        <v>3.3412409368839594E-3</v>
      </c>
    </row>
    <row r="81" spans="1:7" s="292" customFormat="1" x14ac:dyDescent="0.2">
      <c r="A81" s="442"/>
      <c r="B81" s="112" t="s">
        <v>19</v>
      </c>
      <c r="C81" s="118">
        <f>rh_t2!T9</f>
        <v>0.02</v>
      </c>
      <c r="D81" s="118" t="str">
        <f>rh_t2!U9</f>
        <v>Прямоугольное</v>
      </c>
      <c r="E81" s="125">
        <f>rh_t2!V9</f>
        <v>1.73</v>
      </c>
      <c r="F81" s="118">
        <f>rh_t2!W9</f>
        <v>1.1560693641618498E-2</v>
      </c>
      <c r="G81" s="117">
        <f>rh_t2!X9</f>
        <v>1.3364963747535837E-4</v>
      </c>
    </row>
    <row r="82" spans="1:7" s="292" customFormat="1" ht="25.5" x14ac:dyDescent="0.2">
      <c r="A82" s="443"/>
      <c r="B82" s="112" t="s">
        <v>78</v>
      </c>
      <c r="C82" s="118">
        <f>rh_t2!T20</f>
        <v>0</v>
      </c>
      <c r="D82" s="118" t="str">
        <f>rh_t2!U10</f>
        <v>Прямоугольное</v>
      </c>
      <c r="E82" s="125">
        <f>rh_t2!V10</f>
        <v>1.73</v>
      </c>
      <c r="F82" s="118">
        <f>rh_t2!W10</f>
        <v>5.7803468208092491E-3</v>
      </c>
      <c r="G82" s="117">
        <f>rh_t2!X10</f>
        <v>3.3412409368839592E-5</v>
      </c>
    </row>
    <row r="83" spans="1:7" s="292" customFormat="1" ht="25.5" x14ac:dyDescent="0.2">
      <c r="A83" s="431" t="s">
        <v>34</v>
      </c>
      <c r="B83" s="112" t="s">
        <v>80</v>
      </c>
      <c r="C83" s="118" t="str">
        <f>rh_t2!T21</f>
        <v>Значение погрешности</v>
      </c>
      <c r="D83" s="118" t="str">
        <f>rh_t2!U11</f>
        <v>Нормальное</v>
      </c>
      <c r="E83" s="125">
        <f>rh_t2!V11</f>
        <v>1</v>
      </c>
      <c r="F83" s="118">
        <f>rh_t2!W11</f>
        <v>0.288097205817756</v>
      </c>
      <c r="G83" s="117">
        <f>rh_t2!X11</f>
        <v>8.2999999999998464E-2</v>
      </c>
    </row>
    <row r="84" spans="1:7" s="292" customFormat="1" ht="25.5" x14ac:dyDescent="0.2">
      <c r="A84" s="432"/>
      <c r="B84" s="113" t="s">
        <v>81</v>
      </c>
      <c r="C84" s="118">
        <f>rh_t2!T22</f>
        <v>0.1</v>
      </c>
      <c r="D84" s="118" t="str">
        <f>rh_t2!U12</f>
        <v>Нормальное</v>
      </c>
      <c r="E84" s="125">
        <f>rh_t2!V12</f>
        <v>1</v>
      </c>
      <c r="F84" s="118">
        <f>rh_t2!W12</f>
        <v>0.21599999999997976</v>
      </c>
      <c r="G84" s="117">
        <f>rh_t2!X12</f>
        <v>4.665599999999126E-2</v>
      </c>
    </row>
    <row r="85" spans="1:7" s="292" customFormat="1" x14ac:dyDescent="0.2">
      <c r="A85" s="433"/>
      <c r="B85" s="114" t="s">
        <v>3</v>
      </c>
      <c r="C85" s="119">
        <f>rh_t2!T23</f>
        <v>0.01</v>
      </c>
      <c r="D85" s="119" t="str">
        <f>rh_t2!U13</f>
        <v>Нормальное</v>
      </c>
      <c r="E85" s="126">
        <f>rh_t2!V13</f>
        <v>1</v>
      </c>
      <c r="F85" s="119">
        <f>rh_t2!W13</f>
        <v>3.2885893473255522E-3</v>
      </c>
      <c r="G85" s="117">
        <f>rh_t2!X13</f>
        <v>1.0814819895343101E-5</v>
      </c>
    </row>
    <row r="86" spans="1:7" s="292" customFormat="1" x14ac:dyDescent="0.2">
      <c r="A86" s="115"/>
      <c r="B86" s="115"/>
      <c r="C86" s="115"/>
      <c r="D86" s="115"/>
      <c r="E86" s="131"/>
      <c r="F86" s="115"/>
      <c r="G86" s="135"/>
    </row>
    <row r="87" spans="1:7" s="292" customFormat="1" x14ac:dyDescent="0.2">
      <c r="A87" s="78" t="str">
        <f>"Cумма квадратов (σ²): "&amp;""&amp;rh_t2!S17</f>
        <v>Cумма квадратов (σ²): 0,13584194</v>
      </c>
      <c r="B87" s="115"/>
      <c r="C87" s="115"/>
      <c r="D87" s="115"/>
      <c r="E87" s="131"/>
      <c r="F87" s="115"/>
      <c r="G87" s="135"/>
    </row>
    <row r="88" spans="1:7" s="292" customFormat="1" x14ac:dyDescent="0.2">
      <c r="A88" s="79" t="str">
        <f>"Общая среднеквадратичная неопределенность: ±"&amp;""&amp;rh_t2!V17&amp;" %"</f>
        <v>Общая среднеквадратичная неопределенность: ±0,369 %</v>
      </c>
      <c r="B88" s="116"/>
      <c r="C88" s="116"/>
      <c r="D88" s="116"/>
      <c r="E88" s="132"/>
      <c r="F88" s="116"/>
      <c r="G88" s="136"/>
    </row>
    <row r="89" spans="1:7" s="292" customFormat="1" x14ac:dyDescent="0.2">
      <c r="A89" s="82" t="str">
        <f>"Расширенная неопределенность при 95 % доверительной вероятности: ±"&amp;""&amp;rh_t2!X17&amp;" %"</f>
        <v>Расширенная неопределенность при 95 % доверительной вероятности: ±0,737 %</v>
      </c>
      <c r="B89" s="116"/>
      <c r="C89" s="116"/>
      <c r="D89" s="116"/>
      <c r="E89" s="132"/>
      <c r="F89" s="116"/>
      <c r="G89" s="136"/>
    </row>
    <row r="90" spans="1:7" s="292" customFormat="1" x14ac:dyDescent="0.2">
      <c r="A90" s="116"/>
      <c r="B90" s="116"/>
      <c r="C90" s="116"/>
      <c r="D90" s="116"/>
      <c r="E90" s="132"/>
      <c r="F90" s="116"/>
      <c r="G90" s="136"/>
    </row>
    <row r="91" spans="1:7" s="292" customFormat="1" ht="42.75" customHeight="1" x14ac:dyDescent="0.2">
      <c r="A91" s="434" t="str">
        <f>"Таблица Д.6 Расчёт неопределенностей относительной влажности в каждой точке установки датчиков по результам измерения при температуре "&amp;""&amp;rh_t2!$C$86&amp;" C° и относительной влажности "&amp;""&amp;rh_t2!$C$39&amp;" %"</f>
        <v>Таблица Д.6 Расчёт неопределенностей относительной влажности в каждой точке установки датчиков по результам измерения при температуре 40 C° и относительной влажности 98 %</v>
      </c>
      <c r="B91" s="434"/>
      <c r="C91" s="434"/>
      <c r="D91" s="434"/>
      <c r="E91" s="434"/>
      <c r="F91" s="434"/>
      <c r="G91" s="434"/>
    </row>
    <row r="92" spans="1:7" s="292" customFormat="1" ht="55.5" customHeight="1" x14ac:dyDescent="0.2">
      <c r="A92" s="305"/>
      <c r="B92" s="306" t="s">
        <v>7</v>
      </c>
      <c r="C92" s="307" t="s">
        <v>84</v>
      </c>
      <c r="D92" s="306" t="s">
        <v>9</v>
      </c>
      <c r="E92" s="308" t="s">
        <v>10</v>
      </c>
      <c r="F92" s="306" t="s">
        <v>88</v>
      </c>
      <c r="G92" s="309" t="s">
        <v>87</v>
      </c>
    </row>
    <row r="93" spans="1:7" s="292" customFormat="1" ht="25.5" x14ac:dyDescent="0.2">
      <c r="A93" s="435" t="s">
        <v>32</v>
      </c>
      <c r="B93" s="112" t="s">
        <v>76</v>
      </c>
      <c r="C93" s="128">
        <f>rh_t2!T22</f>
        <v>0.1</v>
      </c>
      <c r="D93" s="128" t="str">
        <f>rh_t2!U22</f>
        <v>Нормальное</v>
      </c>
      <c r="E93" s="133">
        <f>rh_t2!V22</f>
        <v>2</v>
      </c>
      <c r="F93" s="128">
        <f>rh_t2!W22</f>
        <v>0.05</v>
      </c>
      <c r="G93" s="129">
        <f>rh_t2!X22</f>
        <v>2.5000000000000005E-3</v>
      </c>
    </row>
    <row r="94" spans="1:7" s="292" customFormat="1" x14ac:dyDescent="0.2">
      <c r="A94" s="436"/>
      <c r="B94" s="112" t="s">
        <v>14</v>
      </c>
      <c r="C94" s="128">
        <f>rh_t2!T23</f>
        <v>0.01</v>
      </c>
      <c r="D94" s="128" t="str">
        <f>rh_t2!U23</f>
        <v>Нормальное</v>
      </c>
      <c r="E94" s="133">
        <f>rh_t2!V23</f>
        <v>1</v>
      </c>
      <c r="F94" s="128">
        <f>rh_t2!W23</f>
        <v>0.01</v>
      </c>
      <c r="G94" s="129">
        <f>rh_t2!X23</f>
        <v>1E-4</v>
      </c>
    </row>
    <row r="95" spans="1:7" s="292" customFormat="1" x14ac:dyDescent="0.2">
      <c r="A95" s="436"/>
      <c r="B95" s="112" t="s">
        <v>15</v>
      </c>
      <c r="C95" s="128">
        <f>rh_t2!T24</f>
        <v>0.01</v>
      </c>
      <c r="D95" s="128" t="str">
        <f>rh_t2!U24</f>
        <v>Прямоугольное</v>
      </c>
      <c r="E95" s="133">
        <f>rh_t2!V24</f>
        <v>1.73</v>
      </c>
      <c r="F95" s="128">
        <f>rh_t2!W24</f>
        <v>5.7803468208092491E-3</v>
      </c>
      <c r="G95" s="129">
        <f>rh_t2!X24</f>
        <v>3.3412409368839592E-5</v>
      </c>
    </row>
    <row r="96" spans="1:7" s="292" customFormat="1" ht="25.5" x14ac:dyDescent="0.2">
      <c r="A96" s="436"/>
      <c r="B96" s="112" t="s">
        <v>17</v>
      </c>
      <c r="C96" s="128">
        <f>rh_t2!T25</f>
        <v>0.01</v>
      </c>
      <c r="D96" s="128" t="str">
        <f>rh_t2!U25</f>
        <v>Прямоугольное</v>
      </c>
      <c r="E96" s="133">
        <f>rh_t2!V25</f>
        <v>1.73</v>
      </c>
      <c r="F96" s="128">
        <f>rh_t2!W25</f>
        <v>5.7803468208092491E-3</v>
      </c>
      <c r="G96" s="129">
        <f>rh_t2!X25</f>
        <v>3.3412409368839592E-5</v>
      </c>
    </row>
    <row r="97" spans="1:7" s="292" customFormat="1" x14ac:dyDescent="0.2">
      <c r="A97" s="436"/>
      <c r="B97" s="112" t="s">
        <v>77</v>
      </c>
      <c r="C97" s="128">
        <f>rh_t2!T26</f>
        <v>0.1</v>
      </c>
      <c r="D97" s="128" t="str">
        <f>rh_t2!U26</f>
        <v>Прямоугольное</v>
      </c>
      <c r="E97" s="133">
        <f>rh_t2!V26</f>
        <v>1.73</v>
      </c>
      <c r="F97" s="128">
        <f>rh_t2!W26</f>
        <v>5.7803468208092491E-2</v>
      </c>
      <c r="G97" s="129">
        <f>rh_t2!X26</f>
        <v>3.3412409368839594E-3</v>
      </c>
    </row>
    <row r="98" spans="1:7" s="292" customFormat="1" x14ac:dyDescent="0.2">
      <c r="A98" s="436"/>
      <c r="B98" s="112" t="s">
        <v>19</v>
      </c>
      <c r="C98" s="128">
        <f>rh_t2!T27</f>
        <v>0.02</v>
      </c>
      <c r="D98" s="128" t="str">
        <f>rh_t2!U27</f>
        <v>Прямоугольное</v>
      </c>
      <c r="E98" s="133">
        <f>rh_t2!V27</f>
        <v>1.73</v>
      </c>
      <c r="F98" s="128">
        <f>rh_t2!W27</f>
        <v>1.1560693641618498E-2</v>
      </c>
      <c r="G98" s="129">
        <f>rh_t2!X27</f>
        <v>1.3364963747535837E-4</v>
      </c>
    </row>
    <row r="99" spans="1:7" s="292" customFormat="1" ht="25.5" x14ac:dyDescent="0.2">
      <c r="A99" s="437"/>
      <c r="B99" s="112" t="s">
        <v>78</v>
      </c>
      <c r="C99" s="128">
        <f>rh_t2!T28</f>
        <v>0.01</v>
      </c>
      <c r="D99" s="128" t="str">
        <f>rh_t2!U28</f>
        <v>Прямоугольное</v>
      </c>
      <c r="E99" s="133">
        <f>rh_t2!V28</f>
        <v>1.73</v>
      </c>
      <c r="F99" s="128">
        <f>rh_t2!W28</f>
        <v>5.7803468208092491E-3</v>
      </c>
      <c r="G99" s="129">
        <f>rh_t2!X28</f>
        <v>3.3412409368839592E-5</v>
      </c>
    </row>
    <row r="100" spans="1:7" s="292" customFormat="1" ht="43.5" customHeight="1" x14ac:dyDescent="0.2">
      <c r="A100" s="154" t="s">
        <v>34</v>
      </c>
      <c r="B100" s="127" t="s">
        <v>80</v>
      </c>
      <c r="C100" s="130">
        <f>rh_t2!T29</f>
        <v>0.21599999999997976</v>
      </c>
      <c r="D100" s="130" t="str">
        <f>rh_t2!U29</f>
        <v>Нормальное</v>
      </c>
      <c r="E100" s="134">
        <f>rh_t2!V29</f>
        <v>1</v>
      </c>
      <c r="F100" s="130">
        <f>rh_t2!W29</f>
        <v>0.21599999999997976</v>
      </c>
      <c r="G100" s="129">
        <f>rh_t2!X29</f>
        <v>4.665599999999126E-2</v>
      </c>
    </row>
    <row r="101" spans="1:7" s="292" customFormat="1" x14ac:dyDescent="0.2">
      <c r="A101" s="115"/>
      <c r="B101" s="115"/>
      <c r="C101" s="115"/>
      <c r="D101" s="115"/>
      <c r="E101" s="131"/>
      <c r="F101" s="115"/>
      <c r="G101" s="135"/>
    </row>
    <row r="102" spans="1:7" s="292" customFormat="1" x14ac:dyDescent="0.2">
      <c r="A102" s="78" t="str">
        <f>"Cумма квадратов (σ²): "&amp;""&amp;rh_t2!S33</f>
        <v>Cумма квадратов (σ²): 0,05283113</v>
      </c>
      <c r="B102" s="115"/>
      <c r="C102" s="115"/>
      <c r="D102" s="115"/>
      <c r="E102" s="131"/>
      <c r="F102" s="115"/>
      <c r="G102" s="135"/>
    </row>
    <row r="103" spans="1:7" s="292" customFormat="1" x14ac:dyDescent="0.2">
      <c r="A103" s="79" t="str">
        <f>"Общая среднеквадратичная неопределенность: ±"&amp;""&amp;rh_t2!V33&amp;" %"</f>
        <v>Общая среднеквадратичная неопределенность: ±0,23 %</v>
      </c>
      <c r="B103" s="116"/>
      <c r="C103" s="116"/>
      <c r="D103" s="116"/>
      <c r="E103" s="132"/>
      <c r="F103" s="116"/>
      <c r="G103" s="136"/>
    </row>
    <row r="104" spans="1:7" s="292" customFormat="1" x14ac:dyDescent="0.2">
      <c r="A104" s="82" t="str">
        <f>"Расширенная неопределенность при 95 % доверительной вероятности: ±"&amp;""&amp;rh_t2!X33&amp;" %"</f>
        <v>Расширенная неопределенность при 95 % доверительной вероятности: ±0,46 %</v>
      </c>
      <c r="B104" s="116"/>
      <c r="C104" s="116"/>
      <c r="D104" s="116"/>
      <c r="E104" s="132"/>
      <c r="F104" s="116"/>
      <c r="G104" s="136"/>
    </row>
    <row r="105" spans="1:7" s="292" customFormat="1" x14ac:dyDescent="0.2">
      <c r="A105" s="115"/>
      <c r="B105" s="115"/>
      <c r="C105" s="115"/>
      <c r="D105" s="115"/>
      <c r="E105" s="131"/>
      <c r="F105" s="115"/>
      <c r="G105" s="135"/>
    </row>
    <row r="106" spans="1:7" s="292" customFormat="1" ht="14.25" customHeight="1" x14ac:dyDescent="0.2">
      <c r="A106" s="425" t="s">
        <v>79</v>
      </c>
      <c r="B106" s="425"/>
      <c r="C106" s="425"/>
      <c r="D106" s="425"/>
      <c r="E106" s="425"/>
      <c r="F106" s="425"/>
      <c r="G106" s="425"/>
    </row>
    <row r="107" spans="1:7" s="292" customFormat="1" x14ac:dyDescent="0.2">
      <c r="A107" s="425"/>
      <c r="B107" s="425"/>
      <c r="C107" s="425"/>
      <c r="D107" s="425"/>
      <c r="E107" s="425"/>
      <c r="F107" s="425"/>
      <c r="G107" s="425"/>
    </row>
    <row r="108" spans="1:7" s="292" customFormat="1" x14ac:dyDescent="0.2">
      <c r="A108" s="425"/>
      <c r="B108" s="425"/>
      <c r="C108" s="425"/>
      <c r="D108" s="425"/>
      <c r="E108" s="425"/>
      <c r="F108" s="425"/>
      <c r="G108" s="425"/>
    </row>
    <row r="109" spans="1:7" s="292" customFormat="1" ht="14.25" customHeight="1" x14ac:dyDescent="0.2">
      <c r="A109" s="425"/>
      <c r="B109" s="425"/>
      <c r="C109" s="425"/>
      <c r="D109" s="425"/>
      <c r="E109" s="425"/>
      <c r="F109" s="425"/>
      <c r="G109" s="425"/>
    </row>
    <row r="110" spans="1:7" s="292" customFormat="1" ht="30" customHeight="1" x14ac:dyDescent="0.2">
      <c r="A110" s="434" t="str">
        <f>"Таблица Д.7 Расчёт неопределенностей температуры по результам измерения при 
температуре "&amp;""&amp;rh_t2!$C$86&amp;" C° и относительной влажности "&amp;""&amp;rh_t2!$C$39&amp;" %"</f>
        <v>Таблица Д.7 Расчёт неопределенностей температуры по результам измерения при 
температуре 40 C° и относительной влажности 98 %</v>
      </c>
      <c r="B110" s="434"/>
      <c r="C110" s="434"/>
      <c r="D110" s="434"/>
      <c r="E110" s="434"/>
      <c r="F110" s="434"/>
      <c r="G110" s="434"/>
    </row>
    <row r="111" spans="1:7" s="292" customFormat="1" ht="38.25" x14ac:dyDescent="0.2">
      <c r="A111" s="305"/>
      <c r="B111" s="306" t="s">
        <v>7</v>
      </c>
      <c r="C111" s="307" t="s">
        <v>84</v>
      </c>
      <c r="D111" s="306" t="s">
        <v>9</v>
      </c>
      <c r="E111" s="308" t="s">
        <v>10</v>
      </c>
      <c r="F111" s="306" t="s">
        <v>88</v>
      </c>
      <c r="G111" s="309" t="s">
        <v>87</v>
      </c>
    </row>
    <row r="112" spans="1:7" s="292" customFormat="1" ht="25.5" x14ac:dyDescent="0.2">
      <c r="A112" s="435" t="s">
        <v>32</v>
      </c>
      <c r="B112" s="84" t="s">
        <v>33</v>
      </c>
      <c r="C112" s="77">
        <f>rh_t2!T51</f>
        <v>0.1</v>
      </c>
      <c r="D112" s="77" t="str">
        <f>rh_t2!U51</f>
        <v>Нормальное</v>
      </c>
      <c r="E112" s="91">
        <f>rh_t2!V51</f>
        <v>2</v>
      </c>
      <c r="F112" s="77">
        <f>rh_t2!W51</f>
        <v>0.05</v>
      </c>
      <c r="G112" s="86">
        <f>rh_t2!X51</f>
        <v>2.5000000000000005E-3</v>
      </c>
    </row>
    <row r="113" spans="1:7" s="292" customFormat="1" x14ac:dyDescent="0.2">
      <c r="A113" s="436"/>
      <c r="B113" s="84" t="s">
        <v>14</v>
      </c>
      <c r="C113" s="77">
        <f>rh_t2!T52</f>
        <v>0.01</v>
      </c>
      <c r="D113" s="77" t="str">
        <f>rh_t2!U52</f>
        <v>Нормальное</v>
      </c>
      <c r="E113" s="91">
        <f>rh_t2!V52</f>
        <v>1</v>
      </c>
      <c r="F113" s="77">
        <f>rh_t2!W52</f>
        <v>0.01</v>
      </c>
      <c r="G113" s="86">
        <f>rh_t2!X52</f>
        <v>1E-4</v>
      </c>
    </row>
    <row r="114" spans="1:7" s="292" customFormat="1" x14ac:dyDescent="0.2">
      <c r="A114" s="436"/>
      <c r="B114" s="84" t="s">
        <v>15</v>
      </c>
      <c r="C114" s="77">
        <f>rh_t2!T53</f>
        <v>0.01</v>
      </c>
      <c r="D114" s="77" t="str">
        <f>rh_t2!U53</f>
        <v>Прямоугольное</v>
      </c>
      <c r="E114" s="91">
        <f>rh_t2!V53</f>
        <v>1.73</v>
      </c>
      <c r="F114" s="77">
        <f>rh_t2!W53</f>
        <v>5.7803468208092491E-3</v>
      </c>
      <c r="G114" s="86">
        <f>rh_t2!X53</f>
        <v>3.3412409368839592E-5</v>
      </c>
    </row>
    <row r="115" spans="1:7" s="292" customFormat="1" ht="25.5" x14ac:dyDescent="0.2">
      <c r="A115" s="436"/>
      <c r="B115" s="84" t="s">
        <v>17</v>
      </c>
      <c r="C115" s="77">
        <f>rh_t2!T54</f>
        <v>0.01</v>
      </c>
      <c r="D115" s="77" t="str">
        <f>rh_t2!U54</f>
        <v>Прямоугольное</v>
      </c>
      <c r="E115" s="91">
        <f>rh_t2!V54</f>
        <v>1.73</v>
      </c>
      <c r="F115" s="77">
        <f>rh_t2!W54</f>
        <v>5.7803468208092491E-3</v>
      </c>
      <c r="G115" s="86">
        <f>rh_t2!X54</f>
        <v>3.3412409368839592E-5</v>
      </c>
    </row>
    <row r="116" spans="1:7" s="292" customFormat="1" x14ac:dyDescent="0.2">
      <c r="A116" s="436"/>
      <c r="B116" s="84" t="s">
        <v>18</v>
      </c>
      <c r="C116" s="77">
        <f>rh_t2!T55</f>
        <v>0.1</v>
      </c>
      <c r="D116" s="77" t="str">
        <f>rh_t2!U55</f>
        <v>Прямоугольное</v>
      </c>
      <c r="E116" s="91">
        <f>rh_t2!V55</f>
        <v>1.73</v>
      </c>
      <c r="F116" s="77">
        <f>rh_t2!W55</f>
        <v>5.7803468208092491E-2</v>
      </c>
      <c r="G116" s="86">
        <f>rh_t2!X55</f>
        <v>3.3412409368839594E-3</v>
      </c>
    </row>
    <row r="117" spans="1:7" s="292" customFormat="1" x14ac:dyDescent="0.2">
      <c r="A117" s="436"/>
      <c r="B117" s="84" t="s">
        <v>19</v>
      </c>
      <c r="C117" s="77">
        <f>rh_t2!T56</f>
        <v>0.02</v>
      </c>
      <c r="D117" s="77" t="str">
        <f>rh_t2!U56</f>
        <v>Прямоугольное</v>
      </c>
      <c r="E117" s="91">
        <f>rh_t2!V56</f>
        <v>1.73</v>
      </c>
      <c r="F117" s="77">
        <f>rh_t2!W56</f>
        <v>1.1560693641618498E-2</v>
      </c>
      <c r="G117" s="86">
        <f>rh_t2!X56</f>
        <v>1.3364963747535837E-4</v>
      </c>
    </row>
    <row r="118" spans="1:7" s="292" customFormat="1" ht="25.5" x14ac:dyDescent="0.2">
      <c r="A118" s="437"/>
      <c r="B118" s="84" t="s">
        <v>20</v>
      </c>
      <c r="C118" s="77">
        <f>rh_t2!T57</f>
        <v>0.01</v>
      </c>
      <c r="D118" s="77" t="str">
        <f>rh_t2!U57</f>
        <v>Прямоугольное</v>
      </c>
      <c r="E118" s="91">
        <f>rh_t2!V57</f>
        <v>1.73</v>
      </c>
      <c r="F118" s="77">
        <f>rh_t2!W57</f>
        <v>5.7803468208092491E-3</v>
      </c>
      <c r="G118" s="86">
        <f>rh_t2!X57</f>
        <v>3.3412409368839592E-5</v>
      </c>
    </row>
    <row r="119" spans="1:7" s="292" customFormat="1" x14ac:dyDescent="0.2">
      <c r="A119" s="438" t="s">
        <v>34</v>
      </c>
      <c r="B119" s="84" t="s">
        <v>0</v>
      </c>
      <c r="C119" s="77">
        <f>rh_t2!T58</f>
        <v>0.13765721558447</v>
      </c>
      <c r="D119" s="77" t="str">
        <f>rh_t2!U58</f>
        <v>Нормальное</v>
      </c>
      <c r="E119" s="91">
        <f>rh_t2!V58</f>
        <v>1</v>
      </c>
      <c r="F119" s="77">
        <f>rh_t2!W58</f>
        <v>0.13765721558447</v>
      </c>
      <c r="G119" s="86">
        <f>rh_t2!X58</f>
        <v>1.894950900246925E-2</v>
      </c>
    </row>
    <row r="120" spans="1:7" s="292" customFormat="1" ht="25.5" x14ac:dyDescent="0.2">
      <c r="A120" s="439"/>
      <c r="B120" s="84" t="s">
        <v>21</v>
      </c>
      <c r="C120" s="77">
        <f>rh_t2!T59</f>
        <v>9.2428604338699646E-3</v>
      </c>
      <c r="D120" s="77" t="str">
        <f>rh_t2!U59</f>
        <v>Нормальное</v>
      </c>
      <c r="E120" s="91">
        <f>rh_t2!V59</f>
        <v>1</v>
      </c>
      <c r="F120" s="77">
        <f>rh_t2!W59</f>
        <v>9.2428604338699646E-3</v>
      </c>
      <c r="G120" s="86">
        <f>rh_t2!X59</f>
        <v>8.5430468999998872E-5</v>
      </c>
    </row>
    <row r="121" spans="1:7" s="292" customFormat="1" x14ac:dyDescent="0.2">
      <c r="A121" s="440"/>
      <c r="B121" s="84" t="s">
        <v>3</v>
      </c>
      <c r="C121" s="77">
        <f>rh_t2!T60</f>
        <v>3.8045240419348324E-4</v>
      </c>
      <c r="D121" s="77" t="str">
        <f>rh_t2!U60</f>
        <v>Нормальное</v>
      </c>
      <c r="E121" s="91">
        <f>rh_t2!V60</f>
        <v>1</v>
      </c>
      <c r="F121" s="77">
        <f>rh_t2!W60</f>
        <v>3.8045240419348324E-4</v>
      </c>
      <c r="G121" s="86">
        <f>rh_t2!X60</f>
        <v>1.4474403185660156E-7</v>
      </c>
    </row>
    <row r="122" spans="1:7" s="292" customFormat="1" x14ac:dyDescent="0.2">
      <c r="A122" s="76"/>
      <c r="B122" s="76"/>
      <c r="C122" s="88"/>
      <c r="D122" s="76"/>
      <c r="E122" s="81"/>
      <c r="F122" s="76"/>
      <c r="G122" s="85"/>
    </row>
    <row r="123" spans="1:7" s="292" customFormat="1" x14ac:dyDescent="0.2">
      <c r="A123" s="78" t="str">
        <f>"Cумма квадратов (σ²): "&amp;""&amp;rh_t2!$S64</f>
        <v>Cумма квадратов (σ²): 0,02521021</v>
      </c>
      <c r="B123" s="76"/>
      <c r="C123" s="88"/>
      <c r="D123" s="76"/>
      <c r="E123" s="81"/>
      <c r="F123" s="76"/>
      <c r="G123" s="85"/>
    </row>
    <row r="124" spans="1:7" s="292" customFormat="1" x14ac:dyDescent="0.2">
      <c r="A124" s="79" t="str">
        <f>"Общая среднеквадратичная неопределенность (σ): ±"&amp;""&amp;rh_t2!$V64&amp;" °C"</f>
        <v>Общая среднеквадратичная неопределенность (σ): ±0,159 °C</v>
      </c>
      <c r="B124" s="76"/>
      <c r="C124" s="88"/>
      <c r="D124" s="80"/>
      <c r="E124" s="81"/>
      <c r="F124" s="76"/>
      <c r="G124" s="85"/>
    </row>
    <row r="125" spans="1:7" s="292" customFormat="1" x14ac:dyDescent="0.2">
      <c r="A125" s="82" t="str">
        <f>"Расширенная неопределенность при 95 % доверительной вероятности (2σ): ±"&amp;""&amp;rh_t2!$X64&amp;" °C"</f>
        <v>Расширенная неопределенность при 95 % доверительной вероятности (2σ): ±0,318 °C</v>
      </c>
      <c r="B125" s="76"/>
      <c r="C125" s="88"/>
      <c r="D125" s="76"/>
      <c r="E125" s="81"/>
      <c r="F125" s="76"/>
      <c r="G125" s="85"/>
    </row>
    <row r="126" spans="1:7" s="292" customFormat="1" ht="7.5" customHeight="1" x14ac:dyDescent="0.2">
      <c r="A126" s="82"/>
      <c r="B126" s="76"/>
      <c r="C126" s="88"/>
      <c r="D126" s="76"/>
      <c r="E126" s="81"/>
      <c r="F126" s="76"/>
      <c r="G126" s="85"/>
    </row>
    <row r="127" spans="1:7" s="292" customFormat="1" ht="42" customHeight="1" x14ac:dyDescent="0.2">
      <c r="A127" s="434" t="str">
        <f>"Таблица Д.8 Расчёт неопределенностей температуры в каждой точке установки датчиков по результам измерения при температуре "&amp;""&amp;rh_t2!$C$86&amp;" C° и относительной влажности "&amp;""&amp;rh_t2!$C$39&amp;" %"</f>
        <v>Таблица Д.8 Расчёт неопределенностей температуры в каждой точке установки датчиков по результам измерения при температуре 40 C° и относительной влажности 98 %</v>
      </c>
      <c r="B127" s="434"/>
      <c r="C127" s="434"/>
      <c r="D127" s="434"/>
      <c r="E127" s="434"/>
      <c r="F127" s="434"/>
      <c r="G127" s="434"/>
    </row>
    <row r="128" spans="1:7" s="292" customFormat="1" ht="38.25" x14ac:dyDescent="0.2">
      <c r="A128" s="305"/>
      <c r="B128" s="306" t="s">
        <v>7</v>
      </c>
      <c r="C128" s="307" t="s">
        <v>84</v>
      </c>
      <c r="D128" s="306" t="s">
        <v>9</v>
      </c>
      <c r="E128" s="308" t="s">
        <v>10</v>
      </c>
      <c r="F128" s="306" t="s">
        <v>88</v>
      </c>
      <c r="G128" s="309" t="s">
        <v>87</v>
      </c>
    </row>
    <row r="129" spans="1:15" s="292" customFormat="1" ht="25.5" x14ac:dyDescent="0.2">
      <c r="A129" s="422" t="s">
        <v>32</v>
      </c>
      <c r="B129" s="84" t="s">
        <v>33</v>
      </c>
      <c r="C129" s="77">
        <f>rh_t2!T51</f>
        <v>0.1</v>
      </c>
      <c r="D129" s="77" t="str">
        <f>rh_t2!U51</f>
        <v>Нормальное</v>
      </c>
      <c r="E129" s="91">
        <f>rh_t2!V51</f>
        <v>2</v>
      </c>
      <c r="F129" s="77">
        <f>rh_t2!W51</f>
        <v>0.05</v>
      </c>
      <c r="G129" s="86">
        <f>rh_t2!X51</f>
        <v>2.5000000000000005E-3</v>
      </c>
    </row>
    <row r="130" spans="1:15" s="292" customFormat="1" ht="31.5" customHeight="1" x14ac:dyDescent="0.2">
      <c r="A130" s="423"/>
      <c r="B130" s="84" t="s">
        <v>14</v>
      </c>
      <c r="C130" s="77">
        <f>rh_t2!T52</f>
        <v>0.01</v>
      </c>
      <c r="D130" s="77" t="str">
        <f>rh_t2!U52</f>
        <v>Нормальное</v>
      </c>
      <c r="E130" s="91">
        <f>rh_t2!V52</f>
        <v>1</v>
      </c>
      <c r="F130" s="77">
        <f>rh_t2!W52</f>
        <v>0.01</v>
      </c>
      <c r="G130" s="86">
        <f>rh_t2!X52</f>
        <v>1E-4</v>
      </c>
      <c r="N130" s="157"/>
      <c r="O130" s="157"/>
    </row>
    <row r="131" spans="1:15" s="292" customFormat="1" x14ac:dyDescent="0.2">
      <c r="A131" s="423"/>
      <c r="B131" s="84" t="s">
        <v>15</v>
      </c>
      <c r="C131" s="77">
        <f>rh_t2!T53</f>
        <v>0.01</v>
      </c>
      <c r="D131" s="77" t="str">
        <f>rh_t2!U53</f>
        <v>Прямоугольное</v>
      </c>
      <c r="E131" s="91">
        <f>rh_t2!V53</f>
        <v>1.73</v>
      </c>
      <c r="F131" s="77">
        <f>rh_t2!W53</f>
        <v>5.7803468208092491E-3</v>
      </c>
      <c r="G131" s="86">
        <f>rh_t2!X53</f>
        <v>3.3412409368839592E-5</v>
      </c>
    </row>
    <row r="132" spans="1:15" s="292" customFormat="1" ht="25.5" x14ac:dyDescent="0.2">
      <c r="A132" s="423"/>
      <c r="B132" s="84" t="s">
        <v>17</v>
      </c>
      <c r="C132" s="77">
        <f>rh_t2!T54</f>
        <v>0.01</v>
      </c>
      <c r="D132" s="77" t="str">
        <f>rh_t2!U54</f>
        <v>Прямоугольное</v>
      </c>
      <c r="E132" s="91">
        <f>rh_t2!V54</f>
        <v>1.73</v>
      </c>
      <c r="F132" s="77">
        <f>rh_t2!W54</f>
        <v>5.7803468208092491E-3</v>
      </c>
      <c r="G132" s="86">
        <f>rh_t2!X54</f>
        <v>3.3412409368839592E-5</v>
      </c>
    </row>
    <row r="133" spans="1:15" s="292" customFormat="1" ht="49.5" customHeight="1" x14ac:dyDescent="0.2">
      <c r="A133" s="423"/>
      <c r="B133" s="84" t="s">
        <v>18</v>
      </c>
      <c r="C133" s="77">
        <f>rh_t2!T55</f>
        <v>0.1</v>
      </c>
      <c r="D133" s="77" t="str">
        <f>rh_t2!U55</f>
        <v>Прямоугольное</v>
      </c>
      <c r="E133" s="91">
        <f>rh_t2!V55</f>
        <v>1.73</v>
      </c>
      <c r="F133" s="77">
        <f>rh_t2!W55</f>
        <v>5.7803468208092491E-2</v>
      </c>
      <c r="G133" s="86">
        <f>rh_t2!X55</f>
        <v>3.3412409368839594E-3</v>
      </c>
    </row>
    <row r="134" spans="1:15" s="292" customFormat="1" x14ac:dyDescent="0.2">
      <c r="A134" s="423"/>
      <c r="B134" s="84" t="s">
        <v>19</v>
      </c>
      <c r="C134" s="77">
        <f>rh_t2!T56</f>
        <v>0.02</v>
      </c>
      <c r="D134" s="77" t="str">
        <f>rh_t2!U56</f>
        <v>Прямоугольное</v>
      </c>
      <c r="E134" s="91">
        <f>rh_t2!V56</f>
        <v>1.73</v>
      </c>
      <c r="F134" s="77">
        <f>rh_t2!W56</f>
        <v>1.1560693641618498E-2</v>
      </c>
      <c r="G134" s="86">
        <f>rh_t2!X56</f>
        <v>1.3364963747535837E-4</v>
      </c>
    </row>
    <row r="135" spans="1:15" s="292" customFormat="1" ht="27.75" customHeight="1" x14ac:dyDescent="0.2">
      <c r="A135" s="424"/>
      <c r="B135" s="84" t="s">
        <v>20</v>
      </c>
      <c r="C135" s="77">
        <f>rh_t2!T57</f>
        <v>0.01</v>
      </c>
      <c r="D135" s="77" t="str">
        <f>rh_t2!U57</f>
        <v>Прямоугольное</v>
      </c>
      <c r="E135" s="91">
        <f>rh_t2!V57</f>
        <v>1.73</v>
      </c>
      <c r="F135" s="77">
        <f>rh_t2!W57</f>
        <v>5.7803468208092491E-3</v>
      </c>
      <c r="G135" s="86">
        <f>rh_t2!X57</f>
        <v>3.3412409368839592E-5</v>
      </c>
    </row>
    <row r="136" spans="1:15" s="292" customFormat="1" ht="41.25" customHeight="1" x14ac:dyDescent="0.2">
      <c r="A136" s="153" t="s">
        <v>34</v>
      </c>
      <c r="B136" s="84" t="s">
        <v>21</v>
      </c>
      <c r="C136" s="77">
        <f>rh_t2!T58</f>
        <v>0.13765721558447</v>
      </c>
      <c r="D136" s="77" t="str">
        <f>rh_t2!U58</f>
        <v>Нормальное</v>
      </c>
      <c r="E136" s="91">
        <f>rh_t2!V58</f>
        <v>1</v>
      </c>
      <c r="F136" s="77">
        <f>rh_t2!W58</f>
        <v>0.13765721558447</v>
      </c>
      <c r="G136" s="86">
        <f>rh_t2!X58</f>
        <v>1.894950900246925E-2</v>
      </c>
    </row>
    <row r="137" spans="1:15" s="292" customFormat="1" ht="6.75" customHeight="1" x14ac:dyDescent="0.2">
      <c r="A137" s="83"/>
      <c r="B137" s="83"/>
      <c r="C137" s="89"/>
      <c r="D137" s="83"/>
      <c r="E137" s="92"/>
      <c r="F137" s="83"/>
      <c r="G137" s="87"/>
    </row>
    <row r="138" spans="1:15" s="292" customFormat="1" x14ac:dyDescent="0.2">
      <c r="A138" s="78" t="str">
        <f>"Cумма квадратов (σ²): "&amp;""&amp;rh_t2!$S80</f>
        <v>Cумма квадратов (σ²): 0,00626056</v>
      </c>
      <c r="C138" s="90"/>
      <c r="E138" s="65"/>
      <c r="G138" s="56"/>
    </row>
    <row r="139" spans="1:15" s="292" customFormat="1" x14ac:dyDescent="0.2">
      <c r="A139" s="79" t="str">
        <f>"Общая среднеквадратичная неопределенность (σ): ±"&amp;""&amp;rh_t2!$V80&amp;" °C"</f>
        <v>Общая среднеквадратичная неопределенность (σ): ±0,079 °C</v>
      </c>
      <c r="C139" s="90"/>
      <c r="E139" s="65"/>
      <c r="G139" s="56"/>
    </row>
    <row r="140" spans="1:15" s="292" customFormat="1" x14ac:dyDescent="0.2">
      <c r="A140" s="82" t="str">
        <f>"Расширенная неопределенность при 95 % доверительной вероятности (2σ): ±"&amp;""&amp;rh_t2!$X80&amp;" °C"</f>
        <v>Расширенная неопределенность при 95 % доверительной вероятности (2σ): ±0,158 °C</v>
      </c>
      <c r="C140" s="90"/>
      <c r="E140" s="65"/>
      <c r="G140" s="56"/>
    </row>
    <row r="141" spans="1:15" s="292" customFormat="1" ht="11.25" customHeight="1" x14ac:dyDescent="0.2">
      <c r="C141" s="90"/>
      <c r="E141" s="65"/>
      <c r="G141" s="56"/>
    </row>
    <row r="142" spans="1:15" s="292" customFormat="1" x14ac:dyDescent="0.2">
      <c r="A142" s="425" t="s">
        <v>79</v>
      </c>
      <c r="B142" s="425"/>
      <c r="C142" s="425"/>
      <c r="D142" s="425"/>
      <c r="E142" s="425"/>
      <c r="F142" s="425"/>
      <c r="G142" s="425"/>
    </row>
    <row r="143" spans="1:15" s="292" customFormat="1" x14ac:dyDescent="0.2">
      <c r="A143" s="425"/>
      <c r="B143" s="425"/>
      <c r="C143" s="425"/>
      <c r="D143" s="425"/>
      <c r="E143" s="425"/>
      <c r="F143" s="425"/>
      <c r="G143" s="425"/>
    </row>
    <row r="144" spans="1:15" s="292" customFormat="1" x14ac:dyDescent="0.2">
      <c r="A144" s="425"/>
      <c r="B144" s="425"/>
      <c r="C144" s="425"/>
      <c r="D144" s="425"/>
      <c r="E144" s="425"/>
      <c r="F144" s="425"/>
      <c r="G144" s="425"/>
    </row>
    <row r="145" spans="1:7" s="292" customFormat="1" x14ac:dyDescent="0.2">
      <c r="A145" s="425"/>
      <c r="B145" s="425"/>
      <c r="C145" s="425"/>
      <c r="D145" s="425"/>
      <c r="E145" s="425"/>
      <c r="F145" s="425"/>
      <c r="G145" s="425"/>
    </row>
    <row r="146" spans="1:7" s="292" customFormat="1" x14ac:dyDescent="0.2">
      <c r="A146" s="425"/>
      <c r="B146" s="425"/>
      <c r="C146" s="425"/>
      <c r="D146" s="425"/>
      <c r="E146" s="425"/>
      <c r="F146" s="425"/>
      <c r="G146" s="425"/>
    </row>
    <row r="147" spans="1:7" s="292" customFormat="1" ht="30.75" customHeight="1" x14ac:dyDescent="0.2">
      <c r="A147" s="434" t="str">
        <f>"Таблица Д.9 Расчёт неопределенностей относительной влажности по результам измерения при температуре "&amp;""&amp;rh_t3!$C$86&amp;" C° и относительной влажности "&amp;""&amp;rh_t3!$C$39&amp;" %."</f>
        <v>Таблица Д.9 Расчёт неопределенностей относительной влажности по результам измерения при температуре 40 C° и относительной влажности 98 %.</v>
      </c>
      <c r="B147" s="434"/>
      <c r="C147" s="434"/>
      <c r="D147" s="434"/>
      <c r="E147" s="434"/>
      <c r="F147" s="434"/>
      <c r="G147" s="434"/>
    </row>
    <row r="148" spans="1:7" s="292" customFormat="1" ht="38.25" x14ac:dyDescent="0.2">
      <c r="A148" s="305"/>
      <c r="B148" s="306" t="s">
        <v>7</v>
      </c>
      <c r="C148" s="307" t="s">
        <v>84</v>
      </c>
      <c r="D148" s="306" t="s">
        <v>9</v>
      </c>
      <c r="E148" s="308" t="s">
        <v>10</v>
      </c>
      <c r="F148" s="306" t="s">
        <v>88</v>
      </c>
      <c r="G148" s="309" t="s">
        <v>87</v>
      </c>
    </row>
    <row r="149" spans="1:7" s="292" customFormat="1" ht="25.5" x14ac:dyDescent="0.2">
      <c r="A149" s="441" t="s">
        <v>32</v>
      </c>
      <c r="B149" s="112" t="s">
        <v>76</v>
      </c>
      <c r="C149" s="118">
        <f>rh_t3!T4</f>
        <v>0.1</v>
      </c>
      <c r="D149" s="118" t="str">
        <f>rh_t3!U4</f>
        <v>Нормальное</v>
      </c>
      <c r="E149" s="125">
        <f>rh_t3!V4</f>
        <v>2</v>
      </c>
      <c r="F149" s="118">
        <f>rh_t3!W4</f>
        <v>0.05</v>
      </c>
      <c r="G149" s="117">
        <f>rh_t3!X4</f>
        <v>2.5000000000000005E-3</v>
      </c>
    </row>
    <row r="150" spans="1:7" s="292" customFormat="1" x14ac:dyDescent="0.2">
      <c r="A150" s="442"/>
      <c r="B150" s="112" t="s">
        <v>14</v>
      </c>
      <c r="C150" s="118">
        <f>rh_t3!T5</f>
        <v>0.01</v>
      </c>
      <c r="D150" s="118" t="str">
        <f>rh_t3!U5</f>
        <v>Нормальное</v>
      </c>
      <c r="E150" s="125">
        <f>rh_t3!V5</f>
        <v>1</v>
      </c>
      <c r="F150" s="118">
        <f>rh_t3!W5</f>
        <v>0.01</v>
      </c>
      <c r="G150" s="117">
        <f>rh_t3!X5</f>
        <v>1E-4</v>
      </c>
    </row>
    <row r="151" spans="1:7" s="292" customFormat="1" x14ac:dyDescent="0.2">
      <c r="A151" s="442"/>
      <c r="B151" s="112" t="s">
        <v>15</v>
      </c>
      <c r="C151" s="118">
        <f>rh_t3!T6</f>
        <v>0.01</v>
      </c>
      <c r="D151" s="118" t="str">
        <f>rh_t3!U6</f>
        <v>Прямоугольное</v>
      </c>
      <c r="E151" s="125">
        <f>rh_t3!V6</f>
        <v>1.73</v>
      </c>
      <c r="F151" s="118">
        <f>rh_t3!W6</f>
        <v>5.7803468208092491E-3</v>
      </c>
      <c r="G151" s="117">
        <f>rh_t3!X6</f>
        <v>3.3412409368839592E-5</v>
      </c>
    </row>
    <row r="152" spans="1:7" s="292" customFormat="1" ht="25.5" x14ac:dyDescent="0.2">
      <c r="A152" s="442"/>
      <c r="B152" s="112" t="s">
        <v>17</v>
      </c>
      <c r="C152" s="118">
        <f>rh_t3!T7</f>
        <v>0.01</v>
      </c>
      <c r="D152" s="118" t="str">
        <f>rh_t3!U7</f>
        <v>Прямоугольное</v>
      </c>
      <c r="E152" s="125">
        <f>rh_t3!V7</f>
        <v>1.73</v>
      </c>
      <c r="F152" s="118">
        <f>rh_t3!W7</f>
        <v>5.7803468208092491E-3</v>
      </c>
      <c r="G152" s="117">
        <f>rh_t3!X7</f>
        <v>3.3412409368839592E-5</v>
      </c>
    </row>
    <row r="153" spans="1:7" s="292" customFormat="1" x14ac:dyDescent="0.2">
      <c r="A153" s="442"/>
      <c r="B153" s="112" t="s">
        <v>77</v>
      </c>
      <c r="C153" s="118">
        <f>rh_t3!T8</f>
        <v>0.1</v>
      </c>
      <c r="D153" s="118" t="str">
        <f>rh_t3!U8</f>
        <v>Прямоугольное</v>
      </c>
      <c r="E153" s="125">
        <f>rh_t3!V8</f>
        <v>1.73</v>
      </c>
      <c r="F153" s="118">
        <f>rh_t3!W8</f>
        <v>5.7803468208092491E-2</v>
      </c>
      <c r="G153" s="117">
        <f>rh_t3!X8</f>
        <v>3.3412409368839594E-3</v>
      </c>
    </row>
    <row r="154" spans="1:7" s="292" customFormat="1" x14ac:dyDescent="0.2">
      <c r="A154" s="442"/>
      <c r="B154" s="112" t="s">
        <v>19</v>
      </c>
      <c r="C154" s="118">
        <f>rh_t3!T9</f>
        <v>0.02</v>
      </c>
      <c r="D154" s="118" t="str">
        <f>rh_t3!U9</f>
        <v>Прямоугольное</v>
      </c>
      <c r="E154" s="125">
        <f>rh_t3!V9</f>
        <v>1.73</v>
      </c>
      <c r="F154" s="118">
        <f>rh_t3!W9</f>
        <v>1.1560693641618498E-2</v>
      </c>
      <c r="G154" s="117">
        <f>rh_t3!X9</f>
        <v>1.3364963747535837E-4</v>
      </c>
    </row>
    <row r="155" spans="1:7" s="292" customFormat="1" ht="25.5" x14ac:dyDescent="0.2">
      <c r="A155" s="443"/>
      <c r="B155" s="112" t="s">
        <v>78</v>
      </c>
      <c r="C155" s="118">
        <f>rh_t3!T30</f>
        <v>0</v>
      </c>
      <c r="D155" s="118" t="str">
        <f>rh_t3!U10</f>
        <v>Прямоугольное</v>
      </c>
      <c r="E155" s="125">
        <f>rh_t3!V10</f>
        <v>1.73</v>
      </c>
      <c r="F155" s="118">
        <f>rh_t3!W10</f>
        <v>5.7803468208092491E-3</v>
      </c>
      <c r="G155" s="117">
        <f>rh_t3!X10</f>
        <v>3.3412409368839592E-5</v>
      </c>
    </row>
    <row r="156" spans="1:7" s="292" customFormat="1" ht="25.5" x14ac:dyDescent="0.2">
      <c r="A156" s="431" t="s">
        <v>34</v>
      </c>
      <c r="B156" s="112" t="s">
        <v>80</v>
      </c>
      <c r="C156" s="118">
        <f>rh_t3!T31</f>
        <v>0</v>
      </c>
      <c r="D156" s="118" t="str">
        <f>rh_t3!U11</f>
        <v>Нормальное</v>
      </c>
      <c r="E156" s="125">
        <f>rh_t3!V11</f>
        <v>1</v>
      </c>
      <c r="F156" s="118">
        <f>rh_t3!W11</f>
        <v>0.288097205817756</v>
      </c>
      <c r="G156" s="117">
        <f>rh_t3!X11</f>
        <v>8.2999999999998464E-2</v>
      </c>
    </row>
    <row r="157" spans="1:7" s="292" customFormat="1" ht="25.5" x14ac:dyDescent="0.2">
      <c r="A157" s="432"/>
      <c r="B157" s="113" t="s">
        <v>81</v>
      </c>
      <c r="C157" s="118">
        <f>rh_t3!T32</f>
        <v>0</v>
      </c>
      <c r="D157" s="118" t="str">
        <f>rh_t3!U12</f>
        <v>Нормальное</v>
      </c>
      <c r="E157" s="125">
        <f>rh_t3!V12</f>
        <v>1</v>
      </c>
      <c r="F157" s="118">
        <f>rh_t3!W12</f>
        <v>0.21599999999997976</v>
      </c>
      <c r="G157" s="117">
        <f>rh_t3!X12</f>
        <v>4.665599999999126E-2</v>
      </c>
    </row>
    <row r="158" spans="1:7" s="292" customFormat="1" x14ac:dyDescent="0.2">
      <c r="A158" s="433"/>
      <c r="B158" s="114" t="s">
        <v>3</v>
      </c>
      <c r="C158" s="119">
        <f>rh_t3!T33</f>
        <v>0</v>
      </c>
      <c r="D158" s="119" t="str">
        <f>rh_t3!U13</f>
        <v>Нормальное</v>
      </c>
      <c r="E158" s="126">
        <f>rh_t3!V13</f>
        <v>1</v>
      </c>
      <c r="F158" s="119">
        <f>rh_t3!W13</f>
        <v>3.2885893473255522E-3</v>
      </c>
      <c r="G158" s="117">
        <f>rh_t3!X13</f>
        <v>1.0814819895343101E-5</v>
      </c>
    </row>
    <row r="159" spans="1:7" s="292" customFormat="1" x14ac:dyDescent="0.2">
      <c r="A159" s="115"/>
      <c r="B159" s="115"/>
      <c r="C159" s="115"/>
      <c r="D159" s="115"/>
      <c r="E159" s="131"/>
      <c r="F159" s="115"/>
      <c r="G159" s="135"/>
    </row>
    <row r="160" spans="1:7" s="292" customFormat="1" x14ac:dyDescent="0.2">
      <c r="A160" s="78" t="str">
        <f>"Cумма квадратов (σ²): "&amp;""&amp;rh_t3!S17</f>
        <v>Cумма квадратов (σ²): 0,13584194</v>
      </c>
      <c r="B160" s="115"/>
      <c r="C160" s="115"/>
      <c r="D160" s="115"/>
      <c r="E160" s="131"/>
      <c r="F160" s="115"/>
      <c r="G160" s="135"/>
    </row>
    <row r="161" spans="1:7" s="292" customFormat="1" x14ac:dyDescent="0.2">
      <c r="A161" s="79" t="str">
        <f>"Общая среднеквадратичная неопределенность: ±"&amp;""&amp;rh_t3!V17&amp;" %"</f>
        <v>Общая среднеквадратичная неопределенность: ±0,369 %</v>
      </c>
      <c r="B161" s="116"/>
      <c r="C161" s="116"/>
      <c r="D161" s="116"/>
      <c r="E161" s="132"/>
      <c r="F161" s="116"/>
      <c r="G161" s="136"/>
    </row>
    <row r="162" spans="1:7" s="292" customFormat="1" x14ac:dyDescent="0.2">
      <c r="A162" s="82" t="str">
        <f>"Расширенная неопределенность при 95 % доверительной вероятности: ±"&amp;""&amp;rh_t3!X17&amp;" %"</f>
        <v>Расширенная неопределенность при 95 % доверительной вероятности: ±0,737 %</v>
      </c>
      <c r="B162" s="116"/>
      <c r="C162" s="116"/>
      <c r="D162" s="116"/>
      <c r="E162" s="132"/>
      <c r="F162" s="116"/>
      <c r="G162" s="136"/>
    </row>
    <row r="163" spans="1:7" s="292" customFormat="1" x14ac:dyDescent="0.2">
      <c r="A163" s="116"/>
      <c r="B163" s="116"/>
      <c r="C163" s="116"/>
      <c r="D163" s="116"/>
      <c r="E163" s="132"/>
      <c r="F163" s="116"/>
      <c r="G163" s="136"/>
    </row>
    <row r="164" spans="1:7" s="292" customFormat="1" ht="42.75" customHeight="1" x14ac:dyDescent="0.2">
      <c r="A164" s="434" t="str">
        <f>"Таблица Д.10 Расчёт неопределенностей относительной влажности в каждой точке установки датчиков по результам измерения при температуре "&amp;""&amp;rh_t3!$C$86&amp;" C° и относительной влажности "&amp;""&amp;rh_t3!$C$39&amp;" %"</f>
        <v>Таблица Д.10 Расчёт неопределенностей относительной влажности в каждой точке установки датчиков по результам измерения при температуре 40 C° и относительной влажности 98 %</v>
      </c>
      <c r="B164" s="434"/>
      <c r="C164" s="434"/>
      <c r="D164" s="434"/>
      <c r="E164" s="434"/>
      <c r="F164" s="434"/>
      <c r="G164" s="434"/>
    </row>
    <row r="165" spans="1:7" s="292" customFormat="1" ht="55.5" customHeight="1" x14ac:dyDescent="0.2">
      <c r="A165" s="305"/>
      <c r="B165" s="306" t="s">
        <v>7</v>
      </c>
      <c r="C165" s="307" t="s">
        <v>84</v>
      </c>
      <c r="D165" s="306" t="s">
        <v>9</v>
      </c>
      <c r="E165" s="308" t="s">
        <v>10</v>
      </c>
      <c r="F165" s="306" t="s">
        <v>88</v>
      </c>
      <c r="G165" s="309" t="s">
        <v>87</v>
      </c>
    </row>
    <row r="166" spans="1:7" s="292" customFormat="1" ht="25.5" x14ac:dyDescent="0.2">
      <c r="A166" s="435" t="s">
        <v>32</v>
      </c>
      <c r="B166" s="112" t="s">
        <v>76</v>
      </c>
      <c r="C166" s="128">
        <f>rh_t3!T22</f>
        <v>0.1</v>
      </c>
      <c r="D166" s="128" t="str">
        <f>rh_t3!U22</f>
        <v>Нормальное</v>
      </c>
      <c r="E166" s="133">
        <f>rh_t3!V22</f>
        <v>2</v>
      </c>
      <c r="F166" s="128">
        <f>rh_t3!W22</f>
        <v>0.05</v>
      </c>
      <c r="G166" s="129">
        <f>rh_t3!X22</f>
        <v>2.5000000000000005E-3</v>
      </c>
    </row>
    <row r="167" spans="1:7" s="292" customFormat="1" x14ac:dyDescent="0.2">
      <c r="A167" s="436"/>
      <c r="B167" s="112" t="s">
        <v>14</v>
      </c>
      <c r="C167" s="128">
        <f>rh_t3!T23</f>
        <v>0.01</v>
      </c>
      <c r="D167" s="128" t="str">
        <f>rh_t3!U23</f>
        <v>Нормальное</v>
      </c>
      <c r="E167" s="133">
        <f>rh_t3!V23</f>
        <v>1</v>
      </c>
      <c r="F167" s="128">
        <f>rh_t3!W23</f>
        <v>0.01</v>
      </c>
      <c r="G167" s="129">
        <f>rh_t3!X23</f>
        <v>1E-4</v>
      </c>
    </row>
    <row r="168" spans="1:7" s="292" customFormat="1" x14ac:dyDescent="0.2">
      <c r="A168" s="436"/>
      <c r="B168" s="112" t="s">
        <v>15</v>
      </c>
      <c r="C168" s="128">
        <f>rh_t3!T24</f>
        <v>0.01</v>
      </c>
      <c r="D168" s="128" t="str">
        <f>rh_t3!U24</f>
        <v>Прямоугольное</v>
      </c>
      <c r="E168" s="133">
        <f>rh_t3!V24</f>
        <v>1.73</v>
      </c>
      <c r="F168" s="128">
        <f>rh_t3!W24</f>
        <v>5.7803468208092491E-3</v>
      </c>
      <c r="G168" s="129">
        <f>rh_t3!X24</f>
        <v>3.3412409368839592E-5</v>
      </c>
    </row>
    <row r="169" spans="1:7" s="292" customFormat="1" ht="25.5" x14ac:dyDescent="0.2">
      <c r="A169" s="436"/>
      <c r="B169" s="112" t="s">
        <v>17</v>
      </c>
      <c r="C169" s="128">
        <f>rh_t3!T25</f>
        <v>0.01</v>
      </c>
      <c r="D169" s="128" t="str">
        <f>rh_t3!U25</f>
        <v>Прямоугольное</v>
      </c>
      <c r="E169" s="133">
        <f>rh_t3!V25</f>
        <v>1.73</v>
      </c>
      <c r="F169" s="128">
        <f>rh_t3!W25</f>
        <v>5.7803468208092491E-3</v>
      </c>
      <c r="G169" s="129">
        <f>rh_t3!X25</f>
        <v>3.3412409368839592E-5</v>
      </c>
    </row>
    <row r="170" spans="1:7" s="292" customFormat="1" x14ac:dyDescent="0.2">
      <c r="A170" s="436"/>
      <c r="B170" s="112" t="s">
        <v>77</v>
      </c>
      <c r="C170" s="128">
        <f>rh_t3!T26</f>
        <v>0.1</v>
      </c>
      <c r="D170" s="128" t="str">
        <f>rh_t3!U26</f>
        <v>Прямоугольное</v>
      </c>
      <c r="E170" s="133">
        <f>rh_t3!V26</f>
        <v>1.73</v>
      </c>
      <c r="F170" s="128">
        <f>rh_t3!W26</f>
        <v>5.7803468208092491E-2</v>
      </c>
      <c r="G170" s="129">
        <f>rh_t3!X26</f>
        <v>3.3412409368839594E-3</v>
      </c>
    </row>
    <row r="171" spans="1:7" s="292" customFormat="1" x14ac:dyDescent="0.2">
      <c r="A171" s="436"/>
      <c r="B171" s="112" t="s">
        <v>19</v>
      </c>
      <c r="C171" s="128">
        <f>rh_t3!T27</f>
        <v>0.02</v>
      </c>
      <c r="D171" s="128" t="str">
        <f>rh_t3!U27</f>
        <v>Прямоугольное</v>
      </c>
      <c r="E171" s="133">
        <f>rh_t3!V27</f>
        <v>1.73</v>
      </c>
      <c r="F171" s="128">
        <f>rh_t3!W27</f>
        <v>1.1560693641618498E-2</v>
      </c>
      <c r="G171" s="129">
        <f>rh_t3!X27</f>
        <v>1.3364963747535837E-4</v>
      </c>
    </row>
    <row r="172" spans="1:7" s="292" customFormat="1" ht="25.5" x14ac:dyDescent="0.2">
      <c r="A172" s="437"/>
      <c r="B172" s="112" t="s">
        <v>78</v>
      </c>
      <c r="C172" s="128">
        <f>rh_t3!T28</f>
        <v>0.01</v>
      </c>
      <c r="D172" s="128" t="str">
        <f>rh_t3!U28</f>
        <v>Прямоугольное</v>
      </c>
      <c r="E172" s="133">
        <f>rh_t3!V28</f>
        <v>1.73</v>
      </c>
      <c r="F172" s="128">
        <f>rh_t3!W28</f>
        <v>5.7803468208092491E-3</v>
      </c>
      <c r="G172" s="129">
        <f>rh_t3!X28</f>
        <v>3.3412409368839592E-5</v>
      </c>
    </row>
    <row r="173" spans="1:7" s="292" customFormat="1" ht="43.5" customHeight="1" x14ac:dyDescent="0.2">
      <c r="A173" s="154" t="s">
        <v>34</v>
      </c>
      <c r="B173" s="127" t="s">
        <v>80</v>
      </c>
      <c r="C173" s="130">
        <f>rh_t3!T29</f>
        <v>0.21599999999997976</v>
      </c>
      <c r="D173" s="130" t="str">
        <f>rh_t3!U29</f>
        <v>Нормальное</v>
      </c>
      <c r="E173" s="134">
        <f>rh_t3!V29</f>
        <v>1</v>
      </c>
      <c r="F173" s="130">
        <f>rh_t3!W29</f>
        <v>0.21599999999997976</v>
      </c>
      <c r="G173" s="129">
        <f>rh_t3!X29</f>
        <v>4.665599999999126E-2</v>
      </c>
    </row>
    <row r="174" spans="1:7" s="292" customFormat="1" x14ac:dyDescent="0.2">
      <c r="A174" s="115"/>
      <c r="B174" s="115"/>
      <c r="C174" s="115"/>
      <c r="D174" s="115"/>
      <c r="E174" s="131"/>
      <c r="F174" s="115"/>
      <c r="G174" s="135"/>
    </row>
    <row r="175" spans="1:7" s="292" customFormat="1" x14ac:dyDescent="0.2">
      <c r="A175" s="78" t="str">
        <f>"Cумма квадратов (σ²): "&amp;""&amp;rh_t3!S33</f>
        <v>Cумма квадратов (σ²): 0,05283113</v>
      </c>
      <c r="B175" s="115"/>
      <c r="C175" s="115"/>
      <c r="D175" s="115"/>
      <c r="E175" s="131"/>
      <c r="F175" s="115"/>
      <c r="G175" s="135"/>
    </row>
    <row r="176" spans="1:7" s="292" customFormat="1" x14ac:dyDescent="0.2">
      <c r="A176" s="79" t="str">
        <f>"Общая среднеквадратичная неопределенность: ±"&amp;""&amp;rh_t3!V33&amp;" %"</f>
        <v>Общая среднеквадратичная неопределенность: ±0,23 %</v>
      </c>
      <c r="B176" s="116"/>
      <c r="C176" s="116"/>
      <c r="D176" s="116"/>
      <c r="E176" s="132"/>
      <c r="F176" s="116"/>
      <c r="G176" s="136"/>
    </row>
    <row r="177" spans="1:7" s="292" customFormat="1" x14ac:dyDescent="0.2">
      <c r="A177" s="82" t="str">
        <f>"Расширенная неопределенность при 95 % доверительной вероятности: ±"&amp;""&amp;rh_t3!X33&amp;" %"</f>
        <v>Расширенная неопределенность при 95 % доверительной вероятности: ±0,46 %</v>
      </c>
      <c r="B177" s="116"/>
      <c r="C177" s="116"/>
      <c r="D177" s="116"/>
      <c r="E177" s="132"/>
      <c r="F177" s="116"/>
      <c r="G177" s="136"/>
    </row>
    <row r="178" spans="1:7" s="292" customFormat="1" x14ac:dyDescent="0.2">
      <c r="A178" s="115"/>
      <c r="B178" s="115"/>
      <c r="C178" s="115"/>
      <c r="D178" s="115"/>
      <c r="E178" s="131"/>
      <c r="F178" s="115"/>
      <c r="G178" s="135"/>
    </row>
    <row r="179" spans="1:7" s="292" customFormat="1" ht="14.25" customHeight="1" x14ac:dyDescent="0.2">
      <c r="A179" s="425" t="s">
        <v>79</v>
      </c>
      <c r="B179" s="425"/>
      <c r="C179" s="425"/>
      <c r="D179" s="425"/>
      <c r="E179" s="425"/>
      <c r="F179" s="425"/>
      <c r="G179" s="425"/>
    </row>
    <row r="180" spans="1:7" s="292" customFormat="1" x14ac:dyDescent="0.2">
      <c r="A180" s="425"/>
      <c r="B180" s="425"/>
      <c r="C180" s="425"/>
      <c r="D180" s="425"/>
      <c r="E180" s="425"/>
      <c r="F180" s="425"/>
      <c r="G180" s="425"/>
    </row>
    <row r="181" spans="1:7" s="292" customFormat="1" x14ac:dyDescent="0.2">
      <c r="A181" s="425"/>
      <c r="B181" s="425"/>
      <c r="C181" s="425"/>
      <c r="D181" s="425"/>
      <c r="E181" s="425"/>
      <c r="F181" s="425"/>
      <c r="G181" s="425"/>
    </row>
    <row r="182" spans="1:7" s="292" customFormat="1" ht="14.25" customHeight="1" x14ac:dyDescent="0.2">
      <c r="A182" s="425"/>
      <c r="B182" s="425"/>
      <c r="C182" s="425"/>
      <c r="D182" s="425"/>
      <c r="E182" s="425"/>
      <c r="F182" s="425"/>
      <c r="G182" s="425"/>
    </row>
    <row r="183" spans="1:7" s="292" customFormat="1" ht="34.5" customHeight="1" x14ac:dyDescent="0.2">
      <c r="A183" s="434" t="str">
        <f>"Таблица Д.11 Расчёт неопределенностей температуры по результам измерения при 
температуре "&amp;""&amp;rh_t3!$C$86&amp;" C° и относительной влажности "&amp;""&amp;rh_t3!$C$39&amp;" %"</f>
        <v>Таблица Д.11 Расчёт неопределенностей температуры по результам измерения при 
температуре 40 C° и относительной влажности 98 %</v>
      </c>
      <c r="B183" s="434"/>
      <c r="C183" s="434"/>
      <c r="D183" s="434"/>
      <c r="E183" s="434"/>
      <c r="F183" s="434"/>
      <c r="G183" s="434"/>
    </row>
    <row r="184" spans="1:7" s="292" customFormat="1" ht="38.25" x14ac:dyDescent="0.2">
      <c r="A184" s="305"/>
      <c r="B184" s="306" t="s">
        <v>7</v>
      </c>
      <c r="C184" s="307" t="s">
        <v>84</v>
      </c>
      <c r="D184" s="306" t="s">
        <v>9</v>
      </c>
      <c r="E184" s="308" t="s">
        <v>10</v>
      </c>
      <c r="F184" s="306" t="s">
        <v>88</v>
      </c>
      <c r="G184" s="309" t="s">
        <v>87</v>
      </c>
    </row>
    <row r="185" spans="1:7" s="292" customFormat="1" ht="25.5" x14ac:dyDescent="0.2">
      <c r="A185" s="435" t="s">
        <v>32</v>
      </c>
      <c r="B185" s="84" t="s">
        <v>33</v>
      </c>
      <c r="C185" s="77">
        <f>rh_t3!T51</f>
        <v>0.1</v>
      </c>
      <c r="D185" s="77" t="str">
        <f>rh_t3!U51</f>
        <v>Нормальное</v>
      </c>
      <c r="E185" s="91">
        <f>rh_t3!V51</f>
        <v>2</v>
      </c>
      <c r="F185" s="77">
        <f>rh_t3!W51</f>
        <v>0.05</v>
      </c>
      <c r="G185" s="86">
        <f>rh_t3!X51</f>
        <v>2.5000000000000005E-3</v>
      </c>
    </row>
    <row r="186" spans="1:7" s="292" customFormat="1" x14ac:dyDescent="0.2">
      <c r="A186" s="436"/>
      <c r="B186" s="84" t="s">
        <v>14</v>
      </c>
      <c r="C186" s="77">
        <f>rh_t3!T52</f>
        <v>0.01</v>
      </c>
      <c r="D186" s="77" t="str">
        <f>rh_t3!U52</f>
        <v>Нормальное</v>
      </c>
      <c r="E186" s="91">
        <f>rh_t3!V52</f>
        <v>1</v>
      </c>
      <c r="F186" s="77">
        <f>rh_t3!W52</f>
        <v>0.01</v>
      </c>
      <c r="G186" s="86">
        <f>rh_t3!X52</f>
        <v>1E-4</v>
      </c>
    </row>
    <row r="187" spans="1:7" s="292" customFormat="1" x14ac:dyDescent="0.2">
      <c r="A187" s="436"/>
      <c r="B187" s="84" t="s">
        <v>15</v>
      </c>
      <c r="C187" s="77">
        <f>rh_t3!T53</f>
        <v>0.01</v>
      </c>
      <c r="D187" s="77" t="str">
        <f>rh_t3!U53</f>
        <v>Прямоугольное</v>
      </c>
      <c r="E187" s="91">
        <f>rh_t3!V53</f>
        <v>1.73</v>
      </c>
      <c r="F187" s="77">
        <f>rh_t3!W53</f>
        <v>5.7803468208092491E-3</v>
      </c>
      <c r="G187" s="86">
        <f>rh_t3!X53</f>
        <v>3.3412409368839592E-5</v>
      </c>
    </row>
    <row r="188" spans="1:7" s="292" customFormat="1" ht="25.5" x14ac:dyDescent="0.2">
      <c r="A188" s="436"/>
      <c r="B188" s="84" t="s">
        <v>17</v>
      </c>
      <c r="C188" s="77">
        <f>rh_t3!T54</f>
        <v>0.01</v>
      </c>
      <c r="D188" s="77" t="str">
        <f>rh_t3!U54</f>
        <v>Прямоугольное</v>
      </c>
      <c r="E188" s="91">
        <f>rh_t3!V54</f>
        <v>1.73</v>
      </c>
      <c r="F188" s="77">
        <f>rh_t3!W54</f>
        <v>5.7803468208092491E-3</v>
      </c>
      <c r="G188" s="86">
        <f>rh_t3!X54</f>
        <v>3.3412409368839592E-5</v>
      </c>
    </row>
    <row r="189" spans="1:7" s="292" customFormat="1" x14ac:dyDescent="0.2">
      <c r="A189" s="436"/>
      <c r="B189" s="84" t="s">
        <v>18</v>
      </c>
      <c r="C189" s="77">
        <f>rh_t3!T55</f>
        <v>0.1</v>
      </c>
      <c r="D189" s="77" t="str">
        <f>rh_t3!U55</f>
        <v>Прямоугольное</v>
      </c>
      <c r="E189" s="91">
        <f>rh_t3!V55</f>
        <v>1.73</v>
      </c>
      <c r="F189" s="77">
        <f>rh_t3!W55</f>
        <v>5.7803468208092491E-2</v>
      </c>
      <c r="G189" s="86">
        <f>rh_t3!X55</f>
        <v>3.3412409368839594E-3</v>
      </c>
    </row>
    <row r="190" spans="1:7" s="292" customFormat="1" x14ac:dyDescent="0.2">
      <c r="A190" s="436"/>
      <c r="B190" s="84" t="s">
        <v>19</v>
      </c>
      <c r="C190" s="77">
        <f>rh_t3!T56</f>
        <v>0.02</v>
      </c>
      <c r="D190" s="77" t="str">
        <f>rh_t3!U56</f>
        <v>Прямоугольное</v>
      </c>
      <c r="E190" s="91">
        <f>rh_t3!V56</f>
        <v>1.73</v>
      </c>
      <c r="F190" s="77">
        <f>rh_t3!W56</f>
        <v>1.1560693641618498E-2</v>
      </c>
      <c r="G190" s="86">
        <f>rh_t3!X56</f>
        <v>1.3364963747535837E-4</v>
      </c>
    </row>
    <row r="191" spans="1:7" s="292" customFormat="1" ht="25.5" x14ac:dyDescent="0.2">
      <c r="A191" s="437"/>
      <c r="B191" s="84" t="s">
        <v>20</v>
      </c>
      <c r="C191" s="77">
        <f>rh_t3!T57</f>
        <v>0.01</v>
      </c>
      <c r="D191" s="77" t="str">
        <f>rh_t3!U57</f>
        <v>Прямоугольное</v>
      </c>
      <c r="E191" s="91">
        <f>rh_t3!V57</f>
        <v>1.73</v>
      </c>
      <c r="F191" s="77">
        <f>rh_t3!W57</f>
        <v>5.7803468208092491E-3</v>
      </c>
      <c r="G191" s="86">
        <f>rh_t3!X57</f>
        <v>3.3412409368839592E-5</v>
      </c>
    </row>
    <row r="192" spans="1:7" s="292" customFormat="1" x14ac:dyDescent="0.2">
      <c r="A192" s="438" t="s">
        <v>34</v>
      </c>
      <c r="B192" s="84" t="s">
        <v>0</v>
      </c>
      <c r="C192" s="77">
        <f>rh_t3!T58</f>
        <v>0.13765721558447</v>
      </c>
      <c r="D192" s="77" t="str">
        <f>rh_t3!U58</f>
        <v>Нормальное</v>
      </c>
      <c r="E192" s="91">
        <f>rh_t3!V58</f>
        <v>1</v>
      </c>
      <c r="F192" s="77">
        <f>rh_t3!W58</f>
        <v>0.13765721558447</v>
      </c>
      <c r="G192" s="86">
        <f>rh_t3!X58</f>
        <v>1.894950900246925E-2</v>
      </c>
    </row>
    <row r="193" spans="1:7" s="292" customFormat="1" ht="25.5" x14ac:dyDescent="0.2">
      <c r="A193" s="439"/>
      <c r="B193" s="84" t="s">
        <v>21</v>
      </c>
      <c r="C193" s="77">
        <f>rh_t3!T59</f>
        <v>9.2428604338699646E-3</v>
      </c>
      <c r="D193" s="77" t="str">
        <f>rh_t3!U59</f>
        <v>Нормальное</v>
      </c>
      <c r="E193" s="91">
        <f>rh_t3!V59</f>
        <v>1</v>
      </c>
      <c r="F193" s="77">
        <f>rh_t3!W59</f>
        <v>9.2428604338699646E-3</v>
      </c>
      <c r="G193" s="86">
        <f>rh_t3!X59</f>
        <v>8.5430468999998872E-5</v>
      </c>
    </row>
    <row r="194" spans="1:7" s="292" customFormat="1" x14ac:dyDescent="0.2">
      <c r="A194" s="440"/>
      <c r="B194" s="84" t="s">
        <v>3</v>
      </c>
      <c r="C194" s="77">
        <f>rh_t3!T60</f>
        <v>3.8045240419348324E-4</v>
      </c>
      <c r="D194" s="77" t="str">
        <f>rh_t3!U60</f>
        <v>Нормальное</v>
      </c>
      <c r="E194" s="91">
        <f>rh_t3!V60</f>
        <v>1</v>
      </c>
      <c r="F194" s="77">
        <f>rh_t3!W60</f>
        <v>3.8045240419348324E-4</v>
      </c>
      <c r="G194" s="86">
        <f>rh_t3!X60</f>
        <v>1.4474403185660156E-7</v>
      </c>
    </row>
    <row r="195" spans="1:7" s="292" customFormat="1" x14ac:dyDescent="0.2">
      <c r="A195" s="76"/>
      <c r="B195" s="76"/>
      <c r="C195" s="88"/>
      <c r="D195" s="76"/>
      <c r="E195" s="81"/>
      <c r="F195" s="76"/>
      <c r="G195" s="85"/>
    </row>
    <row r="196" spans="1:7" s="292" customFormat="1" x14ac:dyDescent="0.2">
      <c r="A196" s="78" t="str">
        <f>"Cумма квадратов (σ²): "&amp;""&amp;rh_t3!$S64</f>
        <v>Cумма квадратов (σ²): 0,02521021</v>
      </c>
      <c r="B196" s="76"/>
      <c r="C196" s="88"/>
      <c r="D196" s="76"/>
      <c r="E196" s="81"/>
      <c r="F196" s="76"/>
      <c r="G196" s="85"/>
    </row>
    <row r="197" spans="1:7" s="292" customFormat="1" x14ac:dyDescent="0.2">
      <c r="A197" s="79" t="str">
        <f>"Общая среднеквадратичная неопределенность (σ): ±"&amp;""&amp;rh_t3!$V64&amp;" °C"</f>
        <v>Общая среднеквадратичная неопределенность (σ): ±0,159 °C</v>
      </c>
      <c r="B197" s="76"/>
      <c r="C197" s="88"/>
      <c r="D197" s="80"/>
      <c r="E197" s="81"/>
      <c r="F197" s="76"/>
      <c r="G197" s="85"/>
    </row>
    <row r="198" spans="1:7" s="292" customFormat="1" x14ac:dyDescent="0.2">
      <c r="A198" s="82" t="str">
        <f>"Расширенная неопределенность при 95 % доверительной вероятности (2σ): ±"&amp;""&amp;rh_t3!$X64&amp;" °C"</f>
        <v>Расширенная неопределенность при 95 % доверительной вероятности (2σ): ±0,318 °C</v>
      </c>
      <c r="B198" s="76"/>
      <c r="C198" s="88"/>
      <c r="D198" s="76"/>
      <c r="E198" s="81"/>
      <c r="F198" s="76"/>
      <c r="G198" s="85"/>
    </row>
    <row r="199" spans="1:7" s="292" customFormat="1" ht="24.75" customHeight="1" x14ac:dyDescent="0.2">
      <c r="A199" s="82"/>
      <c r="B199" s="76"/>
      <c r="C199" s="88"/>
      <c r="D199" s="76"/>
      <c r="E199" s="81"/>
      <c r="F199" s="76"/>
      <c r="G199" s="85"/>
    </row>
    <row r="200" spans="1:7" s="292" customFormat="1" ht="42" customHeight="1" x14ac:dyDescent="0.2">
      <c r="A200" s="434" t="str">
        <f>"Таблица Д.12 Расчёт неопределенностей температуры в каждой точке установки датчиков по результам измерения при температуре "&amp;""&amp;rh_t3!$C$86&amp;" C° и относительной влажности "&amp;""&amp;rh_t3!$C$39&amp;" %"</f>
        <v>Таблица Д.12 Расчёт неопределенностей температуры в каждой точке установки датчиков по результам измерения при температуре 40 C° и относительной влажности 98 %</v>
      </c>
      <c r="B200" s="434"/>
      <c r="C200" s="434"/>
      <c r="D200" s="434"/>
      <c r="E200" s="434"/>
      <c r="F200" s="434"/>
      <c r="G200" s="434"/>
    </row>
    <row r="201" spans="1:7" s="292" customFormat="1" ht="38.25" x14ac:dyDescent="0.2">
      <c r="A201" s="305"/>
      <c r="B201" s="306" t="s">
        <v>7</v>
      </c>
      <c r="C201" s="307" t="s">
        <v>84</v>
      </c>
      <c r="D201" s="306" t="s">
        <v>9</v>
      </c>
      <c r="E201" s="308" t="s">
        <v>10</v>
      </c>
      <c r="F201" s="306" t="s">
        <v>88</v>
      </c>
      <c r="G201" s="309" t="s">
        <v>87</v>
      </c>
    </row>
    <row r="202" spans="1:7" s="292" customFormat="1" ht="25.5" x14ac:dyDescent="0.2">
      <c r="A202" s="422" t="s">
        <v>32</v>
      </c>
      <c r="B202" s="84" t="s">
        <v>33</v>
      </c>
      <c r="C202" s="77">
        <f>rh_t3!T51</f>
        <v>0.1</v>
      </c>
      <c r="D202" s="77" t="str">
        <f>rh_t3!U51</f>
        <v>Нормальное</v>
      </c>
      <c r="E202" s="91">
        <f>rh_t3!V51</f>
        <v>2</v>
      </c>
      <c r="F202" s="77">
        <f>rh_t3!W51</f>
        <v>0.05</v>
      </c>
      <c r="G202" s="86">
        <f>rh_t3!X51</f>
        <v>2.5000000000000005E-3</v>
      </c>
    </row>
    <row r="203" spans="1:7" s="292" customFormat="1" x14ac:dyDescent="0.2">
      <c r="A203" s="423"/>
      <c r="B203" s="84" t="s">
        <v>14</v>
      </c>
      <c r="C203" s="77">
        <f>rh_t3!T52</f>
        <v>0.01</v>
      </c>
      <c r="D203" s="77" t="str">
        <f>rh_t3!U52</f>
        <v>Нормальное</v>
      </c>
      <c r="E203" s="91">
        <f>rh_t3!V52</f>
        <v>1</v>
      </c>
      <c r="F203" s="77">
        <f>rh_t3!W52</f>
        <v>0.01</v>
      </c>
      <c r="G203" s="86">
        <f>rh_t3!X52</f>
        <v>1E-4</v>
      </c>
    </row>
    <row r="204" spans="1:7" s="292" customFormat="1" x14ac:dyDescent="0.2">
      <c r="A204" s="423"/>
      <c r="B204" s="84" t="s">
        <v>15</v>
      </c>
      <c r="C204" s="77">
        <f>rh_t3!T53</f>
        <v>0.01</v>
      </c>
      <c r="D204" s="77" t="str">
        <f>rh_t3!U53</f>
        <v>Прямоугольное</v>
      </c>
      <c r="E204" s="91">
        <f>rh_t3!V53</f>
        <v>1.73</v>
      </c>
      <c r="F204" s="77">
        <f>rh_t3!W53</f>
        <v>5.7803468208092491E-3</v>
      </c>
      <c r="G204" s="86">
        <f>rh_t3!X53</f>
        <v>3.3412409368839592E-5</v>
      </c>
    </row>
    <row r="205" spans="1:7" s="292" customFormat="1" ht="25.5" x14ac:dyDescent="0.2">
      <c r="A205" s="423"/>
      <c r="B205" s="84" t="s">
        <v>17</v>
      </c>
      <c r="C205" s="77">
        <f>rh_t3!T54</f>
        <v>0.01</v>
      </c>
      <c r="D205" s="77" t="str">
        <f>rh_t3!U54</f>
        <v>Прямоугольное</v>
      </c>
      <c r="E205" s="91">
        <f>rh_t3!V54</f>
        <v>1.73</v>
      </c>
      <c r="F205" s="77">
        <f>rh_t3!W54</f>
        <v>5.7803468208092491E-3</v>
      </c>
      <c r="G205" s="86">
        <f>rh_t3!X54</f>
        <v>3.3412409368839592E-5</v>
      </c>
    </row>
    <row r="206" spans="1:7" s="292" customFormat="1" x14ac:dyDescent="0.2">
      <c r="A206" s="423"/>
      <c r="B206" s="84" t="s">
        <v>18</v>
      </c>
      <c r="C206" s="77">
        <f>rh_t3!T55</f>
        <v>0.1</v>
      </c>
      <c r="D206" s="77" t="str">
        <f>rh_t3!U55</f>
        <v>Прямоугольное</v>
      </c>
      <c r="E206" s="91">
        <f>rh_t3!V55</f>
        <v>1.73</v>
      </c>
      <c r="F206" s="77">
        <f>rh_t3!W55</f>
        <v>5.7803468208092491E-2</v>
      </c>
      <c r="G206" s="86">
        <f>rh_t3!X55</f>
        <v>3.3412409368839594E-3</v>
      </c>
    </row>
    <row r="207" spans="1:7" s="292" customFormat="1" x14ac:dyDescent="0.2">
      <c r="A207" s="423"/>
      <c r="B207" s="84" t="s">
        <v>19</v>
      </c>
      <c r="C207" s="77">
        <f>rh_t3!T56</f>
        <v>0.02</v>
      </c>
      <c r="D207" s="77" t="str">
        <f>rh_t3!U56</f>
        <v>Прямоугольное</v>
      </c>
      <c r="E207" s="91">
        <f>rh_t3!V56</f>
        <v>1.73</v>
      </c>
      <c r="F207" s="77">
        <f>rh_t3!W56</f>
        <v>1.1560693641618498E-2</v>
      </c>
      <c r="G207" s="86">
        <f>rh_t3!X56</f>
        <v>1.3364963747535837E-4</v>
      </c>
    </row>
    <row r="208" spans="1:7" s="292" customFormat="1" ht="45" customHeight="1" x14ac:dyDescent="0.2">
      <c r="A208" s="424"/>
      <c r="B208" s="84" t="s">
        <v>20</v>
      </c>
      <c r="C208" s="77">
        <f>rh_t3!T57</f>
        <v>0.01</v>
      </c>
      <c r="D208" s="77" t="str">
        <f>rh_t3!U57</f>
        <v>Прямоугольное</v>
      </c>
      <c r="E208" s="91">
        <f>rh_t3!V57</f>
        <v>1.73</v>
      </c>
      <c r="F208" s="77">
        <f>rh_t3!W57</f>
        <v>5.7803468208092491E-3</v>
      </c>
      <c r="G208" s="86">
        <f>rh_t3!X57</f>
        <v>3.3412409368839592E-5</v>
      </c>
    </row>
    <row r="209" spans="1:7" s="292" customFormat="1" ht="39" x14ac:dyDescent="0.2">
      <c r="A209" s="153" t="s">
        <v>34</v>
      </c>
      <c r="B209" s="84" t="s">
        <v>21</v>
      </c>
      <c r="C209" s="77">
        <f>rh_t3!T58</f>
        <v>0.13765721558447</v>
      </c>
      <c r="D209" s="77" t="str">
        <f>rh_t3!U58</f>
        <v>Нормальное</v>
      </c>
      <c r="E209" s="91">
        <f>rh_t3!V58</f>
        <v>1</v>
      </c>
      <c r="F209" s="77">
        <f>rh_t3!W58</f>
        <v>0.13765721558447</v>
      </c>
      <c r="G209" s="86">
        <f>rh_t3!X58</f>
        <v>1.894950900246925E-2</v>
      </c>
    </row>
    <row r="210" spans="1:7" s="292" customFormat="1" x14ac:dyDescent="0.2">
      <c r="A210" s="83"/>
      <c r="B210" s="83"/>
      <c r="C210" s="89"/>
      <c r="D210" s="83"/>
      <c r="E210" s="92"/>
      <c r="F210" s="83"/>
      <c r="G210" s="87"/>
    </row>
    <row r="211" spans="1:7" s="292" customFormat="1" x14ac:dyDescent="0.2">
      <c r="A211" s="78" t="str">
        <f>"Cумма квадратов (σ²): "&amp;""&amp;rh_t3!$S80</f>
        <v>Cумма квадратов (σ²): 0,00626056</v>
      </c>
      <c r="C211" s="90"/>
      <c r="E211" s="65"/>
      <c r="G211" s="56"/>
    </row>
    <row r="212" spans="1:7" s="292" customFormat="1" x14ac:dyDescent="0.2">
      <c r="A212" s="79" t="str">
        <f>"Общая среднеквадратичная неопределенность (σ): ±"&amp;""&amp;rh_t3!$V80&amp;" °C"</f>
        <v>Общая среднеквадратичная неопределенность (σ): ±0,079 °C</v>
      </c>
      <c r="C212" s="90"/>
      <c r="E212" s="65"/>
      <c r="G212" s="56"/>
    </row>
    <row r="213" spans="1:7" s="292" customFormat="1" x14ac:dyDescent="0.2">
      <c r="A213" s="82" t="str">
        <f>"Расширенная неопределенность при 95 % доверительной вероятности (2σ): ±"&amp;""&amp;rh_t3!$X80&amp;" °C"</f>
        <v>Расширенная неопределенность при 95 % доверительной вероятности (2σ): ±0,158 °C</v>
      </c>
      <c r="C213" s="90"/>
      <c r="E213" s="65"/>
      <c r="G213" s="56"/>
    </row>
    <row r="214" spans="1:7" s="292" customFormat="1" ht="14.25" customHeight="1" x14ac:dyDescent="0.2">
      <c r="C214" s="90"/>
      <c r="E214" s="65"/>
      <c r="G214" s="56"/>
    </row>
    <row r="215" spans="1:7" s="292" customFormat="1" x14ac:dyDescent="0.2">
      <c r="A215" s="425" t="s">
        <v>79</v>
      </c>
      <c r="B215" s="425"/>
      <c r="C215" s="425"/>
      <c r="D215" s="425"/>
      <c r="E215" s="425"/>
      <c r="F215" s="425"/>
      <c r="G215" s="425"/>
    </row>
    <row r="216" spans="1:7" s="292" customFormat="1" x14ac:dyDescent="0.2">
      <c r="A216" s="425"/>
      <c r="B216" s="425"/>
      <c r="C216" s="425"/>
      <c r="D216" s="425"/>
      <c r="E216" s="425"/>
      <c r="F216" s="425"/>
      <c r="G216" s="425"/>
    </row>
    <row r="217" spans="1:7" s="292" customFormat="1" x14ac:dyDescent="0.2">
      <c r="A217" s="425"/>
      <c r="B217" s="425"/>
      <c r="C217" s="425"/>
      <c r="D217" s="425"/>
      <c r="E217" s="425"/>
      <c r="F217" s="425"/>
      <c r="G217" s="425"/>
    </row>
    <row r="218" spans="1:7" s="292" customFormat="1" x14ac:dyDescent="0.2">
      <c r="A218" s="425"/>
      <c r="B218" s="425"/>
      <c r="C218" s="425"/>
      <c r="D218" s="425"/>
      <c r="E218" s="425"/>
      <c r="F218" s="425"/>
      <c r="G218" s="425"/>
    </row>
    <row r="219" spans="1:7" s="292" customFormat="1" x14ac:dyDescent="0.2">
      <c r="A219" s="425"/>
      <c r="B219" s="425"/>
      <c r="C219" s="425"/>
      <c r="D219" s="425"/>
      <c r="E219" s="425"/>
      <c r="F219" s="425"/>
      <c r="G219" s="425"/>
    </row>
    <row r="220" spans="1:7" s="292" customFormat="1" ht="30.75" customHeight="1" x14ac:dyDescent="0.2">
      <c r="A220" s="434" t="str">
        <f>"Таблица Д.13 Расчёт неопределенностей относительной влажности по результам измерения при температуре "&amp;""&amp;rh_t4!$C$86&amp;" C° и относительной влажности "&amp;""&amp;rh_t4!$C$39&amp;" %."</f>
        <v>Таблица Д.13 Расчёт неопределенностей относительной влажности по результам измерения при температуре 40 C° и относительной влажности 98 %.</v>
      </c>
      <c r="B220" s="434"/>
      <c r="C220" s="434"/>
      <c r="D220" s="434"/>
      <c r="E220" s="434"/>
      <c r="F220" s="434"/>
      <c r="G220" s="434"/>
    </row>
    <row r="221" spans="1:7" s="292" customFormat="1" ht="38.25" x14ac:dyDescent="0.2">
      <c r="A221" s="305"/>
      <c r="B221" s="306" t="s">
        <v>7</v>
      </c>
      <c r="C221" s="307" t="s">
        <v>84</v>
      </c>
      <c r="D221" s="306" t="s">
        <v>9</v>
      </c>
      <c r="E221" s="308" t="s">
        <v>10</v>
      </c>
      <c r="F221" s="306" t="s">
        <v>88</v>
      </c>
      <c r="G221" s="309" t="s">
        <v>87</v>
      </c>
    </row>
    <row r="222" spans="1:7" s="292" customFormat="1" ht="25.5" x14ac:dyDescent="0.2">
      <c r="A222" s="441" t="s">
        <v>32</v>
      </c>
      <c r="B222" s="112" t="s">
        <v>76</v>
      </c>
      <c r="C222" s="118">
        <f>rh_t4!T4</f>
        <v>0.1</v>
      </c>
      <c r="D222" s="118" t="str">
        <f>rh_t4!U4</f>
        <v>Нормальное</v>
      </c>
      <c r="E222" s="125">
        <f>rh_t4!V4</f>
        <v>2</v>
      </c>
      <c r="F222" s="118">
        <f>rh_t4!W4</f>
        <v>0.05</v>
      </c>
      <c r="G222" s="117">
        <f>rh_t4!X4</f>
        <v>2.5000000000000005E-3</v>
      </c>
    </row>
    <row r="223" spans="1:7" s="292" customFormat="1" x14ac:dyDescent="0.2">
      <c r="A223" s="442"/>
      <c r="B223" s="112" t="s">
        <v>14</v>
      </c>
      <c r="C223" s="118">
        <f>rh_t4!T5</f>
        <v>0.01</v>
      </c>
      <c r="D223" s="118" t="str">
        <f>rh_t4!U5</f>
        <v>Нормальное</v>
      </c>
      <c r="E223" s="125">
        <f>rh_t4!V5</f>
        <v>1</v>
      </c>
      <c r="F223" s="118">
        <f>rh_t4!W5</f>
        <v>0.01</v>
      </c>
      <c r="G223" s="117">
        <f>rh_t4!X5</f>
        <v>1E-4</v>
      </c>
    </row>
    <row r="224" spans="1:7" s="292" customFormat="1" x14ac:dyDescent="0.2">
      <c r="A224" s="442"/>
      <c r="B224" s="112" t="s">
        <v>15</v>
      </c>
      <c r="C224" s="118">
        <f>rh_t4!T6</f>
        <v>0.01</v>
      </c>
      <c r="D224" s="118" t="str">
        <f>rh_t4!U6</f>
        <v>Прямоугольное</v>
      </c>
      <c r="E224" s="125">
        <f>rh_t4!V6</f>
        <v>1.73</v>
      </c>
      <c r="F224" s="118">
        <f>rh_t4!W6</f>
        <v>5.7803468208092491E-3</v>
      </c>
      <c r="G224" s="117">
        <f>rh_t4!X6</f>
        <v>3.3412409368839592E-5</v>
      </c>
    </row>
    <row r="225" spans="1:7" s="292" customFormat="1" ht="25.5" x14ac:dyDescent="0.2">
      <c r="A225" s="442"/>
      <c r="B225" s="112" t="s">
        <v>17</v>
      </c>
      <c r="C225" s="118">
        <f>rh_t4!T7</f>
        <v>0.01</v>
      </c>
      <c r="D225" s="118" t="str">
        <f>rh_t4!U7</f>
        <v>Прямоугольное</v>
      </c>
      <c r="E225" s="125">
        <f>rh_t4!V7</f>
        <v>1.73</v>
      </c>
      <c r="F225" s="118">
        <f>rh_t4!W7</f>
        <v>5.7803468208092491E-3</v>
      </c>
      <c r="G225" s="117">
        <f>rh_t4!X7</f>
        <v>3.3412409368839592E-5</v>
      </c>
    </row>
    <row r="226" spans="1:7" s="292" customFormat="1" x14ac:dyDescent="0.2">
      <c r="A226" s="442"/>
      <c r="B226" s="112" t="s">
        <v>77</v>
      </c>
      <c r="C226" s="118">
        <f>rh_t4!T8</f>
        <v>0.1</v>
      </c>
      <c r="D226" s="118" t="str">
        <f>rh_t4!U8</f>
        <v>Прямоугольное</v>
      </c>
      <c r="E226" s="125">
        <f>rh_t4!V8</f>
        <v>1.73</v>
      </c>
      <c r="F226" s="118">
        <f>rh_t4!W8</f>
        <v>5.7803468208092491E-2</v>
      </c>
      <c r="G226" s="117">
        <f>rh_t4!X8</f>
        <v>3.3412409368839594E-3</v>
      </c>
    </row>
    <row r="227" spans="1:7" s="292" customFormat="1" x14ac:dyDescent="0.2">
      <c r="A227" s="442"/>
      <c r="B227" s="112" t="s">
        <v>19</v>
      </c>
      <c r="C227" s="118">
        <f>rh_t4!T9</f>
        <v>0.02</v>
      </c>
      <c r="D227" s="118" t="str">
        <f>rh_t4!U9</f>
        <v>Прямоугольное</v>
      </c>
      <c r="E227" s="125">
        <f>rh_t4!V9</f>
        <v>1.73</v>
      </c>
      <c r="F227" s="118">
        <f>rh_t4!W9</f>
        <v>1.1560693641618498E-2</v>
      </c>
      <c r="G227" s="117">
        <f>rh_t4!X9</f>
        <v>1.3364963747535837E-4</v>
      </c>
    </row>
    <row r="228" spans="1:7" s="292" customFormat="1" ht="25.5" x14ac:dyDescent="0.2">
      <c r="A228" s="443"/>
      <c r="B228" s="112" t="s">
        <v>78</v>
      </c>
      <c r="C228" s="118">
        <f>rh_t4!T40</f>
        <v>0</v>
      </c>
      <c r="D228" s="118" t="str">
        <f>rh_t4!U10</f>
        <v>Прямоугольное</v>
      </c>
      <c r="E228" s="125">
        <f>rh_t4!V10</f>
        <v>1.73</v>
      </c>
      <c r="F228" s="118">
        <f>rh_t4!W10</f>
        <v>5.7803468208092491E-3</v>
      </c>
      <c r="G228" s="117">
        <f>rh_t4!X10</f>
        <v>3.3412409368839592E-5</v>
      </c>
    </row>
    <row r="229" spans="1:7" s="292" customFormat="1" ht="25.5" x14ac:dyDescent="0.2">
      <c r="A229" s="431" t="s">
        <v>34</v>
      </c>
      <c r="B229" s="112" t="s">
        <v>80</v>
      </c>
      <c r="C229" s="118">
        <f>rh_t4!T41</f>
        <v>0</v>
      </c>
      <c r="D229" s="118" t="str">
        <f>rh_t4!U11</f>
        <v>Нормальное</v>
      </c>
      <c r="E229" s="125">
        <f>rh_t4!V11</f>
        <v>1</v>
      </c>
      <c r="F229" s="118">
        <f>rh_t4!W11</f>
        <v>0.288097205817756</v>
      </c>
      <c r="G229" s="117">
        <f>rh_t4!X11</f>
        <v>8.2999999999998464E-2</v>
      </c>
    </row>
    <row r="230" spans="1:7" s="292" customFormat="1" ht="25.5" x14ac:dyDescent="0.2">
      <c r="A230" s="432"/>
      <c r="B230" s="113" t="s">
        <v>81</v>
      </c>
      <c r="C230" s="118">
        <f>rh_t4!T42</f>
        <v>0</v>
      </c>
      <c r="D230" s="118" t="str">
        <f>rh_t4!U12</f>
        <v>Нормальное</v>
      </c>
      <c r="E230" s="125">
        <f>rh_t4!V12</f>
        <v>1</v>
      </c>
      <c r="F230" s="118">
        <f>rh_t4!W12</f>
        <v>0.21599999999997976</v>
      </c>
      <c r="G230" s="117">
        <f>rh_t4!X12</f>
        <v>4.665599999999126E-2</v>
      </c>
    </row>
    <row r="231" spans="1:7" s="292" customFormat="1" x14ac:dyDescent="0.2">
      <c r="A231" s="433"/>
      <c r="B231" s="114" t="s">
        <v>3</v>
      </c>
      <c r="C231" s="119">
        <f>rh_t4!T43</f>
        <v>0</v>
      </c>
      <c r="D231" s="119" t="str">
        <f>rh_t4!U13</f>
        <v>Нормальное</v>
      </c>
      <c r="E231" s="126">
        <f>rh_t4!V13</f>
        <v>1</v>
      </c>
      <c r="F231" s="119">
        <f>rh_t4!W13</f>
        <v>3.2885893473255522E-3</v>
      </c>
      <c r="G231" s="117">
        <f>rh_t4!X13</f>
        <v>1.0814819895343101E-5</v>
      </c>
    </row>
    <row r="232" spans="1:7" s="292" customFormat="1" x14ac:dyDescent="0.2">
      <c r="A232" s="115"/>
      <c r="B232" s="115"/>
      <c r="C232" s="115"/>
      <c r="D232" s="115"/>
      <c r="E232" s="131"/>
      <c r="F232" s="115"/>
      <c r="G232" s="135"/>
    </row>
    <row r="233" spans="1:7" s="292" customFormat="1" x14ac:dyDescent="0.2">
      <c r="A233" s="78" t="str">
        <f>"Cумма квадратов (σ²): "&amp;""&amp;rh_t4!S17</f>
        <v>Cумма квадратов (σ²): 0,13584194</v>
      </c>
      <c r="B233" s="115"/>
      <c r="C233" s="115"/>
      <c r="D233" s="115"/>
      <c r="E233" s="131"/>
      <c r="F233" s="115"/>
      <c r="G233" s="135"/>
    </row>
    <row r="234" spans="1:7" s="292" customFormat="1" x14ac:dyDescent="0.2">
      <c r="A234" s="79" t="str">
        <f>"Общая среднеквадратичная неопределенность: ±"&amp;""&amp;rh_t4!V17&amp;" %"</f>
        <v>Общая среднеквадратичная неопределенность: ±0,369 %</v>
      </c>
      <c r="B234" s="116"/>
      <c r="C234" s="116"/>
      <c r="D234" s="116"/>
      <c r="E234" s="132"/>
      <c r="F234" s="116"/>
      <c r="G234" s="136"/>
    </row>
    <row r="235" spans="1:7" s="292" customFormat="1" x14ac:dyDescent="0.2">
      <c r="A235" s="82" t="str">
        <f>"Расширенная неопределенность при 95 % доверительной вероятности: ±"&amp;""&amp;rh_t4!X17&amp;" %"</f>
        <v>Расширенная неопределенность при 95 % доверительной вероятности: ±0,737 %</v>
      </c>
      <c r="B235" s="116"/>
      <c r="C235" s="116"/>
      <c r="D235" s="116"/>
      <c r="E235" s="132"/>
      <c r="F235" s="116"/>
      <c r="G235" s="136"/>
    </row>
    <row r="236" spans="1:7" s="292" customFormat="1" x14ac:dyDescent="0.2">
      <c r="A236" s="116"/>
      <c r="B236" s="116"/>
      <c r="C236" s="116"/>
      <c r="D236" s="116"/>
      <c r="E236" s="132"/>
      <c r="F236" s="116"/>
      <c r="G236" s="136"/>
    </row>
    <row r="237" spans="1:7" s="292" customFormat="1" ht="42.75" customHeight="1" x14ac:dyDescent="0.2">
      <c r="A237" s="434" t="str">
        <f>"Таблица Д.14 Расчёт неопределенностей относительной влажности в каждой точке установки датчиков по результам измерения при температуре "&amp;""&amp;rh_t4!$C$86&amp;" C° и относительной влажности "&amp;""&amp;rh_t4!$C$39&amp;" %"</f>
        <v>Таблица Д.14 Расчёт неопределенностей относительной влажности в каждой точке установки датчиков по результам измерения при температуре 40 C° и относительной влажности 98 %</v>
      </c>
      <c r="B237" s="434"/>
      <c r="C237" s="434"/>
      <c r="D237" s="434"/>
      <c r="E237" s="434"/>
      <c r="F237" s="434"/>
      <c r="G237" s="434"/>
    </row>
    <row r="238" spans="1:7" s="292" customFormat="1" ht="55.5" customHeight="1" x14ac:dyDescent="0.2">
      <c r="A238" s="305"/>
      <c r="B238" s="306" t="s">
        <v>7</v>
      </c>
      <c r="C238" s="307" t="s">
        <v>84</v>
      </c>
      <c r="D238" s="306" t="s">
        <v>9</v>
      </c>
      <c r="E238" s="308" t="s">
        <v>10</v>
      </c>
      <c r="F238" s="306" t="s">
        <v>88</v>
      </c>
      <c r="G238" s="309" t="s">
        <v>87</v>
      </c>
    </row>
    <row r="239" spans="1:7" s="292" customFormat="1" ht="25.5" x14ac:dyDescent="0.2">
      <c r="A239" s="435" t="s">
        <v>32</v>
      </c>
      <c r="B239" s="112" t="s">
        <v>76</v>
      </c>
      <c r="C239" s="128">
        <f>rh_t4!T22</f>
        <v>0.1</v>
      </c>
      <c r="D239" s="128" t="str">
        <f>rh_t4!U22</f>
        <v>Нормальное</v>
      </c>
      <c r="E239" s="133">
        <f>rh_t4!V22</f>
        <v>2</v>
      </c>
      <c r="F239" s="128">
        <f>rh_t4!W22</f>
        <v>0.05</v>
      </c>
      <c r="G239" s="129">
        <f>rh_t4!X22</f>
        <v>2.5000000000000005E-3</v>
      </c>
    </row>
    <row r="240" spans="1:7" s="292" customFormat="1" x14ac:dyDescent="0.2">
      <c r="A240" s="436"/>
      <c r="B240" s="112" t="s">
        <v>14</v>
      </c>
      <c r="C240" s="128">
        <f>rh_t4!T23</f>
        <v>0.01</v>
      </c>
      <c r="D240" s="128" t="str">
        <f>rh_t4!U23</f>
        <v>Нормальное</v>
      </c>
      <c r="E240" s="133">
        <f>rh_t4!V23</f>
        <v>1</v>
      </c>
      <c r="F240" s="128">
        <f>rh_t4!W23</f>
        <v>0.01</v>
      </c>
      <c r="G240" s="129">
        <f>rh_t4!X23</f>
        <v>1E-4</v>
      </c>
    </row>
    <row r="241" spans="1:7" s="292" customFormat="1" x14ac:dyDescent="0.2">
      <c r="A241" s="436"/>
      <c r="B241" s="112" t="s">
        <v>15</v>
      </c>
      <c r="C241" s="128">
        <f>rh_t4!T24</f>
        <v>0.01</v>
      </c>
      <c r="D241" s="128" t="str">
        <f>rh_t4!U24</f>
        <v>Прямоугольное</v>
      </c>
      <c r="E241" s="133">
        <f>rh_t4!V24</f>
        <v>1.73</v>
      </c>
      <c r="F241" s="128">
        <f>rh_t4!W24</f>
        <v>5.7803468208092491E-3</v>
      </c>
      <c r="G241" s="129">
        <f>rh_t4!X24</f>
        <v>3.3412409368839592E-5</v>
      </c>
    </row>
    <row r="242" spans="1:7" s="292" customFormat="1" ht="25.5" x14ac:dyDescent="0.2">
      <c r="A242" s="436"/>
      <c r="B242" s="112" t="s">
        <v>17</v>
      </c>
      <c r="C242" s="128">
        <f>rh_t4!T25</f>
        <v>0.01</v>
      </c>
      <c r="D242" s="128" t="str">
        <f>rh_t4!U25</f>
        <v>Прямоугольное</v>
      </c>
      <c r="E242" s="133">
        <f>rh_t4!V25</f>
        <v>1.73</v>
      </c>
      <c r="F242" s="128">
        <f>rh_t4!W25</f>
        <v>5.7803468208092491E-3</v>
      </c>
      <c r="G242" s="129">
        <f>rh_t4!X25</f>
        <v>3.3412409368839592E-5</v>
      </c>
    </row>
    <row r="243" spans="1:7" s="292" customFormat="1" x14ac:dyDescent="0.2">
      <c r="A243" s="436"/>
      <c r="B243" s="112" t="s">
        <v>77</v>
      </c>
      <c r="C243" s="128">
        <f>rh_t4!T26</f>
        <v>0.1</v>
      </c>
      <c r="D243" s="128" t="str">
        <f>rh_t4!U26</f>
        <v>Прямоугольное</v>
      </c>
      <c r="E243" s="133">
        <f>rh_t4!V26</f>
        <v>1.73</v>
      </c>
      <c r="F243" s="128">
        <f>rh_t4!W26</f>
        <v>5.7803468208092491E-2</v>
      </c>
      <c r="G243" s="129">
        <f>rh_t4!X26</f>
        <v>3.3412409368839594E-3</v>
      </c>
    </row>
    <row r="244" spans="1:7" s="292" customFormat="1" x14ac:dyDescent="0.2">
      <c r="A244" s="436"/>
      <c r="B244" s="112" t="s">
        <v>19</v>
      </c>
      <c r="C244" s="128">
        <f>rh_t4!T27</f>
        <v>0.02</v>
      </c>
      <c r="D244" s="128" t="str">
        <f>rh_t4!U27</f>
        <v>Прямоугольное</v>
      </c>
      <c r="E244" s="133">
        <f>rh_t4!V27</f>
        <v>1.73</v>
      </c>
      <c r="F244" s="128">
        <f>rh_t4!W27</f>
        <v>1.1560693641618498E-2</v>
      </c>
      <c r="G244" s="129">
        <f>rh_t4!X27</f>
        <v>1.3364963747535837E-4</v>
      </c>
    </row>
    <row r="245" spans="1:7" s="292" customFormat="1" ht="25.5" x14ac:dyDescent="0.2">
      <c r="A245" s="437"/>
      <c r="B245" s="112" t="s">
        <v>78</v>
      </c>
      <c r="C245" s="128">
        <f>rh_t4!T28</f>
        <v>0.01</v>
      </c>
      <c r="D245" s="128" t="str">
        <f>rh_t4!U28</f>
        <v>Прямоугольное</v>
      </c>
      <c r="E245" s="133">
        <f>rh_t4!V28</f>
        <v>1.73</v>
      </c>
      <c r="F245" s="128">
        <f>rh_t4!W28</f>
        <v>5.7803468208092491E-3</v>
      </c>
      <c r="G245" s="129">
        <f>rh_t4!X28</f>
        <v>3.3412409368839592E-5</v>
      </c>
    </row>
    <row r="246" spans="1:7" s="292" customFormat="1" ht="43.5" customHeight="1" x14ac:dyDescent="0.2">
      <c r="A246" s="154" t="s">
        <v>34</v>
      </c>
      <c r="B246" s="127" t="s">
        <v>80</v>
      </c>
      <c r="C246" s="130">
        <f>rh_t4!T29</f>
        <v>0.21599999999997976</v>
      </c>
      <c r="D246" s="130" t="str">
        <f>rh_t4!U29</f>
        <v>Нормальное</v>
      </c>
      <c r="E246" s="134">
        <f>rh_t4!V29</f>
        <v>1</v>
      </c>
      <c r="F246" s="130">
        <f>rh_t4!W29</f>
        <v>0.21599999999997976</v>
      </c>
      <c r="G246" s="129">
        <f>rh_t4!X29</f>
        <v>4.665599999999126E-2</v>
      </c>
    </row>
    <row r="247" spans="1:7" s="292" customFormat="1" x14ac:dyDescent="0.2">
      <c r="A247" s="115"/>
      <c r="B247" s="115"/>
      <c r="C247" s="115"/>
      <c r="D247" s="115"/>
      <c r="E247" s="131"/>
      <c r="F247" s="115"/>
      <c r="G247" s="135"/>
    </row>
    <row r="248" spans="1:7" s="292" customFormat="1" x14ac:dyDescent="0.2">
      <c r="A248" s="78" t="str">
        <f>"Cумма квадратов (σ²): "&amp;""&amp;rh_t4!S33</f>
        <v>Cумма квадратов (σ²): 0,05283113</v>
      </c>
      <c r="B248" s="115"/>
      <c r="C248" s="115"/>
      <c r="D248" s="115"/>
      <c r="E248" s="131"/>
      <c r="F248" s="115"/>
      <c r="G248" s="135"/>
    </row>
    <row r="249" spans="1:7" s="292" customFormat="1" x14ac:dyDescent="0.2">
      <c r="A249" s="79" t="str">
        <f>"Общая среднеквадратичная неопределенность: ±"&amp;""&amp;rh_t4!V33&amp;" %"</f>
        <v>Общая среднеквадратичная неопределенность: ±0,23 %</v>
      </c>
      <c r="B249" s="116"/>
      <c r="C249" s="116"/>
      <c r="D249" s="116"/>
      <c r="E249" s="132"/>
      <c r="F249" s="116"/>
      <c r="G249" s="136"/>
    </row>
    <row r="250" spans="1:7" s="292" customFormat="1" x14ac:dyDescent="0.2">
      <c r="A250" s="82" t="str">
        <f>"Расширенная неопределенность при 95 % доверительной вероятности: ±"&amp;""&amp;rh_t4!X33&amp;" %"</f>
        <v>Расширенная неопределенность при 95 % доверительной вероятности: ±0,46 %</v>
      </c>
      <c r="B250" s="116"/>
      <c r="C250" s="116"/>
      <c r="D250" s="116"/>
      <c r="E250" s="132"/>
      <c r="F250" s="116"/>
      <c r="G250" s="136"/>
    </row>
    <row r="251" spans="1:7" s="292" customFormat="1" x14ac:dyDescent="0.2">
      <c r="A251" s="115"/>
      <c r="B251" s="115"/>
      <c r="C251" s="115"/>
      <c r="D251" s="115"/>
      <c r="E251" s="131"/>
      <c r="F251" s="115"/>
      <c r="G251" s="135"/>
    </row>
    <row r="252" spans="1:7" s="292" customFormat="1" ht="14.25" customHeight="1" x14ac:dyDescent="0.2">
      <c r="A252" s="425" t="s">
        <v>79</v>
      </c>
      <c r="B252" s="425"/>
      <c r="C252" s="425"/>
      <c r="D252" s="425"/>
      <c r="E252" s="425"/>
      <c r="F252" s="425"/>
      <c r="G252" s="425"/>
    </row>
    <row r="253" spans="1:7" s="292" customFormat="1" x14ac:dyDescent="0.2">
      <c r="A253" s="425"/>
      <c r="B253" s="425"/>
      <c r="C253" s="425"/>
      <c r="D253" s="425"/>
      <c r="E253" s="425"/>
      <c r="F253" s="425"/>
      <c r="G253" s="425"/>
    </row>
    <row r="254" spans="1:7" s="292" customFormat="1" x14ac:dyDescent="0.2">
      <c r="A254" s="425"/>
      <c r="B254" s="425"/>
      <c r="C254" s="425"/>
      <c r="D254" s="425"/>
      <c r="E254" s="425"/>
      <c r="F254" s="425"/>
      <c r="G254" s="425"/>
    </row>
    <row r="255" spans="1:7" s="292" customFormat="1" ht="14.25" customHeight="1" x14ac:dyDescent="0.2">
      <c r="A255" s="425"/>
      <c r="B255" s="425"/>
      <c r="C255" s="425"/>
      <c r="D255" s="425"/>
      <c r="E255" s="425"/>
      <c r="F255" s="425"/>
      <c r="G255" s="425"/>
    </row>
    <row r="256" spans="1:7" s="292" customFormat="1" ht="34.5" customHeight="1" x14ac:dyDescent="0.2">
      <c r="A256" s="434" t="str">
        <f>"Таблица Д.15 Расчёт неопределенностей температуры по результам измерения при 
температуре "&amp;""&amp;rh_t4!$C$86&amp;" C° и относительной влажности "&amp;""&amp;rh_t4!$C$39&amp;" %"</f>
        <v>Таблица Д.15 Расчёт неопределенностей температуры по результам измерения при 
температуре 40 C° и относительной влажности 98 %</v>
      </c>
      <c r="B256" s="434"/>
      <c r="C256" s="434"/>
      <c r="D256" s="434"/>
      <c r="E256" s="434"/>
      <c r="F256" s="434"/>
      <c r="G256" s="434"/>
    </row>
    <row r="257" spans="1:7" s="292" customFormat="1" ht="38.25" x14ac:dyDescent="0.2">
      <c r="A257" s="305"/>
      <c r="B257" s="306" t="s">
        <v>7</v>
      </c>
      <c r="C257" s="307" t="s">
        <v>84</v>
      </c>
      <c r="D257" s="306" t="s">
        <v>9</v>
      </c>
      <c r="E257" s="308" t="s">
        <v>10</v>
      </c>
      <c r="F257" s="306" t="s">
        <v>88</v>
      </c>
      <c r="G257" s="309" t="s">
        <v>87</v>
      </c>
    </row>
    <row r="258" spans="1:7" s="292" customFormat="1" ht="25.5" x14ac:dyDescent="0.2">
      <c r="A258" s="435" t="s">
        <v>32</v>
      </c>
      <c r="B258" s="84" t="s">
        <v>33</v>
      </c>
      <c r="C258" s="77">
        <f>rh_t4!T51</f>
        <v>0.1</v>
      </c>
      <c r="D258" s="77" t="str">
        <f>rh_t4!U51</f>
        <v>Нормальное</v>
      </c>
      <c r="E258" s="91">
        <f>rh_t4!V51</f>
        <v>2</v>
      </c>
      <c r="F258" s="77">
        <f>rh_t4!W51</f>
        <v>0.05</v>
      </c>
      <c r="G258" s="86">
        <f>rh_t4!X51</f>
        <v>2.5000000000000005E-3</v>
      </c>
    </row>
    <row r="259" spans="1:7" s="292" customFormat="1" x14ac:dyDescent="0.2">
      <c r="A259" s="436"/>
      <c r="B259" s="84" t="s">
        <v>14</v>
      </c>
      <c r="C259" s="77">
        <f>rh_t4!T52</f>
        <v>0.01</v>
      </c>
      <c r="D259" s="77" t="str">
        <f>rh_t4!U52</f>
        <v>Нормальное</v>
      </c>
      <c r="E259" s="91">
        <f>rh_t4!V52</f>
        <v>1</v>
      </c>
      <c r="F259" s="77">
        <f>rh_t4!W52</f>
        <v>0.01</v>
      </c>
      <c r="G259" s="86">
        <f>rh_t4!X52</f>
        <v>1E-4</v>
      </c>
    </row>
    <row r="260" spans="1:7" s="292" customFormat="1" x14ac:dyDescent="0.2">
      <c r="A260" s="436"/>
      <c r="B260" s="84" t="s">
        <v>15</v>
      </c>
      <c r="C260" s="77">
        <f>rh_t4!T53</f>
        <v>0.01</v>
      </c>
      <c r="D260" s="77" t="str">
        <f>rh_t4!U53</f>
        <v>Прямоугольное</v>
      </c>
      <c r="E260" s="91">
        <f>rh_t4!V53</f>
        <v>1.73</v>
      </c>
      <c r="F260" s="77">
        <f>rh_t4!W53</f>
        <v>5.7803468208092491E-3</v>
      </c>
      <c r="G260" s="86">
        <f>rh_t4!X53</f>
        <v>3.3412409368839592E-5</v>
      </c>
    </row>
    <row r="261" spans="1:7" s="292" customFormat="1" ht="25.5" x14ac:dyDescent="0.2">
      <c r="A261" s="436"/>
      <c r="B261" s="84" t="s">
        <v>17</v>
      </c>
      <c r="C261" s="77">
        <f>rh_t4!T54</f>
        <v>0.01</v>
      </c>
      <c r="D261" s="77" t="str">
        <f>rh_t4!U54</f>
        <v>Прямоугольное</v>
      </c>
      <c r="E261" s="91">
        <f>rh_t4!V54</f>
        <v>1.73</v>
      </c>
      <c r="F261" s="77">
        <f>rh_t4!W54</f>
        <v>5.7803468208092491E-3</v>
      </c>
      <c r="G261" s="86">
        <f>rh_t4!X54</f>
        <v>3.3412409368839592E-5</v>
      </c>
    </row>
    <row r="262" spans="1:7" s="292" customFormat="1" x14ac:dyDescent="0.2">
      <c r="A262" s="436"/>
      <c r="B262" s="84" t="s">
        <v>18</v>
      </c>
      <c r="C262" s="77">
        <f>rh_t4!T55</f>
        <v>0.1</v>
      </c>
      <c r="D262" s="77" t="str">
        <f>rh_t4!U55</f>
        <v>Прямоугольное</v>
      </c>
      <c r="E262" s="91">
        <f>rh_t4!V55</f>
        <v>1.73</v>
      </c>
      <c r="F262" s="77">
        <f>rh_t4!W55</f>
        <v>5.7803468208092491E-2</v>
      </c>
      <c r="G262" s="86">
        <f>rh_t4!X55</f>
        <v>3.3412409368839594E-3</v>
      </c>
    </row>
    <row r="263" spans="1:7" s="292" customFormat="1" x14ac:dyDescent="0.2">
      <c r="A263" s="436"/>
      <c r="B263" s="84" t="s">
        <v>19</v>
      </c>
      <c r="C263" s="77">
        <f>rh_t4!T56</f>
        <v>0.02</v>
      </c>
      <c r="D263" s="77" t="str">
        <f>rh_t4!U56</f>
        <v>Прямоугольное</v>
      </c>
      <c r="E263" s="91">
        <f>rh_t4!V56</f>
        <v>1.73</v>
      </c>
      <c r="F263" s="77">
        <f>rh_t4!W56</f>
        <v>1.1560693641618498E-2</v>
      </c>
      <c r="G263" s="86">
        <f>rh_t4!X56</f>
        <v>1.3364963747535837E-4</v>
      </c>
    </row>
    <row r="264" spans="1:7" s="292" customFormat="1" ht="25.5" x14ac:dyDescent="0.2">
      <c r="A264" s="437"/>
      <c r="B264" s="84" t="s">
        <v>20</v>
      </c>
      <c r="C264" s="77">
        <f>rh_t4!T57</f>
        <v>0.01</v>
      </c>
      <c r="D264" s="77" t="str">
        <f>rh_t4!U57</f>
        <v>Прямоугольное</v>
      </c>
      <c r="E264" s="91">
        <f>rh_t4!V57</f>
        <v>1.73</v>
      </c>
      <c r="F264" s="77">
        <f>rh_t4!W57</f>
        <v>5.7803468208092491E-3</v>
      </c>
      <c r="G264" s="86">
        <f>rh_t4!X57</f>
        <v>3.3412409368839592E-5</v>
      </c>
    </row>
    <row r="265" spans="1:7" s="292" customFormat="1" x14ac:dyDescent="0.2">
      <c r="A265" s="438" t="s">
        <v>34</v>
      </c>
      <c r="B265" s="84" t="s">
        <v>0</v>
      </c>
      <c r="C265" s="77">
        <f>rh_t4!T58</f>
        <v>0.13765721558447</v>
      </c>
      <c r="D265" s="77" t="str">
        <f>rh_t4!U58</f>
        <v>Нормальное</v>
      </c>
      <c r="E265" s="91">
        <f>rh_t4!V58</f>
        <v>1</v>
      </c>
      <c r="F265" s="77">
        <f>rh_t4!W58</f>
        <v>0.13765721558447</v>
      </c>
      <c r="G265" s="86">
        <f>rh_t4!X58</f>
        <v>1.894950900246925E-2</v>
      </c>
    </row>
    <row r="266" spans="1:7" s="292" customFormat="1" ht="25.5" x14ac:dyDescent="0.2">
      <c r="A266" s="439"/>
      <c r="B266" s="84" t="s">
        <v>21</v>
      </c>
      <c r="C266" s="77">
        <f>rh_t4!T59</f>
        <v>9.2428604338699646E-3</v>
      </c>
      <c r="D266" s="77" t="str">
        <f>rh_t4!U59</f>
        <v>Нормальное</v>
      </c>
      <c r="E266" s="91">
        <f>rh_t4!V59</f>
        <v>1</v>
      </c>
      <c r="F266" s="77">
        <f>rh_t4!W59</f>
        <v>9.2428604338699646E-3</v>
      </c>
      <c r="G266" s="86">
        <f>rh_t4!X59</f>
        <v>8.5430468999998872E-5</v>
      </c>
    </row>
    <row r="267" spans="1:7" s="292" customFormat="1" x14ac:dyDescent="0.2">
      <c r="A267" s="440"/>
      <c r="B267" s="84" t="s">
        <v>3</v>
      </c>
      <c r="C267" s="77">
        <f>rh_t4!T60</f>
        <v>3.8045240419348324E-4</v>
      </c>
      <c r="D267" s="77" t="str">
        <f>rh_t4!U60</f>
        <v>Нормальное</v>
      </c>
      <c r="E267" s="91">
        <f>rh_t4!V60</f>
        <v>1</v>
      </c>
      <c r="F267" s="77">
        <f>rh_t4!W60</f>
        <v>3.8045240419348324E-4</v>
      </c>
      <c r="G267" s="86">
        <f>rh_t4!X60</f>
        <v>1.4474403185660156E-7</v>
      </c>
    </row>
    <row r="268" spans="1:7" s="292" customFormat="1" x14ac:dyDescent="0.2">
      <c r="A268" s="76"/>
      <c r="B268" s="76"/>
      <c r="C268" s="88"/>
      <c r="D268" s="76"/>
      <c r="E268" s="81"/>
      <c r="F268" s="76"/>
      <c r="G268" s="85"/>
    </row>
    <row r="269" spans="1:7" s="292" customFormat="1" x14ac:dyDescent="0.2">
      <c r="A269" s="78" t="str">
        <f>"Cумма квадратов (σ²): "&amp;""&amp;rh_t4!$S64</f>
        <v>Cумма квадратов (σ²): 0,02521021</v>
      </c>
      <c r="B269" s="76"/>
      <c r="C269" s="88"/>
      <c r="D269" s="76"/>
      <c r="E269" s="81"/>
      <c r="F269" s="76"/>
      <c r="G269" s="85"/>
    </row>
    <row r="270" spans="1:7" s="292" customFormat="1" x14ac:dyDescent="0.2">
      <c r="A270" s="79" t="str">
        <f>"Общая среднеквадратичная неопределенность (σ): ±"&amp;""&amp;rh_t4!$V64&amp;" °C"</f>
        <v>Общая среднеквадратичная неопределенность (σ): ±0,159 °C</v>
      </c>
      <c r="B270" s="76"/>
      <c r="C270" s="88"/>
      <c r="D270" s="80"/>
      <c r="E270" s="81"/>
      <c r="F270" s="76"/>
      <c r="G270" s="85"/>
    </row>
    <row r="271" spans="1:7" s="292" customFormat="1" x14ac:dyDescent="0.2">
      <c r="A271" s="82" t="str">
        <f>"Расширенная неопределенность при 95 % доверительной вероятности (2σ): ±"&amp;""&amp;rh_t4!$X64&amp;" °C"</f>
        <v>Расширенная неопределенность при 95 % доверительной вероятности (2σ): ±0,318 °C</v>
      </c>
      <c r="B271" s="76"/>
      <c r="C271" s="88"/>
      <c r="D271" s="76"/>
      <c r="E271" s="81"/>
      <c r="F271" s="76"/>
      <c r="G271" s="85"/>
    </row>
    <row r="272" spans="1:7" s="292" customFormat="1" ht="24.75" customHeight="1" x14ac:dyDescent="0.2">
      <c r="A272" s="82"/>
      <c r="B272" s="76"/>
      <c r="C272" s="88"/>
      <c r="D272" s="76"/>
      <c r="E272" s="81"/>
      <c r="F272" s="76"/>
      <c r="G272" s="85"/>
    </row>
    <row r="273" spans="1:7" s="292" customFormat="1" ht="42" customHeight="1" x14ac:dyDescent="0.2">
      <c r="A273" s="434" t="str">
        <f>"Таблица Д.16 Расчёт неопределенностей температуры в каждой точке установки датчиков по результам измерения при температуре "&amp;""&amp;rh_t4!$C$86&amp;" C° и относительной влажности "&amp;""&amp;rh_t4!$C$39&amp;" %"</f>
        <v>Таблица Д.16 Расчёт неопределенностей температуры в каждой точке установки датчиков по результам измерения при температуре 40 C° и относительной влажности 98 %</v>
      </c>
      <c r="B273" s="434"/>
      <c r="C273" s="434"/>
      <c r="D273" s="434"/>
      <c r="E273" s="434"/>
      <c r="F273" s="434"/>
      <c r="G273" s="434"/>
    </row>
    <row r="274" spans="1:7" s="292" customFormat="1" ht="38.25" x14ac:dyDescent="0.2">
      <c r="A274" s="305"/>
      <c r="B274" s="306" t="s">
        <v>7</v>
      </c>
      <c r="C274" s="307" t="s">
        <v>84</v>
      </c>
      <c r="D274" s="306" t="s">
        <v>9</v>
      </c>
      <c r="E274" s="308" t="s">
        <v>10</v>
      </c>
      <c r="F274" s="306" t="s">
        <v>88</v>
      </c>
      <c r="G274" s="309" t="s">
        <v>87</v>
      </c>
    </row>
    <row r="275" spans="1:7" s="292" customFormat="1" ht="25.5" x14ac:dyDescent="0.2">
      <c r="A275" s="422" t="s">
        <v>32</v>
      </c>
      <c r="B275" s="84" t="s">
        <v>33</v>
      </c>
      <c r="C275" s="77">
        <f>rh_t4!T51</f>
        <v>0.1</v>
      </c>
      <c r="D275" s="77" t="str">
        <f>rh_t4!U51</f>
        <v>Нормальное</v>
      </c>
      <c r="E275" s="91">
        <f>rh_t4!V51</f>
        <v>2</v>
      </c>
      <c r="F275" s="77">
        <f>rh_t4!W51</f>
        <v>0.05</v>
      </c>
      <c r="G275" s="86">
        <f>rh_t4!X51</f>
        <v>2.5000000000000005E-3</v>
      </c>
    </row>
    <row r="276" spans="1:7" s="292" customFormat="1" x14ac:dyDescent="0.2">
      <c r="A276" s="423"/>
      <c r="B276" s="84" t="s">
        <v>14</v>
      </c>
      <c r="C276" s="77">
        <f>rh_t4!T52</f>
        <v>0.01</v>
      </c>
      <c r="D276" s="77" t="str">
        <f>rh_t4!U52</f>
        <v>Нормальное</v>
      </c>
      <c r="E276" s="91">
        <f>rh_t4!V52</f>
        <v>1</v>
      </c>
      <c r="F276" s="77">
        <f>rh_t4!W52</f>
        <v>0.01</v>
      </c>
      <c r="G276" s="86">
        <f>rh_t4!X52</f>
        <v>1E-4</v>
      </c>
    </row>
    <row r="277" spans="1:7" s="292" customFormat="1" x14ac:dyDescent="0.2">
      <c r="A277" s="423"/>
      <c r="B277" s="84" t="s">
        <v>15</v>
      </c>
      <c r="C277" s="77">
        <f>rh_t4!T53</f>
        <v>0.01</v>
      </c>
      <c r="D277" s="77" t="str">
        <f>rh_t4!U53</f>
        <v>Прямоугольное</v>
      </c>
      <c r="E277" s="91">
        <f>rh_t4!V53</f>
        <v>1.73</v>
      </c>
      <c r="F277" s="77">
        <f>rh_t4!W53</f>
        <v>5.7803468208092491E-3</v>
      </c>
      <c r="G277" s="86">
        <f>rh_t4!X53</f>
        <v>3.3412409368839592E-5</v>
      </c>
    </row>
    <row r="278" spans="1:7" s="292" customFormat="1" ht="25.5" x14ac:dyDescent="0.2">
      <c r="A278" s="423"/>
      <c r="B278" s="84" t="s">
        <v>17</v>
      </c>
      <c r="C278" s="77">
        <f>rh_t4!T54</f>
        <v>0.01</v>
      </c>
      <c r="D278" s="77" t="str">
        <f>rh_t4!U54</f>
        <v>Прямоугольное</v>
      </c>
      <c r="E278" s="91">
        <f>rh_t4!V54</f>
        <v>1.73</v>
      </c>
      <c r="F278" s="77">
        <f>rh_t4!W54</f>
        <v>5.7803468208092491E-3</v>
      </c>
      <c r="G278" s="86">
        <f>rh_t4!X54</f>
        <v>3.3412409368839592E-5</v>
      </c>
    </row>
    <row r="279" spans="1:7" s="292" customFormat="1" x14ac:dyDescent="0.2">
      <c r="A279" s="423"/>
      <c r="B279" s="84" t="s">
        <v>18</v>
      </c>
      <c r="C279" s="77">
        <f>rh_t4!T55</f>
        <v>0.1</v>
      </c>
      <c r="D279" s="77" t="str">
        <f>rh_t4!U55</f>
        <v>Прямоугольное</v>
      </c>
      <c r="E279" s="91">
        <f>rh_t4!V55</f>
        <v>1.73</v>
      </c>
      <c r="F279" s="77">
        <f>rh_t4!W55</f>
        <v>5.7803468208092491E-2</v>
      </c>
      <c r="G279" s="86">
        <f>rh_t4!X55</f>
        <v>3.3412409368839594E-3</v>
      </c>
    </row>
    <row r="280" spans="1:7" s="292" customFormat="1" x14ac:dyDescent="0.2">
      <c r="A280" s="423"/>
      <c r="B280" s="84" t="s">
        <v>19</v>
      </c>
      <c r="C280" s="77">
        <f>rh_t4!T56</f>
        <v>0.02</v>
      </c>
      <c r="D280" s="77" t="str">
        <f>rh_t4!U56</f>
        <v>Прямоугольное</v>
      </c>
      <c r="E280" s="91">
        <f>rh_t4!V56</f>
        <v>1.73</v>
      </c>
      <c r="F280" s="77">
        <f>rh_t4!W56</f>
        <v>1.1560693641618498E-2</v>
      </c>
      <c r="G280" s="86">
        <f>rh_t4!X56</f>
        <v>1.3364963747535837E-4</v>
      </c>
    </row>
    <row r="281" spans="1:7" s="292" customFormat="1" ht="45" customHeight="1" x14ac:dyDescent="0.2">
      <c r="A281" s="424"/>
      <c r="B281" s="84" t="s">
        <v>20</v>
      </c>
      <c r="C281" s="77">
        <f>rh_t4!T57</f>
        <v>0.01</v>
      </c>
      <c r="D281" s="77" t="str">
        <f>rh_t4!U57</f>
        <v>Прямоугольное</v>
      </c>
      <c r="E281" s="91">
        <f>rh_t4!V57</f>
        <v>1.73</v>
      </c>
      <c r="F281" s="77">
        <f>rh_t4!W57</f>
        <v>5.7803468208092491E-3</v>
      </c>
      <c r="G281" s="86">
        <f>rh_t4!X57</f>
        <v>3.3412409368839592E-5</v>
      </c>
    </row>
    <row r="282" spans="1:7" s="292" customFormat="1" ht="39" x14ac:dyDescent="0.2">
      <c r="A282" s="153" t="s">
        <v>34</v>
      </c>
      <c r="B282" s="84" t="s">
        <v>21</v>
      </c>
      <c r="C282" s="77">
        <f>rh_t4!T58</f>
        <v>0.13765721558447</v>
      </c>
      <c r="D282" s="77" t="str">
        <f>rh_t4!U58</f>
        <v>Нормальное</v>
      </c>
      <c r="E282" s="91">
        <f>rh_t4!V58</f>
        <v>1</v>
      </c>
      <c r="F282" s="77">
        <f>rh_t4!W58</f>
        <v>0.13765721558447</v>
      </c>
      <c r="G282" s="86">
        <f>rh_t4!X58</f>
        <v>1.894950900246925E-2</v>
      </c>
    </row>
    <row r="283" spans="1:7" s="292" customFormat="1" x14ac:dyDescent="0.2">
      <c r="A283" s="83"/>
      <c r="B283" s="83"/>
      <c r="C283" s="89"/>
      <c r="D283" s="83"/>
      <c r="E283" s="92"/>
      <c r="F283" s="83"/>
      <c r="G283" s="87"/>
    </row>
    <row r="284" spans="1:7" s="292" customFormat="1" x14ac:dyDescent="0.2">
      <c r="A284" s="78" t="str">
        <f>"Cумма квадратов (σ²): "&amp;""&amp;rh_t4!$S80</f>
        <v>Cумма квадратов (σ²): 0,00626056</v>
      </c>
      <c r="C284" s="90"/>
      <c r="E284" s="65"/>
      <c r="G284" s="56"/>
    </row>
    <row r="285" spans="1:7" s="292" customFormat="1" x14ac:dyDescent="0.2">
      <c r="A285" s="79" t="str">
        <f>"Общая среднеквадратичная неопределенность (σ): ±"&amp;""&amp;rh_t4!$V80&amp;" °C"</f>
        <v>Общая среднеквадратичная неопределенность (σ): ±0,079 °C</v>
      </c>
      <c r="C285" s="90"/>
      <c r="E285" s="65"/>
      <c r="G285" s="56"/>
    </row>
    <row r="286" spans="1:7" s="292" customFormat="1" x14ac:dyDescent="0.2">
      <c r="A286" s="82" t="str">
        <f>"Расширенная неопределенность при 95 % доверительной вероятности (2σ): ±"&amp;""&amp;rh_t4!$X80&amp;" °C"</f>
        <v>Расширенная неопределенность при 95 % доверительной вероятности (2σ): ±0,158 °C</v>
      </c>
      <c r="C286" s="90"/>
      <c r="E286" s="65"/>
      <c r="G286" s="56"/>
    </row>
    <row r="287" spans="1:7" s="292" customFormat="1" ht="14.25" customHeight="1" x14ac:dyDescent="0.2">
      <c r="C287" s="90"/>
      <c r="E287" s="65"/>
      <c r="G287" s="56"/>
    </row>
    <row r="288" spans="1:7" s="292" customFormat="1" x14ac:dyDescent="0.2">
      <c r="A288" s="425" t="s">
        <v>79</v>
      </c>
      <c r="B288" s="425"/>
      <c r="C288" s="425"/>
      <c r="D288" s="425"/>
      <c r="E288" s="425"/>
      <c r="F288" s="425"/>
      <c r="G288" s="425"/>
    </row>
    <row r="289" spans="1:7" s="292" customFormat="1" x14ac:dyDescent="0.2">
      <c r="A289" s="425"/>
      <c r="B289" s="425"/>
      <c r="C289" s="425"/>
      <c r="D289" s="425"/>
      <c r="E289" s="425"/>
      <c r="F289" s="425"/>
      <c r="G289" s="425"/>
    </row>
    <row r="290" spans="1:7" s="292" customFormat="1" x14ac:dyDescent="0.2">
      <c r="A290" s="425"/>
      <c r="B290" s="425"/>
      <c r="C290" s="425"/>
      <c r="D290" s="425"/>
      <c r="E290" s="425"/>
      <c r="F290" s="425"/>
      <c r="G290" s="425"/>
    </row>
    <row r="291" spans="1:7" s="292" customFormat="1" x14ac:dyDescent="0.2">
      <c r="A291" s="425"/>
      <c r="B291" s="425"/>
      <c r="C291" s="425"/>
      <c r="D291" s="425"/>
      <c r="E291" s="425"/>
      <c r="F291" s="425"/>
      <c r="G291" s="425"/>
    </row>
    <row r="292" spans="1:7" s="292" customFormat="1" x14ac:dyDescent="0.2">
      <c r="A292" s="425"/>
      <c r="B292" s="425"/>
      <c r="C292" s="425"/>
      <c r="D292" s="425"/>
      <c r="E292" s="425"/>
      <c r="F292" s="425"/>
      <c r="G292" s="425"/>
    </row>
    <row r="293" spans="1:7" s="292" customFormat="1" ht="30.75" customHeight="1" x14ac:dyDescent="0.2">
      <c r="A293" s="434" t="str">
        <f>"Таблица Д.17 Расчёт неопределенностей относительной влажности по результам измерения при температуре "&amp;""&amp;rh_t5!$C$86&amp;" C° и относительной влажности "&amp;""&amp;rh_t5!$C$39&amp;" %."</f>
        <v>Таблица Д.17 Расчёт неопределенностей относительной влажности по результам измерения при температуре 40 C° и относительной влажности 98 %.</v>
      </c>
      <c r="B293" s="434"/>
      <c r="C293" s="434"/>
      <c r="D293" s="434"/>
      <c r="E293" s="434"/>
      <c r="F293" s="434"/>
      <c r="G293" s="434"/>
    </row>
    <row r="294" spans="1:7" s="292" customFormat="1" ht="38.25" x14ac:dyDescent="0.2">
      <c r="A294" s="305"/>
      <c r="B294" s="306" t="s">
        <v>7</v>
      </c>
      <c r="C294" s="307" t="s">
        <v>84</v>
      </c>
      <c r="D294" s="306" t="s">
        <v>9</v>
      </c>
      <c r="E294" s="308" t="s">
        <v>10</v>
      </c>
      <c r="F294" s="306" t="s">
        <v>88</v>
      </c>
      <c r="G294" s="309" t="s">
        <v>87</v>
      </c>
    </row>
    <row r="295" spans="1:7" s="292" customFormat="1" ht="25.5" x14ac:dyDescent="0.2">
      <c r="A295" s="441" t="s">
        <v>32</v>
      </c>
      <c r="B295" s="112" t="s">
        <v>76</v>
      </c>
      <c r="C295" s="118">
        <f>rh_t5!T4</f>
        <v>0.1</v>
      </c>
      <c r="D295" s="118" t="str">
        <f>rh_t5!U4</f>
        <v>Нормальное</v>
      </c>
      <c r="E295" s="125">
        <f>rh_t5!V4</f>
        <v>2</v>
      </c>
      <c r="F295" s="118">
        <f>rh_t5!W4</f>
        <v>0.05</v>
      </c>
      <c r="G295" s="117">
        <f>rh_t5!X4</f>
        <v>2.5000000000000005E-3</v>
      </c>
    </row>
    <row r="296" spans="1:7" s="292" customFormat="1" x14ac:dyDescent="0.2">
      <c r="A296" s="442"/>
      <c r="B296" s="112" t="s">
        <v>14</v>
      </c>
      <c r="C296" s="118">
        <f>rh_t5!T5</f>
        <v>0.01</v>
      </c>
      <c r="D296" s="118" t="str">
        <f>rh_t5!U5</f>
        <v>Нормальное</v>
      </c>
      <c r="E296" s="125">
        <f>rh_t5!V5</f>
        <v>1</v>
      </c>
      <c r="F296" s="118">
        <f>rh_t5!W5</f>
        <v>0.01</v>
      </c>
      <c r="G296" s="117">
        <f>rh_t5!X5</f>
        <v>1E-4</v>
      </c>
    </row>
    <row r="297" spans="1:7" s="292" customFormat="1" x14ac:dyDescent="0.2">
      <c r="A297" s="442"/>
      <c r="B297" s="112" t="s">
        <v>15</v>
      </c>
      <c r="C297" s="118">
        <f>rh_t5!T6</f>
        <v>0.01</v>
      </c>
      <c r="D297" s="118" t="str">
        <f>rh_t5!U6</f>
        <v>Прямоугольное</v>
      </c>
      <c r="E297" s="125">
        <f>rh_t5!V6</f>
        <v>1.73</v>
      </c>
      <c r="F297" s="118">
        <f>rh_t5!W6</f>
        <v>5.7803468208092491E-3</v>
      </c>
      <c r="G297" s="117">
        <f>rh_t5!X6</f>
        <v>3.3412409368839592E-5</v>
      </c>
    </row>
    <row r="298" spans="1:7" s="292" customFormat="1" ht="25.5" x14ac:dyDescent="0.2">
      <c r="A298" s="442"/>
      <c r="B298" s="112" t="s">
        <v>17</v>
      </c>
      <c r="C298" s="118">
        <f>rh_t5!T7</f>
        <v>0.01</v>
      </c>
      <c r="D298" s="118" t="str">
        <f>rh_t5!U7</f>
        <v>Прямоугольное</v>
      </c>
      <c r="E298" s="125">
        <f>rh_t5!V7</f>
        <v>1.73</v>
      </c>
      <c r="F298" s="118">
        <f>rh_t5!W7</f>
        <v>5.7803468208092491E-3</v>
      </c>
      <c r="G298" s="117">
        <f>rh_t5!X7</f>
        <v>3.3412409368839592E-5</v>
      </c>
    </row>
    <row r="299" spans="1:7" s="292" customFormat="1" x14ac:dyDescent="0.2">
      <c r="A299" s="442"/>
      <c r="B299" s="112" t="s">
        <v>77</v>
      </c>
      <c r="C299" s="118">
        <f>rh_t5!T8</f>
        <v>0.1</v>
      </c>
      <c r="D299" s="118" t="str">
        <f>rh_t5!U8</f>
        <v>Прямоугольное</v>
      </c>
      <c r="E299" s="125">
        <f>rh_t5!V8</f>
        <v>1.73</v>
      </c>
      <c r="F299" s="118">
        <f>rh_t5!W8</f>
        <v>5.7803468208092491E-2</v>
      </c>
      <c r="G299" s="117">
        <f>rh_t5!X8</f>
        <v>3.3412409368839594E-3</v>
      </c>
    </row>
    <row r="300" spans="1:7" s="292" customFormat="1" x14ac:dyDescent="0.2">
      <c r="A300" s="442"/>
      <c r="B300" s="112" t="s">
        <v>19</v>
      </c>
      <c r="C300" s="118">
        <f>rh_t5!T9</f>
        <v>0.02</v>
      </c>
      <c r="D300" s="118" t="str">
        <f>rh_t5!U9</f>
        <v>Прямоугольное</v>
      </c>
      <c r="E300" s="125">
        <f>rh_t5!V9</f>
        <v>1.73</v>
      </c>
      <c r="F300" s="118">
        <f>rh_t5!W9</f>
        <v>1.1560693641618498E-2</v>
      </c>
      <c r="G300" s="117">
        <f>rh_t5!X9</f>
        <v>1.3364963747535837E-4</v>
      </c>
    </row>
    <row r="301" spans="1:7" s="292" customFormat="1" ht="25.5" x14ac:dyDescent="0.2">
      <c r="A301" s="443"/>
      <c r="B301" s="112" t="s">
        <v>78</v>
      </c>
      <c r="C301" s="118" t="str">
        <f>rh_t5!T50</f>
        <v>Значение погрешности</v>
      </c>
      <c r="D301" s="118" t="str">
        <f>rh_t5!U10</f>
        <v>Прямоугольное</v>
      </c>
      <c r="E301" s="125">
        <f>rh_t5!V10</f>
        <v>1.73</v>
      </c>
      <c r="F301" s="118">
        <f>rh_t5!W10</f>
        <v>5.7803468208092491E-3</v>
      </c>
      <c r="G301" s="117">
        <f>rh_t5!X10</f>
        <v>3.3412409368839592E-5</v>
      </c>
    </row>
    <row r="302" spans="1:7" s="292" customFormat="1" ht="25.5" x14ac:dyDescent="0.2">
      <c r="A302" s="431" t="s">
        <v>34</v>
      </c>
      <c r="B302" s="112" t="s">
        <v>80</v>
      </c>
      <c r="C302" s="118">
        <f>rh_t5!T51</f>
        <v>0.1</v>
      </c>
      <c r="D302" s="118" t="str">
        <f>rh_t5!U11</f>
        <v>Нормальное</v>
      </c>
      <c r="E302" s="125">
        <f>rh_t5!V11</f>
        <v>1</v>
      </c>
      <c r="F302" s="118">
        <f>rh_t5!W11</f>
        <v>0.288097205817756</v>
      </c>
      <c r="G302" s="117">
        <f>rh_t5!X11</f>
        <v>8.2999999999998464E-2</v>
      </c>
    </row>
    <row r="303" spans="1:7" s="292" customFormat="1" ht="25.5" x14ac:dyDescent="0.2">
      <c r="A303" s="432"/>
      <c r="B303" s="113" t="s">
        <v>81</v>
      </c>
      <c r="C303" s="118">
        <f>rh_t5!T52</f>
        <v>0.01</v>
      </c>
      <c r="D303" s="118" t="str">
        <f>rh_t5!U12</f>
        <v>Нормальное</v>
      </c>
      <c r="E303" s="125">
        <f>rh_t5!V12</f>
        <v>1</v>
      </c>
      <c r="F303" s="118">
        <f>rh_t5!W12</f>
        <v>0.21599999999997976</v>
      </c>
      <c r="G303" s="117">
        <f>rh_t5!X12</f>
        <v>4.665599999999126E-2</v>
      </c>
    </row>
    <row r="304" spans="1:7" s="292" customFormat="1" x14ac:dyDescent="0.2">
      <c r="A304" s="433"/>
      <c r="B304" s="114" t="s">
        <v>3</v>
      </c>
      <c r="C304" s="119">
        <f>rh_t5!T53</f>
        <v>0.01</v>
      </c>
      <c r="D304" s="119" t="str">
        <f>rh_t5!U13</f>
        <v>Нормальное</v>
      </c>
      <c r="E304" s="126">
        <f>rh_t5!V13</f>
        <v>1</v>
      </c>
      <c r="F304" s="119">
        <f>rh_t5!W13</f>
        <v>3.2885893473255522E-3</v>
      </c>
      <c r="G304" s="117">
        <f>rh_t5!X13</f>
        <v>1.0814819895343101E-5</v>
      </c>
    </row>
    <row r="305" spans="1:7" s="292" customFormat="1" x14ac:dyDescent="0.2">
      <c r="A305" s="115"/>
      <c r="B305" s="115"/>
      <c r="C305" s="115"/>
      <c r="D305" s="115"/>
      <c r="E305" s="131"/>
      <c r="F305" s="115"/>
      <c r="G305" s="135"/>
    </row>
    <row r="306" spans="1:7" s="292" customFormat="1" x14ac:dyDescent="0.2">
      <c r="A306" s="78" t="str">
        <f>"Cумма квадратов (σ²): "&amp;""&amp;rh_t5!S17</f>
        <v>Cумма квадратов (σ²): 0,13584194</v>
      </c>
      <c r="B306" s="115"/>
      <c r="C306" s="115"/>
      <c r="D306" s="115"/>
      <c r="E306" s="131"/>
      <c r="F306" s="115"/>
      <c r="G306" s="135"/>
    </row>
    <row r="307" spans="1:7" s="292" customFormat="1" x14ac:dyDescent="0.2">
      <c r="A307" s="79" t="str">
        <f>"Общая среднеквадратичная неопределенность: ±"&amp;""&amp;rh_t5!V17&amp;" %"</f>
        <v>Общая среднеквадратичная неопределенность: ±0,369 %</v>
      </c>
      <c r="B307" s="116"/>
      <c r="C307" s="116"/>
      <c r="D307" s="116"/>
      <c r="E307" s="132"/>
      <c r="F307" s="116"/>
      <c r="G307" s="136"/>
    </row>
    <row r="308" spans="1:7" s="292" customFormat="1" x14ac:dyDescent="0.2">
      <c r="A308" s="82" t="str">
        <f>"Расширенная неопределенность при 95 % доверительной вероятности: ±"&amp;""&amp;rh_t5!X17&amp;" %"</f>
        <v>Расширенная неопределенность при 95 % доверительной вероятности: ±0,737 %</v>
      </c>
      <c r="B308" s="116"/>
      <c r="C308" s="116"/>
      <c r="D308" s="116"/>
      <c r="E308" s="132"/>
      <c r="F308" s="116"/>
      <c r="G308" s="136"/>
    </row>
    <row r="309" spans="1:7" s="292" customFormat="1" x14ac:dyDescent="0.2">
      <c r="A309" s="116"/>
      <c r="B309" s="116"/>
      <c r="C309" s="116"/>
      <c r="D309" s="116"/>
      <c r="E309" s="132"/>
      <c r="F309" s="116"/>
      <c r="G309" s="136"/>
    </row>
    <row r="310" spans="1:7" s="292" customFormat="1" ht="42.75" customHeight="1" x14ac:dyDescent="0.2">
      <c r="A310" s="434" t="str">
        <f>"Таблица Д.18 Расчёт неопределенностей относительной влажности в каждой точке установки датчиков по результам измерения при температуре "&amp;""&amp;rh_t5!$C$86&amp;" C° и относительной влажности "&amp;""&amp;rh_t5!$C$39&amp;" %"</f>
        <v>Таблица Д.18 Расчёт неопределенностей относительной влажности в каждой точке установки датчиков по результам измерения при температуре 40 C° и относительной влажности 98 %</v>
      </c>
      <c r="B310" s="434"/>
      <c r="C310" s="434"/>
      <c r="D310" s="434"/>
      <c r="E310" s="434"/>
      <c r="F310" s="434"/>
      <c r="G310" s="434"/>
    </row>
    <row r="311" spans="1:7" s="292" customFormat="1" ht="55.5" customHeight="1" x14ac:dyDescent="0.2">
      <c r="A311" s="305"/>
      <c r="B311" s="306" t="s">
        <v>7</v>
      </c>
      <c r="C311" s="307" t="s">
        <v>84</v>
      </c>
      <c r="D311" s="306" t="s">
        <v>9</v>
      </c>
      <c r="E311" s="308" t="s">
        <v>10</v>
      </c>
      <c r="F311" s="306" t="s">
        <v>88</v>
      </c>
      <c r="G311" s="309" t="s">
        <v>87</v>
      </c>
    </row>
    <row r="312" spans="1:7" s="292" customFormat="1" ht="25.5" x14ac:dyDescent="0.2">
      <c r="A312" s="435" t="s">
        <v>32</v>
      </c>
      <c r="B312" s="112" t="s">
        <v>76</v>
      </c>
      <c r="C312" s="128">
        <f>rh_t5!T22</f>
        <v>0.1</v>
      </c>
      <c r="D312" s="128" t="str">
        <f>rh_t5!U22</f>
        <v>Нормальное</v>
      </c>
      <c r="E312" s="133">
        <f>rh_t5!V22</f>
        <v>2</v>
      </c>
      <c r="F312" s="128">
        <f>rh_t5!W22</f>
        <v>0.05</v>
      </c>
      <c r="G312" s="129">
        <f>rh_t5!X22</f>
        <v>2.5000000000000005E-3</v>
      </c>
    </row>
    <row r="313" spans="1:7" s="292" customFormat="1" x14ac:dyDescent="0.2">
      <c r="A313" s="436"/>
      <c r="B313" s="112" t="s">
        <v>14</v>
      </c>
      <c r="C313" s="128">
        <f>rh_t5!T23</f>
        <v>0.01</v>
      </c>
      <c r="D313" s="128" t="str">
        <f>rh_t5!U23</f>
        <v>Нормальное</v>
      </c>
      <c r="E313" s="133">
        <f>rh_t5!V23</f>
        <v>1</v>
      </c>
      <c r="F313" s="128">
        <f>rh_t5!W23</f>
        <v>0.01</v>
      </c>
      <c r="G313" s="129">
        <f>rh_t5!X23</f>
        <v>1E-4</v>
      </c>
    </row>
    <row r="314" spans="1:7" s="292" customFormat="1" x14ac:dyDescent="0.2">
      <c r="A314" s="436"/>
      <c r="B314" s="112" t="s">
        <v>15</v>
      </c>
      <c r="C314" s="128">
        <f>rh_t5!T24</f>
        <v>0.01</v>
      </c>
      <c r="D314" s="128" t="str">
        <f>rh_t5!U24</f>
        <v>Прямоугольное</v>
      </c>
      <c r="E314" s="133">
        <f>rh_t5!V24</f>
        <v>1.73</v>
      </c>
      <c r="F314" s="128">
        <f>rh_t5!W24</f>
        <v>5.7803468208092491E-3</v>
      </c>
      <c r="G314" s="129">
        <f>rh_t5!X24</f>
        <v>3.3412409368839592E-5</v>
      </c>
    </row>
    <row r="315" spans="1:7" s="292" customFormat="1" ht="25.5" x14ac:dyDescent="0.2">
      <c r="A315" s="436"/>
      <c r="B315" s="112" t="s">
        <v>17</v>
      </c>
      <c r="C315" s="128">
        <f>rh_t5!T25</f>
        <v>0.01</v>
      </c>
      <c r="D315" s="128" t="str">
        <f>rh_t5!U25</f>
        <v>Прямоугольное</v>
      </c>
      <c r="E315" s="133">
        <f>rh_t5!V25</f>
        <v>1.73</v>
      </c>
      <c r="F315" s="128">
        <f>rh_t5!W25</f>
        <v>5.7803468208092491E-3</v>
      </c>
      <c r="G315" s="129">
        <f>rh_t5!X25</f>
        <v>3.3412409368839592E-5</v>
      </c>
    </row>
    <row r="316" spans="1:7" s="292" customFormat="1" x14ac:dyDescent="0.2">
      <c r="A316" s="436"/>
      <c r="B316" s="112" t="s">
        <v>77</v>
      </c>
      <c r="C316" s="128">
        <f>rh_t5!T26</f>
        <v>0.1</v>
      </c>
      <c r="D316" s="128" t="str">
        <f>rh_t5!U26</f>
        <v>Прямоугольное</v>
      </c>
      <c r="E316" s="133">
        <f>rh_t5!V26</f>
        <v>1.73</v>
      </c>
      <c r="F316" s="128">
        <f>rh_t5!W26</f>
        <v>5.7803468208092491E-2</v>
      </c>
      <c r="G316" s="129">
        <f>rh_t5!X26</f>
        <v>3.3412409368839594E-3</v>
      </c>
    </row>
    <row r="317" spans="1:7" s="292" customFormat="1" x14ac:dyDescent="0.2">
      <c r="A317" s="436"/>
      <c r="B317" s="112" t="s">
        <v>19</v>
      </c>
      <c r="C317" s="128">
        <f>rh_t5!T27</f>
        <v>0.02</v>
      </c>
      <c r="D317" s="128" t="str">
        <f>rh_t5!U27</f>
        <v>Прямоугольное</v>
      </c>
      <c r="E317" s="133">
        <f>rh_t5!V27</f>
        <v>1.73</v>
      </c>
      <c r="F317" s="128">
        <f>rh_t5!W27</f>
        <v>1.1560693641618498E-2</v>
      </c>
      <c r="G317" s="129">
        <f>rh_t5!X27</f>
        <v>1.3364963747535837E-4</v>
      </c>
    </row>
    <row r="318" spans="1:7" s="292" customFormat="1" ht="25.5" x14ac:dyDescent="0.2">
      <c r="A318" s="437"/>
      <c r="B318" s="112" t="s">
        <v>78</v>
      </c>
      <c r="C318" s="128">
        <f>rh_t5!T28</f>
        <v>0.01</v>
      </c>
      <c r="D318" s="128" t="str">
        <f>rh_t5!U28</f>
        <v>Прямоугольное</v>
      </c>
      <c r="E318" s="133">
        <f>rh_t5!V28</f>
        <v>1.73</v>
      </c>
      <c r="F318" s="128">
        <f>rh_t5!W28</f>
        <v>5.7803468208092491E-3</v>
      </c>
      <c r="G318" s="129">
        <f>rh_t5!X28</f>
        <v>3.3412409368839592E-5</v>
      </c>
    </row>
    <row r="319" spans="1:7" s="292" customFormat="1" ht="43.5" customHeight="1" x14ac:dyDescent="0.2">
      <c r="A319" s="154" t="s">
        <v>34</v>
      </c>
      <c r="B319" s="127" t="s">
        <v>80</v>
      </c>
      <c r="C319" s="130">
        <f>rh_t5!T29</f>
        <v>0.21599999999997976</v>
      </c>
      <c r="D319" s="130" t="str">
        <f>rh_t5!U29</f>
        <v>Нормальное</v>
      </c>
      <c r="E319" s="134">
        <f>rh_t5!V29</f>
        <v>1</v>
      </c>
      <c r="F319" s="130">
        <f>rh_t5!W29</f>
        <v>0.21599999999997976</v>
      </c>
      <c r="G319" s="129">
        <f>rh_t5!X29</f>
        <v>4.665599999999126E-2</v>
      </c>
    </row>
    <row r="320" spans="1:7" s="292" customFormat="1" x14ac:dyDescent="0.2">
      <c r="A320" s="115"/>
      <c r="B320" s="115"/>
      <c r="C320" s="115"/>
      <c r="D320" s="115"/>
      <c r="E320" s="131"/>
      <c r="F320" s="115"/>
      <c r="G320" s="135"/>
    </row>
    <row r="321" spans="1:7" s="292" customFormat="1" x14ac:dyDescent="0.2">
      <c r="A321" s="78" t="str">
        <f>"Cумма квадратов (σ²): "&amp;""&amp;rh_t5!S33</f>
        <v>Cумма квадратов (σ²): 0,05283113</v>
      </c>
      <c r="B321" s="115"/>
      <c r="C321" s="115"/>
      <c r="D321" s="115"/>
      <c r="E321" s="131"/>
      <c r="F321" s="115"/>
      <c r="G321" s="135"/>
    </row>
    <row r="322" spans="1:7" s="292" customFormat="1" x14ac:dyDescent="0.2">
      <c r="A322" s="79" t="str">
        <f>"Общая среднеквадратичная неопределенность: ±"&amp;""&amp;rh_t5!V33&amp;" %"</f>
        <v>Общая среднеквадратичная неопределенность: ±0,23 %</v>
      </c>
      <c r="B322" s="116"/>
      <c r="C322" s="116"/>
      <c r="D322" s="116"/>
      <c r="E322" s="132"/>
      <c r="F322" s="116"/>
      <c r="G322" s="136"/>
    </row>
    <row r="323" spans="1:7" s="292" customFormat="1" x14ac:dyDescent="0.2">
      <c r="A323" s="82" t="str">
        <f>"Расширенная неопределенность при 95 % доверительной вероятности: ±"&amp;""&amp;rh_t5!X33&amp;" %"</f>
        <v>Расширенная неопределенность при 95 % доверительной вероятности: ±0,46 %</v>
      </c>
      <c r="B323" s="116"/>
      <c r="C323" s="116"/>
      <c r="D323" s="116"/>
      <c r="E323" s="132"/>
      <c r="F323" s="116"/>
      <c r="G323" s="136"/>
    </row>
    <row r="324" spans="1:7" s="292" customFormat="1" x14ac:dyDescent="0.2">
      <c r="A324" s="115"/>
      <c r="B324" s="115"/>
      <c r="C324" s="115"/>
      <c r="D324" s="115"/>
      <c r="E324" s="131"/>
      <c r="F324" s="115"/>
      <c r="G324" s="135"/>
    </row>
    <row r="325" spans="1:7" s="292" customFormat="1" ht="14.25" customHeight="1" x14ac:dyDescent="0.2">
      <c r="A325" s="425" t="s">
        <v>79</v>
      </c>
      <c r="B325" s="425"/>
      <c r="C325" s="425"/>
      <c r="D325" s="425"/>
      <c r="E325" s="425"/>
      <c r="F325" s="425"/>
      <c r="G325" s="425"/>
    </row>
    <row r="326" spans="1:7" s="292" customFormat="1" x14ac:dyDescent="0.2">
      <c r="A326" s="425"/>
      <c r="B326" s="425"/>
      <c r="C326" s="425"/>
      <c r="D326" s="425"/>
      <c r="E326" s="425"/>
      <c r="F326" s="425"/>
      <c r="G326" s="425"/>
    </row>
    <row r="327" spans="1:7" s="292" customFormat="1" x14ac:dyDescent="0.2">
      <c r="A327" s="425"/>
      <c r="B327" s="425"/>
      <c r="C327" s="425"/>
      <c r="D327" s="425"/>
      <c r="E327" s="425"/>
      <c r="F327" s="425"/>
      <c r="G327" s="425"/>
    </row>
    <row r="328" spans="1:7" s="292" customFormat="1" ht="14.25" customHeight="1" x14ac:dyDescent="0.2">
      <c r="A328" s="425"/>
      <c r="B328" s="425"/>
      <c r="C328" s="425"/>
      <c r="D328" s="425"/>
      <c r="E328" s="425"/>
      <c r="F328" s="425"/>
      <c r="G328" s="425"/>
    </row>
    <row r="329" spans="1:7" s="292" customFormat="1" ht="34.5" customHeight="1" x14ac:dyDescent="0.2">
      <c r="A329" s="434" t="str">
        <f>"Таблица Д.19 Расчёт неопределенностей температуры по результам измерения при 
температуре "&amp;""&amp;rh_t5!$C$86&amp;" C° и относительной влажности "&amp;""&amp;rh_t5!$C$39&amp;" %"</f>
        <v>Таблица Д.19 Расчёт неопределенностей температуры по результам измерения при 
температуре 40 C° и относительной влажности 98 %</v>
      </c>
      <c r="B329" s="434"/>
      <c r="C329" s="434"/>
      <c r="D329" s="434"/>
      <c r="E329" s="434"/>
      <c r="F329" s="434"/>
      <c r="G329" s="434"/>
    </row>
    <row r="330" spans="1:7" s="292" customFormat="1" ht="38.25" x14ac:dyDescent="0.2">
      <c r="A330" s="305"/>
      <c r="B330" s="306" t="s">
        <v>7</v>
      </c>
      <c r="C330" s="307" t="s">
        <v>84</v>
      </c>
      <c r="D330" s="306" t="s">
        <v>9</v>
      </c>
      <c r="E330" s="308" t="s">
        <v>10</v>
      </c>
      <c r="F330" s="306" t="s">
        <v>88</v>
      </c>
      <c r="G330" s="309" t="s">
        <v>87</v>
      </c>
    </row>
    <row r="331" spans="1:7" s="292" customFormat="1" ht="25.5" x14ac:dyDescent="0.2">
      <c r="A331" s="435" t="s">
        <v>32</v>
      </c>
      <c r="B331" s="84" t="s">
        <v>33</v>
      </c>
      <c r="C331" s="77">
        <f>rh_t5!T51</f>
        <v>0.1</v>
      </c>
      <c r="D331" s="77" t="str">
        <f>rh_t5!U51</f>
        <v>Нормальное</v>
      </c>
      <c r="E331" s="91">
        <f>rh_t5!V51</f>
        <v>2</v>
      </c>
      <c r="F331" s="77">
        <f>rh_t5!W51</f>
        <v>0.05</v>
      </c>
      <c r="G331" s="86">
        <f>rh_t5!X51</f>
        <v>2.5000000000000005E-3</v>
      </c>
    </row>
    <row r="332" spans="1:7" s="292" customFormat="1" x14ac:dyDescent="0.2">
      <c r="A332" s="436"/>
      <c r="B332" s="84" t="s">
        <v>14</v>
      </c>
      <c r="C332" s="77">
        <f>rh_t5!T52</f>
        <v>0.01</v>
      </c>
      <c r="D332" s="77" t="str">
        <f>rh_t5!U52</f>
        <v>Нормальное</v>
      </c>
      <c r="E332" s="91">
        <f>rh_t5!V52</f>
        <v>1</v>
      </c>
      <c r="F332" s="77">
        <f>rh_t5!W52</f>
        <v>0.01</v>
      </c>
      <c r="G332" s="86">
        <f>rh_t5!X52</f>
        <v>1E-4</v>
      </c>
    </row>
    <row r="333" spans="1:7" s="292" customFormat="1" x14ac:dyDescent="0.2">
      <c r="A333" s="436"/>
      <c r="B333" s="84" t="s">
        <v>15</v>
      </c>
      <c r="C333" s="77">
        <f>rh_t5!T53</f>
        <v>0.01</v>
      </c>
      <c r="D333" s="77" t="str">
        <f>rh_t5!U53</f>
        <v>Прямоугольное</v>
      </c>
      <c r="E333" s="91">
        <f>rh_t5!V53</f>
        <v>1.73</v>
      </c>
      <c r="F333" s="77">
        <f>rh_t5!W53</f>
        <v>5.7803468208092491E-3</v>
      </c>
      <c r="G333" s="86">
        <f>rh_t5!X53</f>
        <v>3.3412409368839592E-5</v>
      </c>
    </row>
    <row r="334" spans="1:7" s="292" customFormat="1" ht="25.5" x14ac:dyDescent="0.2">
      <c r="A334" s="436"/>
      <c r="B334" s="84" t="s">
        <v>17</v>
      </c>
      <c r="C334" s="77">
        <f>rh_t5!T54</f>
        <v>0.01</v>
      </c>
      <c r="D334" s="77" t="str">
        <f>rh_t5!U54</f>
        <v>Прямоугольное</v>
      </c>
      <c r="E334" s="91">
        <f>rh_t5!V54</f>
        <v>1.73</v>
      </c>
      <c r="F334" s="77">
        <f>rh_t5!W54</f>
        <v>5.7803468208092491E-3</v>
      </c>
      <c r="G334" s="86">
        <f>rh_t5!X54</f>
        <v>3.3412409368839592E-5</v>
      </c>
    </row>
    <row r="335" spans="1:7" s="292" customFormat="1" x14ac:dyDescent="0.2">
      <c r="A335" s="436"/>
      <c r="B335" s="84" t="s">
        <v>18</v>
      </c>
      <c r="C335" s="77">
        <f>rh_t5!T55</f>
        <v>0.1</v>
      </c>
      <c r="D335" s="77" t="str">
        <f>rh_t5!U55</f>
        <v>Прямоугольное</v>
      </c>
      <c r="E335" s="91">
        <f>rh_t5!V55</f>
        <v>1.73</v>
      </c>
      <c r="F335" s="77">
        <f>rh_t5!W55</f>
        <v>5.7803468208092491E-2</v>
      </c>
      <c r="G335" s="86">
        <f>rh_t5!X55</f>
        <v>3.3412409368839594E-3</v>
      </c>
    </row>
    <row r="336" spans="1:7" s="292" customFormat="1" x14ac:dyDescent="0.2">
      <c r="A336" s="436"/>
      <c r="B336" s="84" t="s">
        <v>19</v>
      </c>
      <c r="C336" s="77">
        <f>rh_t5!T56</f>
        <v>0.02</v>
      </c>
      <c r="D336" s="77" t="str">
        <f>rh_t5!U56</f>
        <v>Прямоугольное</v>
      </c>
      <c r="E336" s="91">
        <f>rh_t5!V56</f>
        <v>1.73</v>
      </c>
      <c r="F336" s="77">
        <f>rh_t5!W56</f>
        <v>1.1560693641618498E-2</v>
      </c>
      <c r="G336" s="86">
        <f>rh_t5!X56</f>
        <v>1.3364963747535837E-4</v>
      </c>
    </row>
    <row r="337" spans="1:7" s="292" customFormat="1" ht="25.5" x14ac:dyDescent="0.2">
      <c r="A337" s="437"/>
      <c r="B337" s="84" t="s">
        <v>20</v>
      </c>
      <c r="C337" s="77">
        <f>rh_t5!T57</f>
        <v>0.01</v>
      </c>
      <c r="D337" s="77" t="str">
        <f>rh_t5!U57</f>
        <v>Прямоугольное</v>
      </c>
      <c r="E337" s="91">
        <f>rh_t5!V57</f>
        <v>1.73</v>
      </c>
      <c r="F337" s="77">
        <f>rh_t5!W57</f>
        <v>5.7803468208092491E-3</v>
      </c>
      <c r="G337" s="86">
        <f>rh_t5!X57</f>
        <v>3.3412409368839592E-5</v>
      </c>
    </row>
    <row r="338" spans="1:7" s="292" customFormat="1" x14ac:dyDescent="0.2">
      <c r="A338" s="438" t="s">
        <v>34</v>
      </c>
      <c r="B338" s="84" t="s">
        <v>0</v>
      </c>
      <c r="C338" s="77">
        <f>rh_t5!T58</f>
        <v>0.13765721558447</v>
      </c>
      <c r="D338" s="77" t="str">
        <f>rh_t5!U58</f>
        <v>Нормальное</v>
      </c>
      <c r="E338" s="91">
        <f>rh_t5!V58</f>
        <v>1</v>
      </c>
      <c r="F338" s="77">
        <f>rh_t5!W58</f>
        <v>0.13765721558447</v>
      </c>
      <c r="G338" s="86">
        <f>rh_t5!X58</f>
        <v>1.894950900246925E-2</v>
      </c>
    </row>
    <row r="339" spans="1:7" s="292" customFormat="1" ht="25.5" x14ac:dyDescent="0.2">
      <c r="A339" s="439"/>
      <c r="B339" s="84" t="s">
        <v>21</v>
      </c>
      <c r="C339" s="77">
        <f>rh_t5!T59</f>
        <v>9.2428604338699646E-3</v>
      </c>
      <c r="D339" s="77" t="str">
        <f>rh_t5!U59</f>
        <v>Нормальное</v>
      </c>
      <c r="E339" s="91">
        <f>rh_t5!V59</f>
        <v>1</v>
      </c>
      <c r="F339" s="77">
        <f>rh_t5!W59</f>
        <v>9.2428604338699646E-3</v>
      </c>
      <c r="G339" s="86">
        <f>rh_t5!X59</f>
        <v>8.5430468999998872E-5</v>
      </c>
    </row>
    <row r="340" spans="1:7" s="292" customFormat="1" x14ac:dyDescent="0.2">
      <c r="A340" s="440"/>
      <c r="B340" s="84" t="s">
        <v>3</v>
      </c>
      <c r="C340" s="77">
        <f>rh_t5!T60</f>
        <v>3.8045240419348324E-4</v>
      </c>
      <c r="D340" s="77" t="str">
        <f>rh_t5!U60</f>
        <v>Нормальное</v>
      </c>
      <c r="E340" s="91">
        <f>rh_t5!V60</f>
        <v>1</v>
      </c>
      <c r="F340" s="77">
        <f>rh_t5!W60</f>
        <v>3.8045240419348324E-4</v>
      </c>
      <c r="G340" s="86">
        <f>rh_t5!X60</f>
        <v>1.4474403185660156E-7</v>
      </c>
    </row>
    <row r="341" spans="1:7" s="292" customFormat="1" x14ac:dyDescent="0.2">
      <c r="A341" s="76"/>
      <c r="B341" s="76"/>
      <c r="C341" s="88"/>
      <c r="D341" s="76"/>
      <c r="E341" s="81"/>
      <c r="F341" s="76"/>
      <c r="G341" s="85"/>
    </row>
    <row r="342" spans="1:7" s="292" customFormat="1" x14ac:dyDescent="0.2">
      <c r="A342" s="78" t="str">
        <f>"Cумма квадратов (σ²): "&amp;""&amp;rh_t5!$S64</f>
        <v>Cумма квадратов (σ²): 0,02521021</v>
      </c>
      <c r="B342" s="76"/>
      <c r="C342" s="88"/>
      <c r="D342" s="76"/>
      <c r="E342" s="81"/>
      <c r="F342" s="76"/>
      <c r="G342" s="85"/>
    </row>
    <row r="343" spans="1:7" s="292" customFormat="1" x14ac:dyDescent="0.2">
      <c r="A343" s="79" t="str">
        <f>"Общая среднеквадратичная неопределенность (σ): ±"&amp;""&amp;rh_t5!$V64&amp;" °C"</f>
        <v>Общая среднеквадратичная неопределенность (σ): ±0,159 °C</v>
      </c>
      <c r="B343" s="76"/>
      <c r="C343" s="88"/>
      <c r="D343" s="80"/>
      <c r="E343" s="81"/>
      <c r="F343" s="76"/>
      <c r="G343" s="85"/>
    </row>
    <row r="344" spans="1:7" s="292" customFormat="1" x14ac:dyDescent="0.2">
      <c r="A344" s="82" t="str">
        <f>"Расширенная неопределенность при 95 % доверительной вероятности (2σ): ±"&amp;""&amp;rh_t5!$X64&amp;" °C"</f>
        <v>Расширенная неопределенность при 95 % доверительной вероятности (2σ): ±0,318 °C</v>
      </c>
      <c r="B344" s="76"/>
      <c r="C344" s="88"/>
      <c r="D344" s="76"/>
      <c r="E344" s="81"/>
      <c r="F344" s="76"/>
      <c r="G344" s="85"/>
    </row>
    <row r="345" spans="1:7" s="292" customFormat="1" ht="24.75" customHeight="1" x14ac:dyDescent="0.2">
      <c r="A345" s="82"/>
      <c r="B345" s="76"/>
      <c r="C345" s="88"/>
      <c r="D345" s="76"/>
      <c r="E345" s="81"/>
      <c r="F345" s="76"/>
      <c r="G345" s="85"/>
    </row>
    <row r="346" spans="1:7" s="292" customFormat="1" ht="42" customHeight="1" x14ac:dyDescent="0.2">
      <c r="A346" s="434" t="str">
        <f>"Таблица Д.20 Расчёт неопределенностей температуры в каждой точке установки датчиков по результам измерения при температуре "&amp;""&amp;rh_t5!$C$86&amp;" C° и относительной влажности "&amp;""&amp;rh_t5!$C$39&amp;" %"</f>
        <v>Таблица Д.20 Расчёт неопределенностей температуры в каждой точке установки датчиков по результам измерения при температуре 40 C° и относительной влажности 98 %</v>
      </c>
      <c r="B346" s="434"/>
      <c r="C346" s="434"/>
      <c r="D346" s="434"/>
      <c r="E346" s="434"/>
      <c r="F346" s="434"/>
      <c r="G346" s="434"/>
    </row>
    <row r="347" spans="1:7" s="292" customFormat="1" ht="38.25" x14ac:dyDescent="0.2">
      <c r="A347" s="305"/>
      <c r="B347" s="306" t="s">
        <v>7</v>
      </c>
      <c r="C347" s="307" t="s">
        <v>84</v>
      </c>
      <c r="D347" s="306" t="s">
        <v>9</v>
      </c>
      <c r="E347" s="308" t="s">
        <v>10</v>
      </c>
      <c r="F347" s="306" t="s">
        <v>88</v>
      </c>
      <c r="G347" s="309" t="s">
        <v>87</v>
      </c>
    </row>
    <row r="348" spans="1:7" s="292" customFormat="1" ht="25.5" x14ac:dyDescent="0.2">
      <c r="A348" s="422" t="s">
        <v>32</v>
      </c>
      <c r="B348" s="84" t="s">
        <v>33</v>
      </c>
      <c r="C348" s="77">
        <f>rh_t5!T51</f>
        <v>0.1</v>
      </c>
      <c r="D348" s="77" t="str">
        <f>rh_t5!U51</f>
        <v>Нормальное</v>
      </c>
      <c r="E348" s="91">
        <f>rh_t5!V51</f>
        <v>2</v>
      </c>
      <c r="F348" s="77">
        <f>rh_t5!W51</f>
        <v>0.05</v>
      </c>
      <c r="G348" s="86">
        <f>rh_t5!X51</f>
        <v>2.5000000000000005E-3</v>
      </c>
    </row>
    <row r="349" spans="1:7" s="292" customFormat="1" x14ac:dyDescent="0.2">
      <c r="A349" s="423"/>
      <c r="B349" s="84" t="s">
        <v>14</v>
      </c>
      <c r="C349" s="77">
        <f>rh_t5!T52</f>
        <v>0.01</v>
      </c>
      <c r="D349" s="77" t="str">
        <f>rh_t5!U52</f>
        <v>Нормальное</v>
      </c>
      <c r="E349" s="91">
        <f>rh_t5!V52</f>
        <v>1</v>
      </c>
      <c r="F349" s="77">
        <f>rh_t5!W52</f>
        <v>0.01</v>
      </c>
      <c r="G349" s="86">
        <f>rh_t5!X52</f>
        <v>1E-4</v>
      </c>
    </row>
    <row r="350" spans="1:7" s="292" customFormat="1" x14ac:dyDescent="0.2">
      <c r="A350" s="423"/>
      <c r="B350" s="84" t="s">
        <v>15</v>
      </c>
      <c r="C350" s="77">
        <f>rh_t5!T53</f>
        <v>0.01</v>
      </c>
      <c r="D350" s="77" t="str">
        <f>rh_t5!U53</f>
        <v>Прямоугольное</v>
      </c>
      <c r="E350" s="91">
        <f>rh_t5!V53</f>
        <v>1.73</v>
      </c>
      <c r="F350" s="77">
        <f>rh_t5!W53</f>
        <v>5.7803468208092491E-3</v>
      </c>
      <c r="G350" s="86">
        <f>rh_t5!X53</f>
        <v>3.3412409368839592E-5</v>
      </c>
    </row>
    <row r="351" spans="1:7" s="292" customFormat="1" ht="25.5" x14ac:dyDescent="0.2">
      <c r="A351" s="423"/>
      <c r="B351" s="84" t="s">
        <v>17</v>
      </c>
      <c r="C351" s="77">
        <f>rh_t5!T54</f>
        <v>0.01</v>
      </c>
      <c r="D351" s="77" t="str">
        <f>rh_t5!U54</f>
        <v>Прямоугольное</v>
      </c>
      <c r="E351" s="91">
        <f>rh_t5!V54</f>
        <v>1.73</v>
      </c>
      <c r="F351" s="77">
        <f>rh_t5!W54</f>
        <v>5.7803468208092491E-3</v>
      </c>
      <c r="G351" s="86">
        <f>rh_t5!X54</f>
        <v>3.3412409368839592E-5</v>
      </c>
    </row>
    <row r="352" spans="1:7" s="292" customFormat="1" x14ac:dyDescent="0.2">
      <c r="A352" s="423"/>
      <c r="B352" s="84" t="s">
        <v>18</v>
      </c>
      <c r="C352" s="77">
        <f>rh_t5!T55</f>
        <v>0.1</v>
      </c>
      <c r="D352" s="77" t="str">
        <f>rh_t5!U55</f>
        <v>Прямоугольное</v>
      </c>
      <c r="E352" s="91">
        <f>rh_t5!V55</f>
        <v>1.73</v>
      </c>
      <c r="F352" s="77">
        <f>rh_t5!W55</f>
        <v>5.7803468208092491E-2</v>
      </c>
      <c r="G352" s="86">
        <f>rh_t5!X55</f>
        <v>3.3412409368839594E-3</v>
      </c>
    </row>
    <row r="353" spans="1:7" s="292" customFormat="1" x14ac:dyDescent="0.2">
      <c r="A353" s="423"/>
      <c r="B353" s="84" t="s">
        <v>19</v>
      </c>
      <c r="C353" s="77">
        <f>rh_t5!T56</f>
        <v>0.02</v>
      </c>
      <c r="D353" s="77" t="str">
        <f>rh_t5!U56</f>
        <v>Прямоугольное</v>
      </c>
      <c r="E353" s="91">
        <f>rh_t5!V56</f>
        <v>1.73</v>
      </c>
      <c r="F353" s="77">
        <f>rh_t5!W56</f>
        <v>1.1560693641618498E-2</v>
      </c>
      <c r="G353" s="86">
        <f>rh_t5!X56</f>
        <v>1.3364963747535837E-4</v>
      </c>
    </row>
    <row r="354" spans="1:7" s="292" customFormat="1" ht="45" customHeight="1" x14ac:dyDescent="0.2">
      <c r="A354" s="424"/>
      <c r="B354" s="84" t="s">
        <v>20</v>
      </c>
      <c r="C354" s="77">
        <f>rh_t5!T57</f>
        <v>0.01</v>
      </c>
      <c r="D354" s="77" t="str">
        <f>rh_t5!U57</f>
        <v>Прямоугольное</v>
      </c>
      <c r="E354" s="91">
        <f>rh_t5!V57</f>
        <v>1.73</v>
      </c>
      <c r="F354" s="77">
        <f>rh_t5!W57</f>
        <v>5.7803468208092491E-3</v>
      </c>
      <c r="G354" s="86">
        <f>rh_t5!X57</f>
        <v>3.3412409368839592E-5</v>
      </c>
    </row>
    <row r="355" spans="1:7" s="292" customFormat="1" ht="39" x14ac:dyDescent="0.2">
      <c r="A355" s="153" t="s">
        <v>34</v>
      </c>
      <c r="B355" s="84" t="s">
        <v>21</v>
      </c>
      <c r="C355" s="77">
        <f>rh_t5!T58</f>
        <v>0.13765721558447</v>
      </c>
      <c r="D355" s="77" t="str">
        <f>rh_t5!U58</f>
        <v>Нормальное</v>
      </c>
      <c r="E355" s="91">
        <f>rh_t5!V58</f>
        <v>1</v>
      </c>
      <c r="F355" s="77">
        <f>rh_t5!W58</f>
        <v>0.13765721558447</v>
      </c>
      <c r="G355" s="86">
        <f>rh_t5!X58</f>
        <v>1.894950900246925E-2</v>
      </c>
    </row>
    <row r="356" spans="1:7" s="292" customFormat="1" x14ac:dyDescent="0.2">
      <c r="A356" s="83"/>
      <c r="B356" s="83"/>
      <c r="C356" s="89"/>
      <c r="D356" s="83"/>
      <c r="E356" s="92"/>
      <c r="F356" s="83"/>
      <c r="G356" s="87"/>
    </row>
    <row r="357" spans="1:7" s="292" customFormat="1" x14ac:dyDescent="0.2">
      <c r="A357" s="78" t="str">
        <f>"Cумма квадратов (σ²): "&amp;""&amp;rh_t5!$S80</f>
        <v>Cумма квадратов (σ²): 0,00626056</v>
      </c>
      <c r="C357" s="90"/>
      <c r="E357" s="65"/>
      <c r="G357" s="56"/>
    </row>
    <row r="358" spans="1:7" s="292" customFormat="1" x14ac:dyDescent="0.2">
      <c r="A358" s="79" t="str">
        <f>"Общая среднеквадратичная неопределенность (σ): ±"&amp;""&amp;rh_t5!$V80&amp;" °C"</f>
        <v>Общая среднеквадратичная неопределенность (σ): ±0,079 °C</v>
      </c>
      <c r="C358" s="90"/>
      <c r="E358" s="65"/>
      <c r="G358" s="56"/>
    </row>
    <row r="359" spans="1:7" s="292" customFormat="1" x14ac:dyDescent="0.2">
      <c r="A359" s="82" t="str">
        <f>"Расширенная неопределенность при 95 % доверительной вероятности (2σ): ±"&amp;""&amp;rh_t5!$X80&amp;" °C"</f>
        <v>Расширенная неопределенность при 95 % доверительной вероятности (2σ): ±0,158 °C</v>
      </c>
      <c r="C359" s="90"/>
      <c r="E359" s="65"/>
      <c r="G359" s="56"/>
    </row>
    <row r="360" spans="1:7" s="292" customFormat="1" ht="14.25" customHeight="1" x14ac:dyDescent="0.2">
      <c r="C360" s="90"/>
      <c r="E360" s="65"/>
      <c r="G360" s="56"/>
    </row>
    <row r="361" spans="1:7" s="292" customFormat="1" x14ac:dyDescent="0.2">
      <c r="A361" s="425" t="s">
        <v>79</v>
      </c>
      <c r="B361" s="425"/>
      <c r="C361" s="425"/>
      <c r="D361" s="425"/>
      <c r="E361" s="425"/>
      <c r="F361" s="425"/>
      <c r="G361" s="425"/>
    </row>
    <row r="362" spans="1:7" s="292" customFormat="1" x14ac:dyDescent="0.2">
      <c r="A362" s="425"/>
      <c r="B362" s="425"/>
      <c r="C362" s="425"/>
      <c r="D362" s="425"/>
      <c r="E362" s="425"/>
      <c r="F362" s="425"/>
      <c r="G362" s="425"/>
    </row>
    <row r="363" spans="1:7" s="292" customFormat="1" x14ac:dyDescent="0.2">
      <c r="A363" s="425"/>
      <c r="B363" s="425"/>
      <c r="C363" s="425"/>
      <c r="D363" s="425"/>
      <c r="E363" s="425"/>
      <c r="F363" s="425"/>
      <c r="G363" s="425"/>
    </row>
    <row r="364" spans="1:7" s="292" customFormat="1" x14ac:dyDescent="0.2">
      <c r="A364" s="425"/>
      <c r="B364" s="425"/>
      <c r="C364" s="425"/>
      <c r="D364" s="425"/>
      <c r="E364" s="425"/>
      <c r="F364" s="425"/>
      <c r="G364" s="425"/>
    </row>
    <row r="365" spans="1:7" s="292" customFormat="1" x14ac:dyDescent="0.2">
      <c r="A365" s="425"/>
      <c r="B365" s="425"/>
      <c r="C365" s="425"/>
      <c r="D365" s="425"/>
      <c r="E365" s="425"/>
      <c r="F365" s="425"/>
      <c r="G365" s="425"/>
    </row>
    <row r="366" spans="1:7" hidden="1" x14ac:dyDescent="0.2"/>
    <row r="367" spans="1:7" hidden="1" x14ac:dyDescent="0.2"/>
    <row r="368" spans="1:7" hidden="1" x14ac:dyDescent="0.2"/>
    <row r="369" hidden="1" x14ac:dyDescent="0.2"/>
    <row r="370" hidden="1" x14ac:dyDescent="0.2"/>
    <row r="371" hidden="1" x14ac:dyDescent="0.2"/>
    <row r="372" hidden="1" x14ac:dyDescent="0.2"/>
    <row r="373" hidden="1" x14ac:dyDescent="0.2"/>
    <row r="374" hidden="1" x14ac:dyDescent="0.2"/>
    <row r="375" hidden="1" x14ac:dyDescent="0.2"/>
    <row r="376" hidden="1" x14ac:dyDescent="0.2"/>
    <row r="377" hidden="1" x14ac:dyDescent="0.2"/>
    <row r="378" hidden="1" x14ac:dyDescent="0.2"/>
    <row r="379" hidden="1" x14ac:dyDescent="0.2"/>
    <row r="380" hidden="1" x14ac:dyDescent="0.2"/>
    <row r="381" hidden="1" x14ac:dyDescent="0.2"/>
    <row r="382" hidden="1" x14ac:dyDescent="0.2"/>
    <row r="383" hidden="1" x14ac:dyDescent="0.2"/>
    <row r="384" hidden="1" x14ac:dyDescent="0.2"/>
    <row r="385" hidden="1" x14ac:dyDescent="0.2"/>
    <row r="386" hidden="1" x14ac:dyDescent="0.2"/>
    <row r="387" hidden="1" x14ac:dyDescent="0.2"/>
    <row r="388" hidden="1" x14ac:dyDescent="0.2"/>
    <row r="389" hidden="1" x14ac:dyDescent="0.2"/>
    <row r="390" hidden="1" x14ac:dyDescent="0.2"/>
    <row r="391" hidden="1" x14ac:dyDescent="0.2"/>
    <row r="392" hidden="1" x14ac:dyDescent="0.2"/>
    <row r="393" hidden="1" x14ac:dyDescent="0.2"/>
    <row r="394" hidden="1" x14ac:dyDescent="0.2"/>
    <row r="395" hidden="1" x14ac:dyDescent="0.2"/>
    <row r="396" hidden="1" x14ac:dyDescent="0.2"/>
    <row r="397" hidden="1" x14ac:dyDescent="0.2"/>
    <row r="398" hidden="1" x14ac:dyDescent="0.2"/>
    <row r="399" hidden="1" x14ac:dyDescent="0.2"/>
    <row r="400" hidden="1" x14ac:dyDescent="0.2"/>
    <row r="401" hidden="1" x14ac:dyDescent="0.2"/>
    <row r="402" hidden="1" x14ac:dyDescent="0.2"/>
    <row r="403" hidden="1" x14ac:dyDescent="0.2"/>
    <row r="404" hidden="1" x14ac:dyDescent="0.2"/>
    <row r="405" hidden="1" x14ac:dyDescent="0.2"/>
    <row r="406" hidden="1" x14ac:dyDescent="0.2"/>
    <row r="407" hidden="1" x14ac:dyDescent="0.2"/>
    <row r="408" hidden="1" x14ac:dyDescent="0.2"/>
    <row r="409" hidden="1" x14ac:dyDescent="0.2"/>
    <row r="410" hidden="1" x14ac:dyDescent="0.2"/>
    <row r="411" hidden="1" x14ac:dyDescent="0.2"/>
    <row r="412" hidden="1" x14ac:dyDescent="0.2"/>
    <row r="413" hidden="1" x14ac:dyDescent="0.2"/>
    <row r="414" hidden="1" x14ac:dyDescent="0.2"/>
    <row r="415" hidden="1" x14ac:dyDescent="0.2"/>
    <row r="416" hidden="1" x14ac:dyDescent="0.2"/>
    <row r="417" hidden="1" x14ac:dyDescent="0.2"/>
    <row r="418" hidden="1" x14ac:dyDescent="0.2"/>
    <row r="419" hidden="1" x14ac:dyDescent="0.2"/>
    <row r="420" hidden="1" x14ac:dyDescent="0.2"/>
    <row r="421" hidden="1" x14ac:dyDescent="0.2"/>
    <row r="422" hidden="1" x14ac:dyDescent="0.2"/>
    <row r="423" hidden="1" x14ac:dyDescent="0.2"/>
    <row r="424" hidden="1" x14ac:dyDescent="0.2"/>
    <row r="425" hidden="1" x14ac:dyDescent="0.2"/>
    <row r="426" hidden="1" x14ac:dyDescent="0.2"/>
    <row r="427" hidden="1" x14ac:dyDescent="0.2"/>
    <row r="428" hidden="1" x14ac:dyDescent="0.2"/>
    <row r="429" hidden="1" x14ac:dyDescent="0.2"/>
    <row r="430" hidden="1" x14ac:dyDescent="0.2"/>
    <row r="431" hidden="1" x14ac:dyDescent="0.2"/>
    <row r="432" hidden="1" x14ac:dyDescent="0.2"/>
    <row r="433" hidden="1" x14ac:dyDescent="0.2"/>
    <row r="434" hidden="1" x14ac:dyDescent="0.2"/>
    <row r="435" hidden="1" x14ac:dyDescent="0.2"/>
    <row r="436" hidden="1" x14ac:dyDescent="0.2"/>
    <row r="437" hidden="1" x14ac:dyDescent="0.2"/>
    <row r="438" hidden="1" x14ac:dyDescent="0.2"/>
    <row r="439" hidden="1" x14ac:dyDescent="0.2"/>
    <row r="440" hidden="1" x14ac:dyDescent="0.2"/>
    <row r="441" hidden="1" x14ac:dyDescent="0.2"/>
    <row r="442" hidden="1" x14ac:dyDescent="0.2"/>
    <row r="443" hidden="1" x14ac:dyDescent="0.2"/>
    <row r="444" hidden="1" x14ac:dyDescent="0.2"/>
    <row r="445" hidden="1" x14ac:dyDescent="0.2"/>
    <row r="446" hidden="1" x14ac:dyDescent="0.2"/>
    <row r="447" hidden="1" x14ac:dyDescent="0.2"/>
    <row r="448" hidden="1" x14ac:dyDescent="0.2"/>
    <row r="449" hidden="1" x14ac:dyDescent="0.2"/>
    <row r="450" hidden="1" x14ac:dyDescent="0.2"/>
    <row r="451" hidden="1" x14ac:dyDescent="0.2"/>
    <row r="452" hidden="1" x14ac:dyDescent="0.2"/>
    <row r="453" hidden="1" x14ac:dyDescent="0.2"/>
    <row r="454" hidden="1" x14ac:dyDescent="0.2"/>
    <row r="455" hidden="1" x14ac:dyDescent="0.2"/>
    <row r="456" hidden="1" x14ac:dyDescent="0.2"/>
    <row r="457" hidden="1" x14ac:dyDescent="0.2"/>
    <row r="458" hidden="1" x14ac:dyDescent="0.2"/>
    <row r="459" hidden="1" x14ac:dyDescent="0.2"/>
    <row r="460" hidden="1" x14ac:dyDescent="0.2"/>
    <row r="461" hidden="1" x14ac:dyDescent="0.2"/>
    <row r="462" hidden="1" x14ac:dyDescent="0.2"/>
    <row r="463" hidden="1" x14ac:dyDescent="0.2"/>
    <row r="464" hidden="1" x14ac:dyDescent="0.2"/>
    <row r="465" hidden="1" x14ac:dyDescent="0.2"/>
    <row r="466" hidden="1" x14ac:dyDescent="0.2"/>
    <row r="467" hidden="1" x14ac:dyDescent="0.2"/>
    <row r="468" hidden="1" x14ac:dyDescent="0.2"/>
    <row r="469" hidden="1" x14ac:dyDescent="0.2"/>
    <row r="470" hidden="1" x14ac:dyDescent="0.2"/>
    <row r="471" hidden="1" x14ac:dyDescent="0.2"/>
    <row r="472" hidden="1" x14ac:dyDescent="0.2"/>
    <row r="473" hidden="1" x14ac:dyDescent="0.2"/>
    <row r="474" hidden="1" x14ac:dyDescent="0.2"/>
    <row r="475" hidden="1" x14ac:dyDescent="0.2"/>
    <row r="476" hidden="1" x14ac:dyDescent="0.2"/>
    <row r="477" hidden="1" x14ac:dyDescent="0.2"/>
    <row r="478" hidden="1" x14ac:dyDescent="0.2"/>
    <row r="479" hidden="1" x14ac:dyDescent="0.2"/>
    <row r="480" hidden="1" x14ac:dyDescent="0.2"/>
    <row r="481" hidden="1" x14ac:dyDescent="0.2"/>
    <row r="482" hidden="1" x14ac:dyDescent="0.2"/>
    <row r="483" hidden="1" x14ac:dyDescent="0.2"/>
    <row r="484" hidden="1" x14ac:dyDescent="0.2"/>
    <row r="485" hidden="1" x14ac:dyDescent="0.2"/>
    <row r="486" hidden="1" x14ac:dyDescent="0.2"/>
    <row r="487" hidden="1" x14ac:dyDescent="0.2"/>
    <row r="488" hidden="1" x14ac:dyDescent="0.2"/>
    <row r="489" hidden="1" x14ac:dyDescent="0.2"/>
    <row r="490" hidden="1" x14ac:dyDescent="0.2"/>
    <row r="491" hidden="1" x14ac:dyDescent="0.2"/>
    <row r="492" hidden="1" x14ac:dyDescent="0.2"/>
    <row r="493" hidden="1" x14ac:dyDescent="0.2"/>
    <row r="494" hidden="1" x14ac:dyDescent="0.2"/>
    <row r="495" hidden="1" x14ac:dyDescent="0.2"/>
    <row r="496" hidden="1" x14ac:dyDescent="0.2"/>
    <row r="497" hidden="1" x14ac:dyDescent="0.2"/>
    <row r="498" hidden="1" x14ac:dyDescent="0.2"/>
    <row r="499" hidden="1" x14ac:dyDescent="0.2"/>
    <row r="500" hidden="1" x14ac:dyDescent="0.2"/>
    <row r="501" hidden="1" x14ac:dyDescent="0.2"/>
    <row r="502" hidden="1" x14ac:dyDescent="0.2"/>
    <row r="503" hidden="1" x14ac:dyDescent="0.2"/>
    <row r="504" hidden="1" x14ac:dyDescent="0.2"/>
    <row r="505" hidden="1" x14ac:dyDescent="0.2"/>
    <row r="506" hidden="1" x14ac:dyDescent="0.2"/>
    <row r="507" hidden="1" x14ac:dyDescent="0.2"/>
    <row r="508" hidden="1" x14ac:dyDescent="0.2"/>
    <row r="509" hidden="1" x14ac:dyDescent="0.2"/>
    <row r="510" hidden="1" x14ac:dyDescent="0.2"/>
    <row r="511" hidden="1" x14ac:dyDescent="0.2"/>
    <row r="512" hidden="1" x14ac:dyDescent="0.2"/>
    <row r="513" hidden="1" x14ac:dyDescent="0.2"/>
    <row r="514" hidden="1" x14ac:dyDescent="0.2"/>
    <row r="515" hidden="1" x14ac:dyDescent="0.2"/>
    <row r="516" hidden="1" x14ac:dyDescent="0.2"/>
    <row r="517" hidden="1" x14ac:dyDescent="0.2"/>
    <row r="518" hidden="1" x14ac:dyDescent="0.2"/>
    <row r="519" hidden="1" x14ac:dyDescent="0.2"/>
    <row r="520" hidden="1" x14ac:dyDescent="0.2"/>
    <row r="521" hidden="1" x14ac:dyDescent="0.2"/>
    <row r="522" hidden="1" x14ac:dyDescent="0.2"/>
    <row r="523" hidden="1" x14ac:dyDescent="0.2"/>
    <row r="524" hidden="1" x14ac:dyDescent="0.2"/>
    <row r="525" hidden="1" x14ac:dyDescent="0.2"/>
    <row r="526" hidden="1" x14ac:dyDescent="0.2"/>
    <row r="527" hidden="1" x14ac:dyDescent="0.2"/>
    <row r="528" hidden="1" x14ac:dyDescent="0.2"/>
    <row r="529" hidden="1" x14ac:dyDescent="0.2"/>
    <row r="530" hidden="1" x14ac:dyDescent="0.2"/>
    <row r="531" hidden="1" x14ac:dyDescent="0.2"/>
    <row r="532" hidden="1" x14ac:dyDescent="0.2"/>
    <row r="533" hidden="1" x14ac:dyDescent="0.2"/>
    <row r="534" hidden="1" x14ac:dyDescent="0.2"/>
    <row r="535" hidden="1" x14ac:dyDescent="0.2"/>
    <row r="536" hidden="1" x14ac:dyDescent="0.2"/>
    <row r="537" hidden="1" x14ac:dyDescent="0.2"/>
    <row r="538" hidden="1" x14ac:dyDescent="0.2"/>
    <row r="539" hidden="1" x14ac:dyDescent="0.2"/>
    <row r="540" hidden="1" x14ac:dyDescent="0.2"/>
    <row r="541" hidden="1" x14ac:dyDescent="0.2"/>
    <row r="542" hidden="1" x14ac:dyDescent="0.2"/>
    <row r="543" hidden="1" x14ac:dyDescent="0.2"/>
    <row r="544" hidden="1" x14ac:dyDescent="0.2"/>
    <row r="545" hidden="1" x14ac:dyDescent="0.2"/>
    <row r="546" hidden="1" x14ac:dyDescent="0.2"/>
    <row r="547" hidden="1" x14ac:dyDescent="0.2"/>
    <row r="548" hidden="1" x14ac:dyDescent="0.2"/>
    <row r="549" hidden="1" x14ac:dyDescent="0.2"/>
    <row r="550" hidden="1" x14ac:dyDescent="0.2"/>
    <row r="551" hidden="1" x14ac:dyDescent="0.2"/>
    <row r="552" hidden="1" x14ac:dyDescent="0.2"/>
    <row r="553" hidden="1" x14ac:dyDescent="0.2"/>
    <row r="554" hidden="1" x14ac:dyDescent="0.2"/>
    <row r="555" hidden="1" x14ac:dyDescent="0.2"/>
    <row r="556" hidden="1" x14ac:dyDescent="0.2"/>
    <row r="557" hidden="1" x14ac:dyDescent="0.2"/>
    <row r="558" hidden="1" x14ac:dyDescent="0.2"/>
    <row r="559" hidden="1" x14ac:dyDescent="0.2"/>
    <row r="560" hidden="1" x14ac:dyDescent="0.2"/>
    <row r="561" hidden="1" x14ac:dyDescent="0.2"/>
    <row r="562" hidden="1" x14ac:dyDescent="0.2"/>
    <row r="563" hidden="1" x14ac:dyDescent="0.2"/>
    <row r="564" hidden="1" x14ac:dyDescent="0.2"/>
    <row r="565" hidden="1" x14ac:dyDescent="0.2"/>
    <row r="566" hidden="1" x14ac:dyDescent="0.2"/>
    <row r="567" hidden="1" x14ac:dyDescent="0.2"/>
    <row r="568" hidden="1" x14ac:dyDescent="0.2"/>
    <row r="569" hidden="1" x14ac:dyDescent="0.2"/>
    <row r="570" hidden="1" x14ac:dyDescent="0.2"/>
    <row r="571" hidden="1" x14ac:dyDescent="0.2"/>
    <row r="572" hidden="1" x14ac:dyDescent="0.2"/>
    <row r="573" hidden="1" x14ac:dyDescent="0.2"/>
    <row r="574" hidden="1" x14ac:dyDescent="0.2"/>
    <row r="575" hidden="1" x14ac:dyDescent="0.2"/>
    <row r="576" hidden="1" x14ac:dyDescent="0.2"/>
    <row r="577" hidden="1" x14ac:dyDescent="0.2"/>
    <row r="578" hidden="1" x14ac:dyDescent="0.2"/>
    <row r="579" hidden="1" x14ac:dyDescent="0.2"/>
    <row r="580" hidden="1" x14ac:dyDescent="0.2"/>
    <row r="581" hidden="1" x14ac:dyDescent="0.2"/>
    <row r="582" hidden="1" x14ac:dyDescent="0.2"/>
    <row r="583" hidden="1" x14ac:dyDescent="0.2"/>
    <row r="584" hidden="1" x14ac:dyDescent="0.2"/>
    <row r="585" hidden="1" x14ac:dyDescent="0.2"/>
    <row r="586" hidden="1" x14ac:dyDescent="0.2"/>
    <row r="587" hidden="1" x14ac:dyDescent="0.2"/>
    <row r="588" hidden="1" x14ac:dyDescent="0.2"/>
    <row r="589" hidden="1" x14ac:dyDescent="0.2"/>
    <row r="590" hidden="1" x14ac:dyDescent="0.2"/>
    <row r="591" hidden="1" x14ac:dyDescent="0.2"/>
    <row r="592" hidden="1" x14ac:dyDescent="0.2"/>
    <row r="593" hidden="1" x14ac:dyDescent="0.2"/>
    <row r="594" hidden="1" x14ac:dyDescent="0.2"/>
    <row r="595" hidden="1" x14ac:dyDescent="0.2"/>
    <row r="596" hidden="1" x14ac:dyDescent="0.2"/>
    <row r="597" hidden="1" x14ac:dyDescent="0.2"/>
    <row r="598" hidden="1" x14ac:dyDescent="0.2"/>
    <row r="599" hidden="1" x14ac:dyDescent="0.2"/>
    <row r="600" hidden="1" x14ac:dyDescent="0.2"/>
    <row r="601" hidden="1" x14ac:dyDescent="0.2"/>
    <row r="602" hidden="1" x14ac:dyDescent="0.2"/>
    <row r="603" hidden="1" x14ac:dyDescent="0.2"/>
    <row r="604" hidden="1" x14ac:dyDescent="0.2"/>
    <row r="605" hidden="1" x14ac:dyDescent="0.2"/>
    <row r="606" hidden="1" x14ac:dyDescent="0.2"/>
    <row r="607" hidden="1" x14ac:dyDescent="0.2"/>
    <row r="608" hidden="1" x14ac:dyDescent="0.2"/>
    <row r="609" hidden="1" x14ac:dyDescent="0.2"/>
    <row r="610" hidden="1" x14ac:dyDescent="0.2"/>
    <row r="611" hidden="1" x14ac:dyDescent="0.2"/>
    <row r="612" hidden="1" x14ac:dyDescent="0.2"/>
    <row r="613" hidden="1" x14ac:dyDescent="0.2"/>
    <row r="614" hidden="1" x14ac:dyDescent="0.2"/>
    <row r="615" hidden="1" x14ac:dyDescent="0.2"/>
    <row r="616" hidden="1" x14ac:dyDescent="0.2"/>
    <row r="617" hidden="1" x14ac:dyDescent="0.2"/>
    <row r="618" hidden="1" x14ac:dyDescent="0.2"/>
    <row r="619" hidden="1" x14ac:dyDescent="0.2"/>
    <row r="620" hidden="1" x14ac:dyDescent="0.2"/>
    <row r="621" hidden="1" x14ac:dyDescent="0.2"/>
    <row r="622" hidden="1" x14ac:dyDescent="0.2"/>
    <row r="623" hidden="1" x14ac:dyDescent="0.2"/>
    <row r="624" hidden="1" x14ac:dyDescent="0.2"/>
    <row r="625" hidden="1" x14ac:dyDescent="0.2"/>
    <row r="626" hidden="1" x14ac:dyDescent="0.2"/>
    <row r="627" hidden="1" x14ac:dyDescent="0.2"/>
    <row r="628" hidden="1" x14ac:dyDescent="0.2"/>
    <row r="629" hidden="1" x14ac:dyDescent="0.2"/>
    <row r="630" hidden="1" x14ac:dyDescent="0.2"/>
    <row r="631" hidden="1" x14ac:dyDescent="0.2"/>
    <row r="632" hidden="1" x14ac:dyDescent="0.2"/>
    <row r="633" hidden="1" x14ac:dyDescent="0.2"/>
    <row r="634" hidden="1" x14ac:dyDescent="0.2"/>
    <row r="635" hidden="1" x14ac:dyDescent="0.2"/>
    <row r="636" hidden="1" x14ac:dyDescent="0.2"/>
    <row r="637" hidden="1" x14ac:dyDescent="0.2"/>
    <row r="638" hidden="1" x14ac:dyDescent="0.2"/>
    <row r="639" hidden="1" x14ac:dyDescent="0.2"/>
    <row r="640" hidden="1" x14ac:dyDescent="0.2"/>
    <row r="641" hidden="1" x14ac:dyDescent="0.2"/>
    <row r="642" hidden="1" x14ac:dyDescent="0.2"/>
    <row r="643" hidden="1" x14ac:dyDescent="0.2"/>
    <row r="644" hidden="1" x14ac:dyDescent="0.2"/>
    <row r="645" hidden="1" x14ac:dyDescent="0.2"/>
    <row r="646" hidden="1" x14ac:dyDescent="0.2"/>
    <row r="647" hidden="1" x14ac:dyDescent="0.2"/>
    <row r="648" hidden="1" x14ac:dyDescent="0.2"/>
    <row r="649" hidden="1" x14ac:dyDescent="0.2"/>
    <row r="650" hidden="1" x14ac:dyDescent="0.2"/>
    <row r="651" hidden="1" x14ac:dyDescent="0.2"/>
    <row r="652" hidden="1" x14ac:dyDescent="0.2"/>
    <row r="653" hidden="1" x14ac:dyDescent="0.2"/>
    <row r="654" hidden="1" x14ac:dyDescent="0.2"/>
    <row r="655" hidden="1" x14ac:dyDescent="0.2"/>
    <row r="656" hidden="1" x14ac:dyDescent="0.2"/>
    <row r="657" hidden="1" x14ac:dyDescent="0.2"/>
    <row r="658" hidden="1" x14ac:dyDescent="0.2"/>
    <row r="659" hidden="1" x14ac:dyDescent="0.2"/>
    <row r="660" hidden="1" x14ac:dyDescent="0.2"/>
    <row r="661" hidden="1" x14ac:dyDescent="0.2"/>
    <row r="662" hidden="1" x14ac:dyDescent="0.2"/>
    <row r="663" hidden="1" x14ac:dyDescent="0.2"/>
    <row r="664" hidden="1" x14ac:dyDescent="0.2"/>
    <row r="665" hidden="1" x14ac:dyDescent="0.2"/>
    <row r="666" hidden="1" x14ac:dyDescent="0.2"/>
    <row r="667" hidden="1" x14ac:dyDescent="0.2"/>
    <row r="668" hidden="1" x14ac:dyDescent="0.2"/>
    <row r="669" hidden="1" x14ac:dyDescent="0.2"/>
    <row r="670" hidden="1" x14ac:dyDescent="0.2"/>
    <row r="671" hidden="1" x14ac:dyDescent="0.2"/>
    <row r="672" hidden="1" x14ac:dyDescent="0.2"/>
    <row r="673" hidden="1" x14ac:dyDescent="0.2"/>
    <row r="674" hidden="1" x14ac:dyDescent="0.2"/>
    <row r="675" hidden="1" x14ac:dyDescent="0.2"/>
    <row r="676" hidden="1" x14ac:dyDescent="0.2"/>
    <row r="677" hidden="1" x14ac:dyDescent="0.2"/>
    <row r="678" hidden="1" x14ac:dyDescent="0.2"/>
    <row r="679" hidden="1" x14ac:dyDescent="0.2"/>
    <row r="680" hidden="1" x14ac:dyDescent="0.2"/>
    <row r="681" hidden="1" x14ac:dyDescent="0.2"/>
    <row r="682" hidden="1" x14ac:dyDescent="0.2"/>
    <row r="683" hidden="1" x14ac:dyDescent="0.2"/>
    <row r="684" hidden="1" x14ac:dyDescent="0.2"/>
    <row r="685" hidden="1" x14ac:dyDescent="0.2"/>
    <row r="686" hidden="1" x14ac:dyDescent="0.2"/>
    <row r="687" hidden="1" x14ac:dyDescent="0.2"/>
    <row r="688" hidden="1" x14ac:dyDescent="0.2"/>
    <row r="689" hidden="1" x14ac:dyDescent="0.2"/>
    <row r="690" hidden="1" x14ac:dyDescent="0.2"/>
    <row r="691" hidden="1" x14ac:dyDescent="0.2"/>
    <row r="692" hidden="1" x14ac:dyDescent="0.2"/>
    <row r="693" hidden="1" x14ac:dyDescent="0.2"/>
    <row r="694" hidden="1" x14ac:dyDescent="0.2"/>
    <row r="695" hidden="1" x14ac:dyDescent="0.2"/>
    <row r="696" hidden="1" x14ac:dyDescent="0.2"/>
    <row r="697" hidden="1" x14ac:dyDescent="0.2"/>
    <row r="698" hidden="1" x14ac:dyDescent="0.2"/>
    <row r="699" hidden="1" x14ac:dyDescent="0.2"/>
    <row r="700" hidden="1" x14ac:dyDescent="0.2"/>
    <row r="701" hidden="1" x14ac:dyDescent="0.2"/>
    <row r="702" hidden="1" x14ac:dyDescent="0.2"/>
    <row r="703" hidden="1" x14ac:dyDescent="0.2"/>
    <row r="704" hidden="1" x14ac:dyDescent="0.2"/>
    <row r="705" hidden="1" x14ac:dyDescent="0.2"/>
    <row r="706" hidden="1" x14ac:dyDescent="0.2"/>
    <row r="707" hidden="1" x14ac:dyDescent="0.2"/>
    <row r="708" hidden="1" x14ac:dyDescent="0.2"/>
    <row r="709" hidden="1" x14ac:dyDescent="0.2"/>
    <row r="710" hidden="1" x14ac:dyDescent="0.2"/>
    <row r="711" hidden="1" x14ac:dyDescent="0.2"/>
    <row r="712" hidden="1" x14ac:dyDescent="0.2"/>
    <row r="713" hidden="1" x14ac:dyDescent="0.2"/>
    <row r="714" hidden="1" x14ac:dyDescent="0.2"/>
    <row r="715" hidden="1" x14ac:dyDescent="0.2"/>
    <row r="716" hidden="1" x14ac:dyDescent="0.2"/>
    <row r="717" hidden="1" x14ac:dyDescent="0.2"/>
    <row r="718" hidden="1" x14ac:dyDescent="0.2"/>
    <row r="719" hidden="1" x14ac:dyDescent="0.2"/>
    <row r="720" hidden="1" x14ac:dyDescent="0.2"/>
    <row r="721" hidden="1" x14ac:dyDescent="0.2"/>
    <row r="722" hidden="1" x14ac:dyDescent="0.2"/>
    <row r="723" hidden="1" x14ac:dyDescent="0.2"/>
    <row r="724" hidden="1" x14ac:dyDescent="0.2"/>
    <row r="725" hidden="1" x14ac:dyDescent="0.2"/>
    <row r="726" hidden="1" x14ac:dyDescent="0.2"/>
    <row r="727" hidden="1" x14ac:dyDescent="0.2"/>
    <row r="728" hidden="1" x14ac:dyDescent="0.2"/>
    <row r="729" hidden="1" x14ac:dyDescent="0.2"/>
    <row r="730" hidden="1" x14ac:dyDescent="0.2"/>
    <row r="731" hidden="1" x14ac:dyDescent="0.2"/>
    <row r="732" hidden="1" x14ac:dyDescent="0.2"/>
    <row r="733" hidden="1" x14ac:dyDescent="0.2"/>
    <row r="734" hidden="1" x14ac:dyDescent="0.2"/>
    <row r="735" hidden="1" x14ac:dyDescent="0.2"/>
    <row r="736" hidden="1" x14ac:dyDescent="0.2"/>
    <row r="737" hidden="1" x14ac:dyDescent="0.2"/>
    <row r="738" hidden="1" x14ac:dyDescent="0.2"/>
    <row r="739" hidden="1" x14ac:dyDescent="0.2"/>
    <row r="740" hidden="1" x14ac:dyDescent="0.2"/>
    <row r="741" hidden="1" x14ac:dyDescent="0.2"/>
    <row r="742" hidden="1" x14ac:dyDescent="0.2"/>
    <row r="743" hidden="1" x14ac:dyDescent="0.2"/>
    <row r="744" hidden="1" x14ac:dyDescent="0.2"/>
    <row r="745" hidden="1" x14ac:dyDescent="0.2"/>
    <row r="746" hidden="1" x14ac:dyDescent="0.2"/>
    <row r="747" hidden="1" x14ac:dyDescent="0.2"/>
    <row r="748" hidden="1" x14ac:dyDescent="0.2"/>
    <row r="749" hidden="1" x14ac:dyDescent="0.2"/>
    <row r="750" hidden="1" x14ac:dyDescent="0.2"/>
    <row r="751" hidden="1" x14ac:dyDescent="0.2"/>
    <row r="752" hidden="1" x14ac:dyDescent="0.2"/>
  </sheetData>
  <mergeCells count="60">
    <mergeCell ref="A1:G1"/>
    <mergeCell ref="A3:A9"/>
    <mergeCell ref="A10:A12"/>
    <mergeCell ref="A54:G54"/>
    <mergeCell ref="A69:G73"/>
    <mergeCell ref="A18:G18"/>
    <mergeCell ref="A20:A26"/>
    <mergeCell ref="A33:G36"/>
    <mergeCell ref="A37:G37"/>
    <mergeCell ref="A39:A45"/>
    <mergeCell ref="A46:A48"/>
    <mergeCell ref="A56:A62"/>
    <mergeCell ref="A164:G164"/>
    <mergeCell ref="A106:G109"/>
    <mergeCell ref="A110:G110"/>
    <mergeCell ref="A112:A118"/>
    <mergeCell ref="A119:A121"/>
    <mergeCell ref="A127:G127"/>
    <mergeCell ref="A129:A135"/>
    <mergeCell ref="A142:G146"/>
    <mergeCell ref="A147:G147"/>
    <mergeCell ref="A149:A155"/>
    <mergeCell ref="A156:A158"/>
    <mergeCell ref="A192:A194"/>
    <mergeCell ref="A166:A172"/>
    <mergeCell ref="A179:G182"/>
    <mergeCell ref="A183:G183"/>
    <mergeCell ref="A185:A191"/>
    <mergeCell ref="A302:A304"/>
    <mergeCell ref="A265:A267"/>
    <mergeCell ref="A273:G273"/>
    <mergeCell ref="A275:A281"/>
    <mergeCell ref="A288:G292"/>
    <mergeCell ref="A293:G293"/>
    <mergeCell ref="A74:G74"/>
    <mergeCell ref="A76:A82"/>
    <mergeCell ref="A83:A85"/>
    <mergeCell ref="A91:G91"/>
    <mergeCell ref="A93:A99"/>
    <mergeCell ref="A200:G200"/>
    <mergeCell ref="A202:A208"/>
    <mergeCell ref="A215:G219"/>
    <mergeCell ref="A220:G220"/>
    <mergeCell ref="A222:A228"/>
    <mergeCell ref="A361:G365"/>
    <mergeCell ref="A229:A231"/>
    <mergeCell ref="A237:G237"/>
    <mergeCell ref="A239:A245"/>
    <mergeCell ref="A252:G255"/>
    <mergeCell ref="A256:G256"/>
    <mergeCell ref="A325:G328"/>
    <mergeCell ref="A329:G329"/>
    <mergeCell ref="A331:A337"/>
    <mergeCell ref="A338:A340"/>
    <mergeCell ref="A258:A264"/>
    <mergeCell ref="A346:G346"/>
    <mergeCell ref="A348:A354"/>
    <mergeCell ref="A310:G310"/>
    <mergeCell ref="A312:A318"/>
    <mergeCell ref="A295:A301"/>
  </mergeCells>
  <conditionalFormatting sqref="A14:A16">
    <cfRule type="duplicateValues" dxfId="18" priority="26" stopIfTrue="1"/>
  </conditionalFormatting>
  <conditionalFormatting sqref="A29:A31">
    <cfRule type="duplicateValues" dxfId="17" priority="25" stopIfTrue="1"/>
  </conditionalFormatting>
  <conditionalFormatting sqref="A87:A89">
    <cfRule type="duplicateValues" dxfId="16" priority="8" stopIfTrue="1"/>
  </conditionalFormatting>
  <conditionalFormatting sqref="A102:A104">
    <cfRule type="duplicateValues" dxfId="15" priority="7" stopIfTrue="1"/>
  </conditionalFormatting>
  <conditionalFormatting sqref="A160:A162">
    <cfRule type="duplicateValues" dxfId="14" priority="6" stopIfTrue="1"/>
  </conditionalFormatting>
  <conditionalFormatting sqref="A175:A177">
    <cfRule type="duplicateValues" dxfId="13" priority="5" stopIfTrue="1"/>
  </conditionalFormatting>
  <conditionalFormatting sqref="A233:A235">
    <cfRule type="duplicateValues" dxfId="12" priority="4" stopIfTrue="1"/>
  </conditionalFormatting>
  <conditionalFormatting sqref="A248:A250">
    <cfRule type="duplicateValues" dxfId="11" priority="3" stopIfTrue="1"/>
  </conditionalFormatting>
  <conditionalFormatting sqref="A306:A308">
    <cfRule type="duplicateValues" dxfId="10" priority="2" stopIfTrue="1"/>
  </conditionalFormatting>
  <conditionalFormatting sqref="A321:A323">
    <cfRule type="duplicateValues" dxfId="9" priority="1" stopIfTrue="1"/>
  </conditionalFormatting>
  <pageMargins left="0.70866141732283461" right="0.70866141732283461" top="0.74803149606299213" bottom="0.74803149606299213" header="0.31496062992125984" footer="0.31496062992125984"/>
  <pageSetup paperSize="9" orientation="portrait" r:id="rId1"/>
  <headerFooter scaleWithDoc="0">
    <oddHeader>&amp;C&amp;P</oddHeader>
    <oddFooter>&amp;C&amp;"Arial,&amp;ïîëóæèðíûé"&amp;14Протокол первичной аттестации от 18.05.2020г. № 1994.1</oddFooter>
    <evenHeader>&amp;C&amp;P</evenHeader>
    <firstHeader>&amp;C&amp;"Arial,обычный"&amp;14&amp;P</firstHeader>
    <firstFooter>&amp;C&amp;"Arial,&amp;полужирный"&amp;14Протокол первичной аттестации от 18.05.2020г. № 1994.1</first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13"/>
  <dimension ref="A1:H25"/>
  <sheetViews>
    <sheetView view="pageLayout" zoomScale="85" zoomScaleNormal="55" zoomScalePageLayoutView="85" workbookViewId="0">
      <selection activeCell="C9" sqref="C9:E9"/>
    </sheetView>
  </sheetViews>
  <sheetFormatPr defaultRowHeight="14.25" x14ac:dyDescent="0.2"/>
  <sheetData>
    <row r="1" spans="1:8" ht="14.25" customHeight="1" x14ac:dyDescent="0.2">
      <c r="A1" s="341"/>
      <c r="B1" s="341"/>
      <c r="C1" s="341"/>
      <c r="D1" s="341"/>
      <c r="E1" s="341"/>
      <c r="F1" s="341"/>
      <c r="G1" s="341"/>
      <c r="H1" s="341"/>
    </row>
    <row r="2" spans="1:8" ht="14.25" customHeight="1" x14ac:dyDescent="0.2">
      <c r="A2" s="444" t="s">
        <v>380</v>
      </c>
      <c r="B2" s="444"/>
      <c r="C2" s="444"/>
      <c r="D2" s="444"/>
      <c r="E2" s="444"/>
      <c r="F2" s="444"/>
      <c r="G2" s="444"/>
      <c r="H2" s="444"/>
    </row>
    <row r="3" spans="1:8" ht="32.25" customHeight="1" x14ac:dyDescent="0.2">
      <c r="A3" s="444"/>
      <c r="B3" s="444"/>
      <c r="C3" s="444"/>
      <c r="D3" s="444"/>
      <c r="E3" s="444"/>
      <c r="F3" s="444"/>
      <c r="G3" s="444"/>
      <c r="H3" s="444"/>
    </row>
    <row r="4" spans="1:8" ht="36" customHeight="1" x14ac:dyDescent="0.35">
      <c r="A4" s="446" t="s">
        <v>381</v>
      </c>
      <c r="B4" s="446"/>
      <c r="C4" s="446" t="s">
        <v>382</v>
      </c>
      <c r="D4" s="446"/>
      <c r="E4" s="446"/>
      <c r="F4" s="446" t="s">
        <v>383</v>
      </c>
      <c r="G4" s="446"/>
      <c r="H4" s="446"/>
    </row>
    <row r="5" spans="1:8" ht="14.25" customHeight="1" x14ac:dyDescent="0.2">
      <c r="A5" s="444">
        <v>1</v>
      </c>
      <c r="B5" s="444"/>
      <c r="C5" s="445"/>
      <c r="D5" s="445"/>
      <c r="E5" s="445"/>
      <c r="F5" s="445"/>
      <c r="G5" s="445"/>
      <c r="H5" s="445"/>
    </row>
    <row r="6" spans="1:8" ht="14.25" customHeight="1" x14ac:dyDescent="0.2">
      <c r="A6" s="444">
        <v>2</v>
      </c>
      <c r="B6" s="444"/>
      <c r="C6" s="445"/>
      <c r="D6" s="445"/>
      <c r="E6" s="445"/>
      <c r="F6" s="445"/>
      <c r="G6" s="445"/>
      <c r="H6" s="445"/>
    </row>
    <row r="7" spans="1:8" ht="14.25" customHeight="1" x14ac:dyDescent="0.2">
      <c r="A7" s="444">
        <v>3</v>
      </c>
      <c r="B7" s="444"/>
      <c r="C7" s="445"/>
      <c r="D7" s="445"/>
      <c r="E7" s="445"/>
      <c r="F7" s="445"/>
      <c r="G7" s="445"/>
      <c r="H7" s="445"/>
    </row>
    <row r="8" spans="1:8" ht="14.25" customHeight="1" x14ac:dyDescent="0.2">
      <c r="A8" s="444">
        <v>4</v>
      </c>
      <c r="B8" s="444"/>
      <c r="C8" s="445"/>
      <c r="D8" s="445"/>
      <c r="E8" s="445"/>
      <c r="F8" s="445"/>
      <c r="G8" s="445"/>
      <c r="H8" s="445"/>
    </row>
    <row r="9" spans="1:8" ht="14.25" customHeight="1" x14ac:dyDescent="0.2">
      <c r="A9" s="444">
        <v>5</v>
      </c>
      <c r="B9" s="444"/>
      <c r="C9" s="445"/>
      <c r="D9" s="445"/>
      <c r="E9" s="445"/>
      <c r="F9" s="445"/>
      <c r="G9" s="445"/>
      <c r="H9" s="445"/>
    </row>
    <row r="10" spans="1:8" ht="14.25" customHeight="1" x14ac:dyDescent="0.2">
      <c r="A10" s="444">
        <v>6</v>
      </c>
      <c r="B10" s="444"/>
      <c r="C10" s="445"/>
      <c r="D10" s="445"/>
      <c r="E10" s="445"/>
      <c r="F10" s="445"/>
      <c r="G10" s="445"/>
      <c r="H10" s="445"/>
    </row>
    <row r="11" spans="1:8" ht="14.25" customHeight="1" x14ac:dyDescent="0.2">
      <c r="A11" s="444">
        <v>7</v>
      </c>
      <c r="B11" s="444"/>
      <c r="C11" s="445"/>
      <c r="D11" s="445"/>
      <c r="E11" s="445"/>
      <c r="F11" s="445"/>
      <c r="G11" s="445"/>
      <c r="H11" s="445"/>
    </row>
    <row r="12" spans="1:8" ht="14.25" customHeight="1" x14ac:dyDescent="0.2">
      <c r="A12" s="444">
        <v>8</v>
      </c>
      <c r="B12" s="444"/>
      <c r="C12" s="445"/>
      <c r="D12" s="445"/>
      <c r="E12" s="445"/>
      <c r="F12" s="445"/>
      <c r="G12" s="445"/>
      <c r="H12" s="445"/>
    </row>
    <row r="13" spans="1:8" ht="14.25" customHeight="1" x14ac:dyDescent="0.2">
      <c r="A13" s="444">
        <v>9</v>
      </c>
      <c r="B13" s="444"/>
      <c r="C13" s="445"/>
      <c r="D13" s="445"/>
      <c r="E13" s="445"/>
      <c r="F13" s="445"/>
      <c r="G13" s="445"/>
      <c r="H13" s="445"/>
    </row>
    <row r="14" spans="1:8" ht="14.25" customHeight="1" x14ac:dyDescent="0.2">
      <c r="A14" s="444">
        <v>10</v>
      </c>
      <c r="B14" s="444"/>
      <c r="C14" s="445"/>
      <c r="D14" s="445"/>
      <c r="E14" s="445"/>
      <c r="F14" s="445"/>
      <c r="G14" s="445"/>
      <c r="H14" s="445"/>
    </row>
    <row r="15" spans="1:8" ht="14.25" customHeight="1" x14ac:dyDescent="0.2">
      <c r="A15" s="341"/>
      <c r="B15" s="341"/>
      <c r="C15" s="341"/>
      <c r="D15" s="341"/>
      <c r="E15" s="341"/>
      <c r="F15" s="341"/>
      <c r="G15" s="341"/>
      <c r="H15" s="341"/>
    </row>
    <row r="16" spans="1:8" ht="14.25" customHeight="1" x14ac:dyDescent="0.2">
      <c r="A16" s="341"/>
      <c r="B16" s="341"/>
      <c r="C16" s="341"/>
      <c r="D16" s="341"/>
      <c r="E16" s="341"/>
      <c r="F16" s="341"/>
      <c r="G16" s="341"/>
      <c r="H16" s="341"/>
    </row>
    <row r="17" spans="1:8" ht="14.25" customHeight="1" x14ac:dyDescent="0.2">
      <c r="A17" s="341"/>
      <c r="B17" s="341"/>
      <c r="C17" s="341"/>
      <c r="D17" s="341"/>
      <c r="E17" s="341"/>
      <c r="F17" s="341"/>
      <c r="G17" s="341"/>
      <c r="H17" s="341"/>
    </row>
    <row r="18" spans="1:8" ht="14.25" customHeight="1" x14ac:dyDescent="0.2">
      <c r="A18" s="341"/>
      <c r="B18" s="341"/>
      <c r="C18" s="341"/>
      <c r="D18" s="341"/>
      <c r="E18" s="341"/>
      <c r="F18" s="341"/>
      <c r="G18" s="341"/>
      <c r="H18" s="341"/>
    </row>
    <row r="19" spans="1:8" ht="15" x14ac:dyDescent="0.2">
      <c r="A19" s="342"/>
      <c r="B19" s="342"/>
      <c r="C19" s="342"/>
      <c r="D19" s="342"/>
      <c r="E19" s="342"/>
      <c r="F19" s="342"/>
      <c r="G19" s="342"/>
      <c r="H19" s="342"/>
    </row>
    <row r="20" spans="1:8" ht="15" x14ac:dyDescent="0.2">
      <c r="A20" s="342"/>
      <c r="B20" s="342"/>
      <c r="C20" s="342"/>
      <c r="D20" s="342"/>
      <c r="E20" s="342"/>
      <c r="F20" s="342"/>
      <c r="G20" s="342"/>
      <c r="H20" s="342"/>
    </row>
    <row r="21" spans="1:8" ht="15" x14ac:dyDescent="0.2">
      <c r="A21" s="342"/>
      <c r="B21" s="342"/>
      <c r="C21" s="342"/>
      <c r="D21" s="342"/>
      <c r="E21" s="342"/>
      <c r="F21" s="342"/>
      <c r="G21" s="342"/>
      <c r="H21" s="342"/>
    </row>
    <row r="22" spans="1:8" ht="15" x14ac:dyDescent="0.2">
      <c r="A22" s="342"/>
      <c r="B22" s="342"/>
      <c r="C22" s="342"/>
      <c r="D22" s="342"/>
      <c r="E22" s="342"/>
      <c r="F22" s="342"/>
      <c r="G22" s="342"/>
      <c r="H22" s="342"/>
    </row>
    <row r="23" spans="1:8" ht="15" x14ac:dyDescent="0.2">
      <c r="A23" s="342"/>
      <c r="B23" s="342"/>
      <c r="C23" s="342"/>
      <c r="D23" s="342"/>
      <c r="E23" s="342"/>
      <c r="F23" s="342"/>
      <c r="G23" s="342"/>
      <c r="H23" s="342"/>
    </row>
    <row r="24" spans="1:8" ht="15" x14ac:dyDescent="0.2">
      <c r="A24" s="342"/>
      <c r="B24" s="342"/>
      <c r="C24" s="342"/>
      <c r="D24" s="342"/>
      <c r="E24" s="342"/>
      <c r="F24" s="342"/>
      <c r="G24" s="342"/>
      <c r="H24" s="342"/>
    </row>
    <row r="25" spans="1:8" ht="15" x14ac:dyDescent="0.2">
      <c r="A25" s="342"/>
      <c r="B25" s="342"/>
      <c r="C25" s="342"/>
      <c r="D25" s="342"/>
      <c r="E25" s="342"/>
      <c r="F25" s="342"/>
      <c r="G25" s="342"/>
      <c r="H25" s="342"/>
    </row>
  </sheetData>
  <mergeCells count="34">
    <mergeCell ref="C9:E9"/>
    <mergeCell ref="F14:H14"/>
    <mergeCell ref="F9:H9"/>
    <mergeCell ref="F10:H10"/>
    <mergeCell ref="F11:H11"/>
    <mergeCell ref="F12:H12"/>
    <mergeCell ref="F13:H13"/>
    <mergeCell ref="C10:E10"/>
    <mergeCell ref="C11:E11"/>
    <mergeCell ref="C12:E12"/>
    <mergeCell ref="C13:E13"/>
    <mergeCell ref="C14:E14"/>
    <mergeCell ref="A2:H3"/>
    <mergeCell ref="A5:B5"/>
    <mergeCell ref="A6:B6"/>
    <mergeCell ref="A7:B7"/>
    <mergeCell ref="A8:B8"/>
    <mergeCell ref="F5:H5"/>
    <mergeCell ref="F6:H6"/>
    <mergeCell ref="F7:H7"/>
    <mergeCell ref="F8:H8"/>
    <mergeCell ref="A4:B4"/>
    <mergeCell ref="C4:E4"/>
    <mergeCell ref="F4:H4"/>
    <mergeCell ref="C5:E5"/>
    <mergeCell ref="C6:E6"/>
    <mergeCell ref="C7:E7"/>
    <mergeCell ref="C8:E8"/>
    <mergeCell ref="A14:B14"/>
    <mergeCell ref="A9:B9"/>
    <mergeCell ref="A10:B10"/>
    <mergeCell ref="A11:B11"/>
    <mergeCell ref="A12:B12"/>
    <mergeCell ref="A13:B13"/>
  </mergeCells>
  <pageMargins left="0.7" right="0.7" top="0.75" bottom="0.75" header="0.3" footer="0.3"/>
  <pageSetup paperSize="9" orientation="portrait" r:id="rId1"/>
  <headerFooter>
    <oddHeader>&amp;C&amp;14&amp;P</oddHeader>
    <oddFooter>&amp;R&amp;P&amp;C&amp;"Arial,&amp;полужирный"&amp;14Протокол первичной аттестации от 18.05.2020г. № 1994.1</oddFooter>
    <firstFooter>&amp;C&amp;"Arial,&amp;полужирный"&amp;14Протокол первичной аттестации от 18.05.2020г. № 1994.1</first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6"/>
  <dimension ref="A1:AW20"/>
  <sheetViews>
    <sheetView view="pageLayout" zoomScale="70" zoomScaleNormal="100" zoomScalePageLayoutView="70" workbookViewId="0">
      <selection activeCell="K9" sqref="K9"/>
    </sheetView>
  </sheetViews>
  <sheetFormatPr defaultColWidth="9" defaultRowHeight="14.25" x14ac:dyDescent="0.2"/>
  <cols>
    <col min="2" max="2" width="34.625" customWidth="1"/>
    <col min="3" max="3" width="6" customWidth="1"/>
    <col min="4" max="10" width="6" hidden="1" customWidth="1"/>
    <col min="11" max="11" width="22.75" style="150" customWidth="1"/>
    <col min="13" max="13" width="3.875" customWidth="1"/>
    <col min="15" max="15" width="6.625" customWidth="1"/>
  </cols>
  <sheetData>
    <row r="1" spans="1:11" ht="18.75" customHeight="1" x14ac:dyDescent="0.2">
      <c r="A1" s="447" t="s">
        <v>351</v>
      </c>
      <c r="B1" s="447"/>
      <c r="C1" s="447"/>
      <c r="D1" s="447"/>
      <c r="E1" s="447"/>
      <c r="F1" s="447"/>
      <c r="G1" s="447"/>
      <c r="H1" s="447"/>
      <c r="I1" s="447"/>
      <c r="J1" s="447"/>
      <c r="K1" s="447"/>
    </row>
    <row r="2" spans="1:11" ht="36" customHeight="1" x14ac:dyDescent="0.2">
      <c r="A2" s="69" t="s">
        <v>30</v>
      </c>
      <c r="B2" s="310" t="s">
        <v>26</v>
      </c>
      <c r="C2" s="466" t="s">
        <v>226</v>
      </c>
      <c r="D2" s="467"/>
      <c r="E2" s="467"/>
      <c r="F2" s="467"/>
      <c r="G2" s="467"/>
      <c r="H2" s="467"/>
      <c r="I2" s="467"/>
      <c r="J2" s="468"/>
      <c r="K2" s="148" t="s">
        <v>27</v>
      </c>
    </row>
    <row r="3" spans="1:11" ht="33" x14ac:dyDescent="0.2">
      <c r="A3" s="175">
        <v>1</v>
      </c>
      <c r="B3" s="71" t="s">
        <v>62</v>
      </c>
      <c r="C3" s="326">
        <f>'t1'!C39</f>
        <v>-75</v>
      </c>
      <c r="D3" s="326">
        <f>'t2'!C39</f>
        <v>-55</v>
      </c>
      <c r="E3" s="326">
        <f>'t3'!C39</f>
        <v>-35</v>
      </c>
      <c r="F3" s="326">
        <f>'t4'!C39</f>
        <v>-15</v>
      </c>
      <c r="G3" s="326">
        <f>'t5'!C39</f>
        <v>40</v>
      </c>
      <c r="H3" s="326">
        <f>'t6'!C39</f>
        <v>25</v>
      </c>
      <c r="I3" s="326">
        <f>'t7'!C39</f>
        <v>45</v>
      </c>
      <c r="J3" s="326">
        <f>'t8'!C39</f>
        <v>65</v>
      </c>
      <c r="K3" s="149" t="str">
        <f>"От "&amp;VLOOKUP(info!D3,Таблица[#All],2,0)&amp;" °С до "&amp;VLOOKUP(info!D3,Таблица[#All],3,0)&amp;" °С"</f>
        <v>От -40 °С до 100 °С</v>
      </c>
    </row>
    <row r="4" spans="1:11" ht="51.75" customHeight="1" x14ac:dyDescent="0.2">
      <c r="A4" s="175">
        <v>2</v>
      </c>
      <c r="B4" s="71" t="s">
        <v>54</v>
      </c>
      <c r="C4" s="327">
        <f>'t1'!C40</f>
        <v>-75.431505666666666</v>
      </c>
      <c r="D4" s="327">
        <f>'t2'!C40</f>
        <v>-55.431505666666681</v>
      </c>
      <c r="E4" s="327">
        <f>'t3'!C40</f>
        <v>-35.431505666666652</v>
      </c>
      <c r="F4" s="327">
        <f>'t4'!C40</f>
        <v>-15.431505666666665</v>
      </c>
      <c r="G4" s="327">
        <f>'t5'!C40</f>
        <v>4.568494333333331</v>
      </c>
      <c r="H4" s="327">
        <f>'t6'!C40</f>
        <v>24.568494333333334</v>
      </c>
      <c r="I4" s="327">
        <f>'t7'!C40</f>
        <v>44.568494333333348</v>
      </c>
      <c r="J4" s="327">
        <f>'t8'!C40</f>
        <v>64.568494333333305</v>
      </c>
    </row>
    <row r="5" spans="1:11" ht="36" customHeight="1" x14ac:dyDescent="0.2">
      <c r="A5" s="175">
        <v>3</v>
      </c>
      <c r="B5" s="70" t="s">
        <v>55</v>
      </c>
      <c r="C5" s="327">
        <f>'t1'!C41</f>
        <v>-0.43150566666666634</v>
      </c>
      <c r="D5" s="327">
        <f>'t2'!C41</f>
        <v>-0.43150566666668055</v>
      </c>
      <c r="E5" s="327">
        <f>'t3'!C41</f>
        <v>-0.43150566666665213</v>
      </c>
      <c r="F5" s="327">
        <f>'t4'!C41</f>
        <v>-0.43150566666666457</v>
      </c>
      <c r="G5" s="327">
        <f>'t5'!C41</f>
        <v>-35.431505666666666</v>
      </c>
      <c r="H5" s="327">
        <f>'t6'!C41</f>
        <v>-0.43150566666666634</v>
      </c>
      <c r="I5" s="327">
        <f>'t7'!C41</f>
        <v>-0.43150566666665213</v>
      </c>
      <c r="J5" s="327">
        <f>'t8'!C41</f>
        <v>-0.43150566666669476</v>
      </c>
      <c r="K5" s="343" t="str">
        <f>"От "&amp;VLOOKUP(info!D3,Таблица[#All],2,0)&amp;" °С до 100 °С ±"&amp;VLOOKUP(info!D3,Таблица[#All],12,0)&amp;" 
св. 100 °С до "&amp;VLOOKUP(info!D3,Таблица[#All],3,0)&amp;" °С ±"&amp;VLOOKUP(info!D3,Таблица[#All],13,0)</f>
        <v>От -40 °С до 100 °С ±2 
св. 100 °С до 100 °С ±</v>
      </c>
    </row>
    <row r="6" spans="1:11" ht="36.75" customHeight="1" x14ac:dyDescent="0.2">
      <c r="A6" s="175">
        <v>4</v>
      </c>
      <c r="B6" s="70" t="s">
        <v>63</v>
      </c>
      <c r="C6" s="327">
        <f>'t1'!C42</f>
        <v>0.90178300000000888</v>
      </c>
      <c r="D6" s="327">
        <f>'t2'!C46</f>
        <v>0.29273049864533746</v>
      </c>
      <c r="E6" s="327">
        <f>'t3'!C46</f>
        <v>0.29273049864533746</v>
      </c>
      <c r="F6" s="327">
        <f>'t4'!C46</f>
        <v>0.29273049864533757</v>
      </c>
      <c r="G6" s="327">
        <f>'t5'!C46</f>
        <v>0.29273049864533757</v>
      </c>
      <c r="H6" s="327">
        <f>'t6'!C46</f>
        <v>0.29273049864533757</v>
      </c>
      <c r="I6" s="327">
        <f>'t7'!C46</f>
        <v>0.29273049864533746</v>
      </c>
      <c r="J6" s="327">
        <f>'t8'!C46</f>
        <v>0.29273049864533757</v>
      </c>
      <c r="K6" s="148" t="str">
        <f>"От "&amp;VLOOKUP(info!D3,Таблица[#All],2,0)&amp;" °С до 100 °С ±"&amp;VLOOKUP(info!D3,Таблица[#All],9,0)&amp;" 
св. 100 °С до "&amp;VLOOKUP(info!D3,Таблица[#All],3,0)&amp;" °С ±"&amp;VLOOKUP(info!D3,Таблица[#All],10,0)</f>
        <v>От -40 °С до 100 °С ±0,5 
св. 100 °С до 100 °С ±0,5</v>
      </c>
    </row>
    <row r="7" spans="1:11" x14ac:dyDescent="0.2">
      <c r="A7" s="460">
        <v>5</v>
      </c>
      <c r="B7" s="462" t="s">
        <v>56</v>
      </c>
      <c r="C7" s="327">
        <f>'t1'!C43</f>
        <v>0.42052666666667449</v>
      </c>
      <c r="D7" s="327">
        <f>'t2'!C42</f>
        <v>0.90178300000000178</v>
      </c>
      <c r="E7" s="327">
        <f>'t3'!C42</f>
        <v>0.90178300000000178</v>
      </c>
      <c r="F7" s="327">
        <f>'t4'!C42</f>
        <v>0.901783</v>
      </c>
      <c r="G7" s="327">
        <f>'t5'!C42</f>
        <v>0.90178299999999822</v>
      </c>
      <c r="H7" s="327">
        <f>'t6'!C42</f>
        <v>0.90178299999999112</v>
      </c>
      <c r="I7" s="327">
        <f>'t7'!C42</f>
        <v>0.90178300000000888</v>
      </c>
      <c r="J7" s="327">
        <f>'t8'!C42</f>
        <v>0.90178300000002309</v>
      </c>
      <c r="K7" s="464" t="s">
        <v>28</v>
      </c>
    </row>
    <row r="8" spans="1:11" x14ac:dyDescent="0.2">
      <c r="A8" s="461"/>
      <c r="B8" s="463"/>
      <c r="C8" s="327">
        <f>'t1'!C44</f>
        <v>-0.4812563333333344</v>
      </c>
      <c r="D8" s="327">
        <f>'t2'!C43</f>
        <v>0.42052666666666028</v>
      </c>
      <c r="E8" s="327">
        <f>'t3'!C43</f>
        <v>0.42052666666667449</v>
      </c>
      <c r="F8" s="327">
        <f>'t4'!C43</f>
        <v>0.42052666666667271</v>
      </c>
      <c r="G8" s="327">
        <f>'t5'!C43</f>
        <v>0.42052666666666472</v>
      </c>
      <c r="H8" s="327">
        <f>'t6'!C43</f>
        <v>0.42052666666667093</v>
      </c>
      <c r="I8" s="327">
        <f>'t7'!C43</f>
        <v>0.42052666666666738</v>
      </c>
      <c r="J8" s="327">
        <f>'t8'!C43</f>
        <v>0.42052666666667449</v>
      </c>
      <c r="K8" s="465"/>
    </row>
    <row r="9" spans="1:11" ht="24.75" customHeight="1" x14ac:dyDescent="0.2">
      <c r="A9" s="175">
        <v>6</v>
      </c>
      <c r="B9" s="70" t="s">
        <v>323</v>
      </c>
      <c r="C9" s="327">
        <f>'t1'!C45</f>
        <v>2.8333888888889349E-2</v>
      </c>
      <c r="D9" s="327">
        <f>'t2'!C44</f>
        <v>-0.4812563333333415</v>
      </c>
      <c r="E9" s="327">
        <f>'t3'!C44</f>
        <v>-0.48125633333332729</v>
      </c>
      <c r="F9" s="327">
        <f>'t4'!C44</f>
        <v>-0.48125633333332729</v>
      </c>
      <c r="G9" s="327">
        <f>'t5'!C44</f>
        <v>-0.48125633333333351</v>
      </c>
      <c r="H9" s="327">
        <f>'t6'!C44</f>
        <v>-0.48125633333332019</v>
      </c>
      <c r="I9" s="327">
        <f>'t7'!C44</f>
        <v>-0.4812563333333415</v>
      </c>
      <c r="J9" s="327">
        <f>'t8'!C44</f>
        <v>-0.48125633333334861</v>
      </c>
      <c r="K9" s="148" t="str">
        <f>"± "&amp;VLOOKUP(info!D3,Таблица[#All],11,0)&amp;" °С "&amp;IF(ISBLANK(VLOOKUP(info!D3,Таблица[#All],25,0)),,(VLOOKUP(info!D3,Таблица[#All],25,0)))</f>
        <v>± 0,3 °С 3</v>
      </c>
    </row>
    <row r="10" spans="1:11" s="173" customFormat="1" ht="33" x14ac:dyDescent="0.2">
      <c r="A10" s="175">
        <v>7</v>
      </c>
      <c r="B10" s="176" t="s">
        <v>280</v>
      </c>
      <c r="C10" s="327">
        <f>'t1'!C46</f>
        <v>0.29273049864533757</v>
      </c>
      <c r="D10" s="327">
        <f>'t2'!C45</f>
        <v>2.8333888888889349E-2</v>
      </c>
      <c r="E10" s="327">
        <f>'t3'!C45</f>
        <v>2.8333888888889349E-2</v>
      </c>
      <c r="F10" s="327">
        <f>'t4'!C45</f>
        <v>2.8333888888889349E-2</v>
      </c>
      <c r="G10" s="327">
        <f>'t5'!C45</f>
        <v>2.8333888888889349E-2</v>
      </c>
      <c r="H10" s="327">
        <f>'t6'!C45</f>
        <v>2.8333888888889349E-2</v>
      </c>
      <c r="I10" s="327">
        <f>'t7'!C45</f>
        <v>2.8333888888889349E-2</v>
      </c>
      <c r="J10" s="327">
        <f>'t8'!C45</f>
        <v>2.8333888888889349E-2</v>
      </c>
      <c r="K10" s="196"/>
    </row>
    <row r="11" spans="1:11" ht="18.75" x14ac:dyDescent="0.2">
      <c r="A11" s="175">
        <v>8</v>
      </c>
      <c r="B11" s="70" t="s">
        <v>57</v>
      </c>
      <c r="C11" s="457"/>
      <c r="D11" s="458"/>
      <c r="E11" s="458"/>
      <c r="F11" s="458"/>
      <c r="G11" s="458"/>
      <c r="H11" s="458"/>
      <c r="I11" s="458"/>
      <c r="J11" s="459"/>
      <c r="K11" s="148" t="str">
        <f>VLOOKUP(info!D3,Таблица[#All],5,0)&amp;" ± "&amp;ROUND(VLOOKUP(info!D3,Таблица[#All],5,0)*0.2,1)</f>
        <v>3,1 ± 0,6</v>
      </c>
    </row>
    <row r="12" spans="1:11" ht="18.75" x14ac:dyDescent="0.2">
      <c r="A12" s="175">
        <v>9</v>
      </c>
      <c r="B12" s="70" t="s">
        <v>58</v>
      </c>
      <c r="C12" s="448"/>
      <c r="D12" s="449"/>
      <c r="E12" s="449"/>
      <c r="F12" s="449"/>
      <c r="G12" s="449"/>
      <c r="H12" s="449"/>
      <c r="I12" s="449"/>
      <c r="J12" s="450"/>
      <c r="K12" s="148" t="str">
        <f>VLOOKUP(info!D3,Таблица[#All],6,0)&amp;" ± "&amp;ROUND(VLOOKUP(info!D3,Таблица[#All],6,0)*0.2,1)</f>
        <v>1,4 ± 0,3</v>
      </c>
    </row>
    <row r="13" spans="1:11" ht="18.75" x14ac:dyDescent="0.2">
      <c r="A13" s="175">
        <v>10</v>
      </c>
      <c r="B13" s="70" t="s">
        <v>59</v>
      </c>
      <c r="C13" s="454"/>
      <c r="D13" s="455"/>
      <c r="E13" s="455"/>
      <c r="F13" s="455"/>
      <c r="G13" s="455"/>
      <c r="H13" s="455"/>
      <c r="I13" s="455"/>
      <c r="J13" s="456"/>
      <c r="K13" s="148" t="str">
        <f>VLOOKUP(info!D3,Таблица[#All],7,0)&amp;" ± "&amp;ROUND(VLOOKUP(info!D3,Таблица[#All],7,0)*0.1,1)</f>
        <v>45 ± 4,5</v>
      </c>
    </row>
    <row r="14" spans="1:11" ht="18.75" x14ac:dyDescent="0.2">
      <c r="A14" s="295">
        <v>11</v>
      </c>
      <c r="B14" s="70" t="s">
        <v>61</v>
      </c>
      <c r="C14" s="454"/>
      <c r="D14" s="455"/>
      <c r="E14" s="455"/>
      <c r="F14" s="455"/>
      <c r="G14" s="455"/>
      <c r="H14" s="455"/>
      <c r="I14" s="455"/>
      <c r="J14" s="456"/>
      <c r="K14" s="148" t="str">
        <f>VLOOKUP(info!D3,Таблица[#All],7,0)&amp;" ± "&amp;ROUND(VLOOKUP(info!D3,Таблица[#All],7,0)*0.1,1)</f>
        <v>45 ± 4,5</v>
      </c>
    </row>
    <row r="15" spans="1:11" ht="20.25" customHeight="1" x14ac:dyDescent="0.25">
      <c r="A15" s="295">
        <v>12</v>
      </c>
      <c r="B15" s="109" t="s">
        <v>60</v>
      </c>
      <c r="C15" s="451"/>
      <c r="D15" s="452"/>
      <c r="E15" s="452"/>
      <c r="F15" s="452"/>
      <c r="G15" s="452"/>
      <c r="H15" s="452"/>
      <c r="I15" s="452"/>
      <c r="J15" s="453"/>
      <c r="K15" s="75">
        <f>VLOOKUP(info!D3,Таблица[#All],14,0)</f>
        <v>0</v>
      </c>
    </row>
    <row r="16" spans="1:11" ht="16.5" x14ac:dyDescent="0.2">
      <c r="A16" s="295">
        <v>13</v>
      </c>
      <c r="B16" s="2" t="s">
        <v>73</v>
      </c>
      <c r="C16" s="328">
        <f>'t1'!S17</f>
        <v>9.5528420000000003E-2</v>
      </c>
      <c r="D16" s="328">
        <f>'t2'!S17</f>
        <v>9.5528420000000003E-2</v>
      </c>
      <c r="E16" s="328">
        <f>'t3'!S17</f>
        <v>9.5528420000000003E-2</v>
      </c>
      <c r="F16" s="328">
        <f>'t4'!S17</f>
        <v>9.5528420000000003E-2</v>
      </c>
      <c r="G16" s="328">
        <f>'t5'!S17</f>
        <v>9.5528420000000003E-2</v>
      </c>
      <c r="H16" s="328">
        <f>'t6'!S17</f>
        <v>9.5528420000000003E-2</v>
      </c>
      <c r="I16" s="328">
        <f>'t7'!S17</f>
        <v>9.5528420000000003E-2</v>
      </c>
      <c r="J16" s="328">
        <f>'t8'!S17</f>
        <v>9.5528420000000003E-2</v>
      </c>
      <c r="K16" s="151"/>
    </row>
    <row r="17" spans="1:49" ht="15" x14ac:dyDescent="0.25">
      <c r="A17" s="295">
        <v>14</v>
      </c>
      <c r="B17" s="2" t="s">
        <v>74</v>
      </c>
      <c r="C17" s="234">
        <f>'t1'!V17</f>
        <v>0.309</v>
      </c>
      <c r="D17" s="234">
        <f>'t2'!V17</f>
        <v>0.309</v>
      </c>
      <c r="E17" s="234">
        <f>'t3'!V17</f>
        <v>0.309</v>
      </c>
      <c r="F17" s="234">
        <f>'t4'!V17</f>
        <v>0.309</v>
      </c>
      <c r="G17" s="234">
        <f>'t5'!V17</f>
        <v>0.309</v>
      </c>
      <c r="H17" s="234">
        <f>'t6'!V17</f>
        <v>0.309</v>
      </c>
      <c r="I17" s="234">
        <f>'t7'!V17</f>
        <v>0.309</v>
      </c>
      <c r="J17" s="234">
        <f>'t8'!V17</f>
        <v>0.309</v>
      </c>
      <c r="K17" s="151"/>
    </row>
    <row r="18" spans="1:49" ht="43.5" customHeight="1" x14ac:dyDescent="0.25">
      <c r="A18" s="295">
        <v>15</v>
      </c>
      <c r="B18" s="74" t="s">
        <v>75</v>
      </c>
      <c r="C18" s="234">
        <f>'t1'!X17</f>
        <v>0.61799999999999999</v>
      </c>
      <c r="D18" s="234">
        <f>'t2'!X17</f>
        <v>0.61799999999999999</v>
      </c>
      <c r="E18" s="234">
        <f>'t3'!X17</f>
        <v>0.61799999999999999</v>
      </c>
      <c r="F18" s="234">
        <f>'t4'!X17</f>
        <v>0.61799999999999999</v>
      </c>
      <c r="G18" s="234">
        <f>'t5'!X17</f>
        <v>0.61799999999999999</v>
      </c>
      <c r="H18" s="234">
        <f>'t6'!X17</f>
        <v>0.61799999999999999</v>
      </c>
      <c r="I18" s="234">
        <f>'t7'!X17</f>
        <v>0.61799999999999999</v>
      </c>
      <c r="J18" s="234">
        <f>'t8'!X17</f>
        <v>0.61799999999999999</v>
      </c>
      <c r="K18" s="151"/>
    </row>
    <row r="19" spans="1:49" ht="15.75" x14ac:dyDescent="0.2">
      <c r="A19" s="108" t="s">
        <v>152</v>
      </c>
    </row>
    <row r="20" spans="1:49" ht="15.75" customHeight="1" x14ac:dyDescent="0.25">
      <c r="A20" s="108" t="s">
        <v>53</v>
      </c>
      <c r="B20" s="107"/>
      <c r="C20" s="107"/>
      <c r="D20" s="107"/>
      <c r="E20" s="107"/>
      <c r="F20" s="107"/>
      <c r="G20" s="107"/>
      <c r="H20" s="107"/>
      <c r="I20" s="107"/>
      <c r="J20" s="107"/>
      <c r="K20" s="152"/>
      <c r="L20" s="106"/>
      <c r="M20" s="106"/>
      <c r="N20" s="106"/>
      <c r="O20" s="106"/>
      <c r="P20" s="106"/>
      <c r="Q20" s="106"/>
      <c r="R20" s="106"/>
      <c r="S20" s="106"/>
      <c r="T20" s="106"/>
      <c r="U20" s="106"/>
      <c r="V20" s="106"/>
      <c r="W20" s="106"/>
      <c r="X20" s="106"/>
      <c r="Y20" s="106"/>
      <c r="Z20" s="106"/>
      <c r="AA20" s="106"/>
      <c r="AB20" s="106"/>
      <c r="AC20" s="106"/>
      <c r="AD20" s="106"/>
      <c r="AE20" s="106"/>
      <c r="AF20" s="106"/>
      <c r="AG20" s="106"/>
      <c r="AH20" s="106"/>
      <c r="AI20" s="106"/>
      <c r="AJ20" s="106"/>
      <c r="AK20" s="106"/>
      <c r="AL20" s="106"/>
      <c r="AM20" s="106"/>
      <c r="AN20" s="106"/>
      <c r="AO20" s="106"/>
      <c r="AP20" s="106"/>
      <c r="AQ20" s="106"/>
      <c r="AR20" s="106"/>
      <c r="AS20" s="106"/>
      <c r="AT20" s="106"/>
      <c r="AU20" s="106"/>
      <c r="AV20" s="106"/>
      <c r="AW20" s="106"/>
    </row>
  </sheetData>
  <sheetProtection formatCells="0" selectLockedCells="1" selectUnlockedCells="1"/>
  <mergeCells count="10">
    <mergeCell ref="A1:K1"/>
    <mergeCell ref="C12:J12"/>
    <mergeCell ref="C15:J15"/>
    <mergeCell ref="C14:J14"/>
    <mergeCell ref="C13:J13"/>
    <mergeCell ref="C11:J11"/>
    <mergeCell ref="A7:A8"/>
    <mergeCell ref="B7:B8"/>
    <mergeCell ref="K7:K8"/>
    <mergeCell ref="C2:J2"/>
  </mergeCells>
  <conditionalFormatting sqref="K15">
    <cfRule type="cellIs" dxfId="8" priority="1" operator="equal">
      <formula>0</formula>
    </cfRule>
  </conditionalFormatting>
  <pageMargins left="0.70866141732283461" right="0.70866141732283461" top="0.74803149606299213" bottom="0.74803149606299213" header="0.31496062992125984" footer="0.31496062992125984"/>
  <pageSetup paperSize="9" orientation="landscape" r:id="rId1"/>
  <headerFooter scaleWithDoc="0">
    <oddHeader>&amp;C&amp;14&amp;P</oddHeader>
    <oddFooter>&amp;C&amp;"Arial,&amp;ïîëóæèðíûé"&amp;14Протокол первичной аттестации от 18.05.2020г. № 1994.1</oddFooter>
    <evenHeader>&amp;C&amp;P</evenHeader>
    <firstHeader>&amp;C&amp;"Arial,обычный"&amp;14&amp;P</firstHeader>
    <firstFooter>&amp;C&amp;"Arial,&amp;полужирный"&amp;14Протокол первичной аттестации от 18.05.2020г. № 1994.1</first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7"/>
  <dimension ref="A1:I25"/>
  <sheetViews>
    <sheetView view="pageLayout" zoomScale="85" zoomScaleNormal="85" zoomScalePageLayoutView="85" workbookViewId="0">
      <selection activeCell="H18" sqref="H18"/>
    </sheetView>
  </sheetViews>
  <sheetFormatPr defaultColWidth="9" defaultRowHeight="12.75" x14ac:dyDescent="0.2"/>
  <cols>
    <col min="1" max="1" width="6.25" style="203" customWidth="1"/>
    <col min="2" max="2" width="50" style="203" customWidth="1"/>
    <col min="3" max="3" width="7.25" style="203" customWidth="1"/>
    <col min="4" max="7" width="7" style="203" customWidth="1"/>
    <col min="8" max="8" width="22.125" style="203" customWidth="1"/>
    <col min="9" max="12" width="9" style="203"/>
    <col min="13" max="13" width="3.875" style="203" customWidth="1"/>
    <col min="14" max="14" width="9" style="203"/>
    <col min="15" max="15" width="6.625" style="203" customWidth="1"/>
    <col min="16" max="16384" width="9" style="203"/>
  </cols>
  <sheetData>
    <row r="1" spans="1:9" ht="32.25" customHeight="1" x14ac:dyDescent="0.2">
      <c r="A1" s="469" t="s">
        <v>365</v>
      </c>
      <c r="B1" s="469"/>
      <c r="C1" s="469"/>
      <c r="D1" s="469"/>
      <c r="E1" s="469"/>
      <c r="F1" s="469"/>
      <c r="G1" s="469"/>
      <c r="H1" s="469"/>
    </row>
    <row r="2" spans="1:9" ht="35.25" customHeight="1" x14ac:dyDescent="0.2">
      <c r="A2" s="197" t="s">
        <v>30</v>
      </c>
      <c r="B2" s="198" t="s">
        <v>340</v>
      </c>
      <c r="C2" s="472" t="s">
        <v>341</v>
      </c>
      <c r="D2" s="473"/>
      <c r="E2" s="473"/>
      <c r="F2" s="473"/>
      <c r="G2" s="473"/>
      <c r="H2" s="198" t="s">
        <v>27</v>
      </c>
    </row>
    <row r="3" spans="1:9" ht="25.5" x14ac:dyDescent="0.2">
      <c r="A3" s="311">
        <v>1</v>
      </c>
      <c r="B3" s="314" t="s">
        <v>339</v>
      </c>
      <c r="C3" s="313" t="str">
        <f>C4&amp;" %
"&amp;C15&amp;" °С"</f>
        <v>98 %
40 °С</v>
      </c>
      <c r="D3" s="313" t="str">
        <f t="shared" ref="D3:G3" si="0">D4&amp;" %
"&amp;D15&amp;" °С"</f>
        <v>98 %
40 °С</v>
      </c>
      <c r="E3" s="313" t="str">
        <f t="shared" si="0"/>
        <v>98 %
40 °С</v>
      </c>
      <c r="F3" s="313" t="str">
        <f t="shared" si="0"/>
        <v>98 %
40 °С</v>
      </c>
      <c r="G3" s="313" t="str">
        <f t="shared" si="0"/>
        <v>98 %
40 °С</v>
      </c>
      <c r="H3" s="312"/>
    </row>
    <row r="4" spans="1:9" ht="14.25" x14ac:dyDescent="0.2">
      <c r="A4" s="199">
        <v>2</v>
      </c>
      <c r="B4" s="315" t="s">
        <v>281</v>
      </c>
      <c r="C4" s="329">
        <f>rh_t1!C39</f>
        <v>98</v>
      </c>
      <c r="D4" s="329">
        <f>rh_t2!C39</f>
        <v>98</v>
      </c>
      <c r="E4" s="329">
        <f>rh_t3!C39</f>
        <v>98</v>
      </c>
      <c r="F4" s="329">
        <f>rh_t4!C39</f>
        <v>98</v>
      </c>
      <c r="G4" s="329">
        <f>rh_t5!C39</f>
        <v>98</v>
      </c>
      <c r="H4" s="201"/>
    </row>
    <row r="5" spans="1:9" ht="27" x14ac:dyDescent="0.2">
      <c r="A5" s="199">
        <v>3</v>
      </c>
      <c r="B5" s="315" t="s">
        <v>282</v>
      </c>
      <c r="C5" s="330">
        <f>rh_t1!C40</f>
        <v>99.171518518518354</v>
      </c>
      <c r="D5" s="330">
        <f>rh_t2!C40</f>
        <v>99.171518518518354</v>
      </c>
      <c r="E5" s="330">
        <f>rh_t3!C40</f>
        <v>99.171518518518354</v>
      </c>
      <c r="F5" s="330">
        <f>rh_t4!C40</f>
        <v>99.171518518518354</v>
      </c>
      <c r="G5" s="330">
        <f>rh_t5!C40</f>
        <v>99.171518518518354</v>
      </c>
      <c r="H5" s="204" t="str">
        <f>"От "&amp;VLOOKUP(info!D3,Таблица[#All],20,0)&amp;" % до "&amp;VLOOKUP(info!D3,Таблица[#All],21,0)&amp;" %"</f>
        <v>От  % до  %</v>
      </c>
    </row>
    <row r="6" spans="1:9" ht="27" x14ac:dyDescent="0.2">
      <c r="A6" s="199">
        <v>4</v>
      </c>
      <c r="B6" s="314" t="s">
        <v>285</v>
      </c>
      <c r="C6" s="330">
        <f>rh_t1!C41</f>
        <v>1.1715185185183543</v>
      </c>
      <c r="D6" s="330">
        <f>rh_t2!C41</f>
        <v>1.1715185185183543</v>
      </c>
      <c r="E6" s="330">
        <f>rh_t3!C41</f>
        <v>1.1715185185183543</v>
      </c>
      <c r="F6" s="330">
        <f>rh_t4!C41</f>
        <v>1.1715185185183543</v>
      </c>
      <c r="G6" s="330">
        <f>rh_t5!C41</f>
        <v>1.1715185185183543</v>
      </c>
      <c r="H6" s="202" t="str">
        <f>VLOOKUP(info!D3,Таблица[#All],22,0)&amp;" %"</f>
        <v xml:space="preserve"> %</v>
      </c>
    </row>
    <row r="7" spans="1:9" ht="14.25" x14ac:dyDescent="0.2">
      <c r="A7" s="199">
        <v>5</v>
      </c>
      <c r="B7" s="314" t="s">
        <v>286</v>
      </c>
      <c r="C7" s="330">
        <f>rh_t1!C42</f>
        <v>0.24233333333327778</v>
      </c>
      <c r="D7" s="330">
        <f>rh_t2!C42</f>
        <v>0.24233333333327778</v>
      </c>
      <c r="E7" s="330">
        <f>rh_t3!C42</f>
        <v>0.24233333333327778</v>
      </c>
      <c r="F7" s="330">
        <f>rh_t4!C42</f>
        <v>0.24233333333327778</v>
      </c>
      <c r="G7" s="330">
        <f>rh_t5!C42</f>
        <v>0.24233333333327778</v>
      </c>
      <c r="H7" s="205" t="str">
        <f>"± "&amp;VLOOKUP(info!D3,Таблица[#All],24,0)&amp;" %"</f>
        <v>±  %</v>
      </c>
    </row>
    <row r="8" spans="1:9" x14ac:dyDescent="0.2">
      <c r="A8" s="474">
        <v>6</v>
      </c>
      <c r="B8" s="478" t="s">
        <v>283</v>
      </c>
      <c r="C8" s="330">
        <f>rh_t1!C43</f>
        <v>3.1999999999996476E-2</v>
      </c>
      <c r="D8" s="330">
        <f>rh_t2!C43</f>
        <v>3.1999999999996476E-2</v>
      </c>
      <c r="E8" s="330">
        <f>rh_t3!C43</f>
        <v>3.1999999999996476E-2</v>
      </c>
      <c r="F8" s="330">
        <f>rh_t4!C43</f>
        <v>3.1999999999996476E-2</v>
      </c>
      <c r="G8" s="330">
        <f>rh_t5!C43</f>
        <v>3.1999999999996476E-2</v>
      </c>
      <c r="H8" s="470" t="s">
        <v>28</v>
      </c>
    </row>
    <row r="9" spans="1:9" x14ac:dyDescent="0.2">
      <c r="A9" s="475"/>
      <c r="B9" s="479"/>
      <c r="C9" s="330">
        <f>rh_t1!C44</f>
        <v>-0.2103333333332813</v>
      </c>
      <c r="D9" s="330">
        <f>rh_t2!C44</f>
        <v>-0.2103333333332813</v>
      </c>
      <c r="E9" s="330">
        <f>rh_t3!C44</f>
        <v>-0.2103333333332813</v>
      </c>
      <c r="F9" s="330">
        <f>rh_t4!C44</f>
        <v>-0.2103333333332813</v>
      </c>
      <c r="G9" s="330">
        <f>rh_t5!C44</f>
        <v>-0.2103333333332813</v>
      </c>
      <c r="H9" s="471"/>
    </row>
    <row r="10" spans="1:9" x14ac:dyDescent="0.2">
      <c r="A10" s="200">
        <v>7</v>
      </c>
      <c r="B10" s="316" t="s">
        <v>284</v>
      </c>
      <c r="C10" s="330">
        <f>rh_t1!C45</f>
        <v>9.4999999999998863E-2</v>
      </c>
      <c r="D10" s="330">
        <f>rh_t2!C45</f>
        <v>9.4999999999998863E-2</v>
      </c>
      <c r="E10" s="330">
        <f>rh_t3!C45</f>
        <v>9.4999999999998863E-2</v>
      </c>
      <c r="F10" s="330">
        <f>rh_t4!C45</f>
        <v>9.4999999999998863E-2</v>
      </c>
      <c r="G10" s="330">
        <f>rh_t5!C45</f>
        <v>9.4999999999998863E-2</v>
      </c>
      <c r="H10" s="205" t="str">
        <f>"± "&amp;VLOOKUP(info!D3,Таблица[#All],23,0)&amp;" %"</f>
        <v>±  %</v>
      </c>
    </row>
    <row r="11" spans="1:9" ht="14.25" x14ac:dyDescent="0.2">
      <c r="A11" s="200">
        <v>8</v>
      </c>
      <c r="B11" s="316" t="s">
        <v>293</v>
      </c>
      <c r="C11" s="330">
        <f>rh_t1!C46</f>
        <v>0.15226533137436651</v>
      </c>
      <c r="D11" s="330">
        <f>rh_t2!C46</f>
        <v>0.15226533137436651</v>
      </c>
      <c r="E11" s="330">
        <f>rh_t3!C46</f>
        <v>0.15226533137436651</v>
      </c>
      <c r="F11" s="330">
        <f>rh_t4!C46</f>
        <v>0.15226533137436651</v>
      </c>
      <c r="G11" s="330">
        <f>rh_t5!C46</f>
        <v>0.15226533137436651</v>
      </c>
      <c r="H11" s="206"/>
      <c r="I11" s="207"/>
    </row>
    <row r="12" spans="1:9" ht="21" customHeight="1" x14ac:dyDescent="0.2">
      <c r="A12" s="200">
        <v>9</v>
      </c>
      <c r="B12" s="317" t="s">
        <v>342</v>
      </c>
      <c r="C12" s="330">
        <f>rh_t1!S17</f>
        <v>0.13584193999999999</v>
      </c>
      <c r="D12" s="330">
        <f>rh_t2!S17</f>
        <v>0.13584193999999999</v>
      </c>
      <c r="E12" s="330">
        <f>rh_t3!S17</f>
        <v>0.13584193999999999</v>
      </c>
      <c r="F12" s="330">
        <f>rh_t4!S17</f>
        <v>0.13584193999999999</v>
      </c>
      <c r="G12" s="330">
        <f>rh_t5!S17</f>
        <v>0.13584193999999999</v>
      </c>
      <c r="H12" s="210"/>
    </row>
    <row r="13" spans="1:9" x14ac:dyDescent="0.2">
      <c r="A13" s="200">
        <v>10</v>
      </c>
      <c r="B13" s="317" t="s">
        <v>343</v>
      </c>
      <c r="C13" s="330">
        <f>rh_t1!V17</f>
        <v>0.36899999999999999</v>
      </c>
      <c r="D13" s="330">
        <f>rh_t2!V17</f>
        <v>0.36899999999999999</v>
      </c>
      <c r="E13" s="330">
        <f>rh_t3!V17</f>
        <v>0.36899999999999999</v>
      </c>
      <c r="F13" s="330">
        <f>rh_t4!V17</f>
        <v>0.36899999999999999</v>
      </c>
      <c r="G13" s="330">
        <f>rh_t5!V17</f>
        <v>0.36899999999999999</v>
      </c>
      <c r="H13" s="208"/>
    </row>
    <row r="14" spans="1:9" ht="25.5" x14ac:dyDescent="0.2">
      <c r="A14" s="200">
        <v>11</v>
      </c>
      <c r="B14" s="317" t="s">
        <v>344</v>
      </c>
      <c r="C14" s="330">
        <f>rh_t1!X17</f>
        <v>0.73699999999999999</v>
      </c>
      <c r="D14" s="330">
        <f>rh_t2!X17</f>
        <v>0.73699999999999999</v>
      </c>
      <c r="E14" s="330">
        <f>rh_t3!X17</f>
        <v>0.73699999999999999</v>
      </c>
      <c r="F14" s="330">
        <f>rh_t4!X17</f>
        <v>0.73699999999999999</v>
      </c>
      <c r="G14" s="330">
        <f>rh_t5!X17</f>
        <v>0.73699999999999999</v>
      </c>
      <c r="H14" s="208"/>
    </row>
    <row r="15" spans="1:9" ht="15" customHeight="1" x14ac:dyDescent="0.2">
      <c r="A15" s="199">
        <v>12</v>
      </c>
      <c r="B15" s="318" t="s">
        <v>287</v>
      </c>
      <c r="C15" s="331">
        <f>rh_t1!C86</f>
        <v>40</v>
      </c>
      <c r="D15" s="331">
        <f>rh_t2!C86</f>
        <v>40</v>
      </c>
      <c r="E15" s="331">
        <f>rh_t3!C86</f>
        <v>40</v>
      </c>
      <c r="F15" s="331">
        <f>rh_t4!C86</f>
        <v>40</v>
      </c>
      <c r="G15" s="331">
        <f>rh_t5!C86</f>
        <v>40</v>
      </c>
      <c r="H15" s="208"/>
    </row>
    <row r="16" spans="1:9" ht="31.5" customHeight="1" x14ac:dyDescent="0.2">
      <c r="A16" s="199">
        <v>13</v>
      </c>
      <c r="B16" s="318" t="s">
        <v>288</v>
      </c>
      <c r="C16" s="330">
        <f>rh_t1!C87</f>
        <v>39.763486296296307</v>
      </c>
      <c r="D16" s="330">
        <f>rh_t2!C87</f>
        <v>39.763486296296307</v>
      </c>
      <c r="E16" s="330">
        <f>rh_t3!C87</f>
        <v>39.763486296296307</v>
      </c>
      <c r="F16" s="330">
        <f>rh_t4!C87</f>
        <v>39.763486296296307</v>
      </c>
      <c r="G16" s="330">
        <f>rh_t5!C87</f>
        <v>39.763486296296307</v>
      </c>
      <c r="H16" s="204" t="str">
        <f>"От "&amp;VLOOKUP(info!D3,Таблица[#All],2,0)&amp;" °С до "&amp;VLOOKUP(info!D3,Таблица[#All],3,0)&amp;" °С"</f>
        <v>От -40 °С до 100 °С</v>
      </c>
    </row>
    <row r="17" spans="1:8" ht="24.75" customHeight="1" x14ac:dyDescent="0.2">
      <c r="A17" s="199">
        <v>14</v>
      </c>
      <c r="B17" s="319" t="s">
        <v>289</v>
      </c>
      <c r="C17" s="330">
        <f>rh_t1!C88</f>
        <v>-0.23651370370369307</v>
      </c>
      <c r="D17" s="330">
        <f>rh_t2!C88</f>
        <v>-0.23651370370369307</v>
      </c>
      <c r="E17" s="330">
        <f>rh_t3!C88</f>
        <v>-0.23651370370369307</v>
      </c>
      <c r="F17" s="330">
        <f>rh_t4!C88</f>
        <v>-0.23651370370369307</v>
      </c>
      <c r="G17" s="330">
        <f>rh_t5!C88</f>
        <v>-0.23651370370369307</v>
      </c>
      <c r="H17" s="202" t="str">
        <f>"От "&amp;VLOOKUP(info!D3,Таблица[#All],2,0)&amp;" °С до 100 °С ±"&amp;VLOOKUP(info!D3,Таблица[#All],12,0)&amp;" 
св. 100 °С до "&amp;VLOOKUP(info!D3,Таблица[#All],3,0)&amp;" °С ±"&amp;VLOOKUP(info!D3,Таблица[#All],13,0)</f>
        <v>От -40 °С до 100 °С ±2 
св. 100 °С до 100 °С ±</v>
      </c>
    </row>
    <row r="18" spans="1:8" ht="29.25" customHeight="1" x14ac:dyDescent="0.2">
      <c r="A18" s="296">
        <v>15</v>
      </c>
      <c r="B18" s="319" t="s">
        <v>290</v>
      </c>
      <c r="C18" s="330">
        <f>rh_t1!C89</f>
        <v>0.50928099999999432</v>
      </c>
      <c r="D18" s="330">
        <f>rh_t2!C89</f>
        <v>0.50928099999999432</v>
      </c>
      <c r="E18" s="330">
        <f>rh_t3!C89</f>
        <v>0.50928099999999432</v>
      </c>
      <c r="F18" s="330">
        <f>rh_t4!C89</f>
        <v>0.50928099999999432</v>
      </c>
      <c r="G18" s="330">
        <f>rh_t5!C89</f>
        <v>0.50928099999999432</v>
      </c>
      <c r="H18" s="205" t="str">
        <f>"От "&amp;VLOOKUP(info!D3,Таблица[#All],2,0)&amp;" °С до 100 °С ±"&amp;VLOOKUP(info!D3,Таблица[#All],9,0)&amp;" 
св. 100 °С до "&amp;VLOOKUP(info!D3,Таблица[#All],3,0)&amp;" °С ±"&amp;VLOOKUP(info!D3,Таблица[#All],10,0)</f>
        <v>От -40 °С до 100 °С ±0,5 
св. 100 °С до 100 °С ±0,5</v>
      </c>
    </row>
    <row r="19" spans="1:8" x14ac:dyDescent="0.2">
      <c r="A19" s="474">
        <v>16</v>
      </c>
      <c r="B19" s="476" t="s">
        <v>291</v>
      </c>
      <c r="C19" s="330">
        <f>rh_t1!C90</f>
        <v>0.2540516666666619</v>
      </c>
      <c r="D19" s="330">
        <f>rh_t2!C90</f>
        <v>0.2540516666666619</v>
      </c>
      <c r="E19" s="330">
        <f>rh_t3!C90</f>
        <v>0.2540516666666619</v>
      </c>
      <c r="F19" s="330">
        <f>rh_t4!C90</f>
        <v>0.2540516666666619</v>
      </c>
      <c r="G19" s="330">
        <f>rh_t5!C90</f>
        <v>0.2540516666666619</v>
      </c>
      <c r="H19" s="470" t="s">
        <v>28</v>
      </c>
    </row>
    <row r="20" spans="1:8" x14ac:dyDescent="0.2">
      <c r="A20" s="475"/>
      <c r="B20" s="477"/>
      <c r="C20" s="330">
        <f>rh_t1!C91</f>
        <v>-0.25522933333333242</v>
      </c>
      <c r="D20" s="330">
        <f>rh_t2!C91</f>
        <v>-0.25522933333333242</v>
      </c>
      <c r="E20" s="330">
        <f>rh_t3!C91</f>
        <v>-0.25522933333333242</v>
      </c>
      <c r="F20" s="330">
        <f>rh_t4!C91</f>
        <v>-0.25522933333333242</v>
      </c>
      <c r="G20" s="330">
        <f>rh_t5!C91</f>
        <v>-0.25522933333333242</v>
      </c>
      <c r="H20" s="471"/>
    </row>
    <row r="21" spans="1:8" x14ac:dyDescent="0.2">
      <c r="A21" s="200">
        <v>17</v>
      </c>
      <c r="B21" s="319" t="s">
        <v>396</v>
      </c>
      <c r="C21" s="330">
        <f>rh_t1!C92</f>
        <v>1.301555555555467E-2</v>
      </c>
      <c r="D21" s="330">
        <f>rh_t2!C92</f>
        <v>1.301555555555467E-2</v>
      </c>
      <c r="E21" s="330">
        <f>rh_t3!C92</f>
        <v>1.301555555555467E-2</v>
      </c>
      <c r="F21" s="330">
        <f>rh_t4!C92</f>
        <v>1.301555555555467E-2</v>
      </c>
      <c r="G21" s="330">
        <f>rh_t5!C92</f>
        <v>1.301555555555467E-2</v>
      </c>
      <c r="H21" s="205" t="str">
        <f>"± "&amp;VLOOKUP(info!D3,Таблица[#All],11,0)&amp;" °С"</f>
        <v>± 0,3 °С</v>
      </c>
    </row>
    <row r="22" spans="1:8" ht="14.25" x14ac:dyDescent="0.2">
      <c r="A22" s="200">
        <v>18</v>
      </c>
      <c r="B22" s="319" t="s">
        <v>292</v>
      </c>
      <c r="C22" s="330">
        <f>rh_t1!C93</f>
        <v>0.13632305115662899</v>
      </c>
      <c r="D22" s="330">
        <f>rh_t2!C93</f>
        <v>0.13632305115662899</v>
      </c>
      <c r="E22" s="330">
        <f>rh_t3!C93</f>
        <v>0.13632305115662899</v>
      </c>
      <c r="F22" s="330">
        <f>rh_t4!C93</f>
        <v>0.13632305115662899</v>
      </c>
      <c r="G22" s="330">
        <f>rh_t5!C93</f>
        <v>0.13632305115662899</v>
      </c>
      <c r="H22" s="209"/>
    </row>
    <row r="23" spans="1:8" ht="15" x14ac:dyDescent="0.2">
      <c r="A23" s="200">
        <v>19</v>
      </c>
      <c r="B23" s="320" t="s">
        <v>345</v>
      </c>
      <c r="C23" s="330">
        <f>rh_t1!X64</f>
        <v>0.318</v>
      </c>
      <c r="D23" s="330">
        <f>rh_t2!X64</f>
        <v>0.318</v>
      </c>
      <c r="E23" s="330">
        <f>rh_t3!X64</f>
        <v>0.318</v>
      </c>
      <c r="F23" s="330">
        <f>rh_t4!X64</f>
        <v>0.318</v>
      </c>
      <c r="G23" s="330">
        <f>rh_t5!X64</f>
        <v>0.318</v>
      </c>
      <c r="H23" s="208"/>
    </row>
    <row r="24" spans="1:8" ht="17.25" customHeight="1" x14ac:dyDescent="0.2">
      <c r="A24" s="200">
        <v>20</v>
      </c>
      <c r="B24" s="320" t="s">
        <v>346</v>
      </c>
      <c r="C24" s="330">
        <f>rh_t1!V64</f>
        <v>0.159</v>
      </c>
      <c r="D24" s="330">
        <f>rh_t2!V64</f>
        <v>0.159</v>
      </c>
      <c r="E24" s="330">
        <f>rh_t3!V64</f>
        <v>0.159</v>
      </c>
      <c r="F24" s="330">
        <f>rh_t4!V64</f>
        <v>0.159</v>
      </c>
      <c r="G24" s="330">
        <f>rh_t5!V64</f>
        <v>0.159</v>
      </c>
      <c r="H24" s="208"/>
    </row>
    <row r="25" spans="1:8" ht="24" customHeight="1" x14ac:dyDescent="0.2">
      <c r="A25" s="200">
        <v>21</v>
      </c>
      <c r="B25" s="321" t="s">
        <v>347</v>
      </c>
      <c r="C25" s="332">
        <f>rh_t1!X64</f>
        <v>0.318</v>
      </c>
      <c r="D25" s="332">
        <f>rh_t2!X64</f>
        <v>0.318</v>
      </c>
      <c r="E25" s="332">
        <f>rh_t3!X64</f>
        <v>0.318</v>
      </c>
      <c r="F25" s="332">
        <f>rh_t4!X64</f>
        <v>0.318</v>
      </c>
      <c r="G25" s="332">
        <f>rh_t5!X64</f>
        <v>0.318</v>
      </c>
      <c r="H25" s="208"/>
    </row>
  </sheetData>
  <mergeCells count="8">
    <mergeCell ref="A1:H1"/>
    <mergeCell ref="H19:H20"/>
    <mergeCell ref="H8:H9"/>
    <mergeCell ref="C2:G2"/>
    <mergeCell ref="A19:A20"/>
    <mergeCell ref="B19:B20"/>
    <mergeCell ref="A8:A9"/>
    <mergeCell ref="B8:B9"/>
  </mergeCells>
  <pageMargins left="0.70866141732283461" right="0.70866141732283461" top="0.74803149606299213" bottom="0.74803149606299213" header="0.31496062992125984" footer="0.31496062992125984"/>
  <pageSetup paperSize="9" orientation="landscape" r:id="rId1"/>
  <headerFooter scaleWithDoc="0">
    <oddHeader>&amp;C&amp;14&amp;P</oddHeader>
    <oddFooter>&amp;C&amp;"Arial,&amp;ïîëóæèðíûé"&amp;14Протокол первичной аттестации от 18.05.2020г. № 1994.1</oddFooter>
    <evenHeader>&amp;C&amp;P</evenHeader>
    <firstHeader>&amp;C&amp;"Arial,обычный"&amp;14&amp;P</firstHeader>
    <firstFooter>&amp;C&amp;"Arial,&amp;полужирный"&amp;14Протокол первичной аттестации от 18.05.2020г. № 1994.1</first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4"/>
  <dimension ref="A1:H8"/>
  <sheetViews>
    <sheetView view="pageLayout" zoomScaleNormal="100" workbookViewId="0">
      <selection activeCell="C152" sqref="C152"/>
    </sheetView>
  </sheetViews>
  <sheetFormatPr defaultRowHeight="14.25" x14ac:dyDescent="0.2"/>
  <sheetData>
    <row r="1" spans="1:8" ht="30" customHeight="1" x14ac:dyDescent="0.2">
      <c r="A1" s="417" t="s">
        <v>392</v>
      </c>
      <c r="B1" s="417"/>
      <c r="C1" s="417"/>
      <c r="D1" s="417"/>
      <c r="E1" s="417"/>
      <c r="F1" s="417"/>
      <c r="G1" s="417"/>
      <c r="H1" s="417"/>
    </row>
    <row r="2" spans="1:8" ht="33" customHeight="1" x14ac:dyDescent="0.2">
      <c r="A2" s="481" t="s">
        <v>26</v>
      </c>
      <c r="B2" s="481"/>
      <c r="C2" s="481"/>
      <c r="D2" s="481"/>
      <c r="E2" s="482" t="s">
        <v>391</v>
      </c>
      <c r="F2" s="482"/>
      <c r="G2" s="482"/>
      <c r="H2" s="482"/>
    </row>
    <row r="3" spans="1:8" ht="15.75" customHeight="1" x14ac:dyDescent="0.2">
      <c r="A3" s="480" t="s">
        <v>385</v>
      </c>
      <c r="B3" s="480"/>
      <c r="C3" s="480"/>
      <c r="D3" s="480"/>
      <c r="E3" s="480"/>
      <c r="F3" s="480"/>
      <c r="G3" s="480"/>
      <c r="H3" s="480"/>
    </row>
    <row r="4" spans="1:8" x14ac:dyDescent="0.2">
      <c r="A4" s="480" t="s">
        <v>386</v>
      </c>
      <c r="B4" s="480"/>
      <c r="C4" s="480"/>
      <c r="D4" s="480"/>
      <c r="E4" s="480"/>
      <c r="F4" s="480"/>
      <c r="G4" s="480"/>
      <c r="H4" s="480"/>
    </row>
    <row r="5" spans="1:8" ht="29.25" customHeight="1" x14ac:dyDescent="0.2">
      <c r="A5" s="480" t="s">
        <v>387</v>
      </c>
      <c r="B5" s="480"/>
      <c r="C5" s="480"/>
      <c r="D5" s="480"/>
      <c r="E5" s="480"/>
      <c r="F5" s="480"/>
      <c r="G5" s="480"/>
      <c r="H5" s="480"/>
    </row>
    <row r="6" spans="1:8" ht="27.75" customHeight="1" x14ac:dyDescent="0.2">
      <c r="A6" s="480" t="s">
        <v>388</v>
      </c>
      <c r="B6" s="480"/>
      <c r="C6" s="480"/>
      <c r="D6" s="480"/>
      <c r="E6" s="480"/>
      <c r="F6" s="480"/>
      <c r="G6" s="480"/>
      <c r="H6" s="480"/>
    </row>
    <row r="7" spans="1:8" ht="37.5" customHeight="1" x14ac:dyDescent="0.2">
      <c r="A7" s="480" t="s">
        <v>389</v>
      </c>
      <c r="B7" s="480"/>
      <c r="C7" s="480"/>
      <c r="D7" s="480"/>
      <c r="E7" s="480"/>
      <c r="F7" s="480"/>
      <c r="G7" s="480"/>
      <c r="H7" s="480"/>
    </row>
    <row r="8" spans="1:8" x14ac:dyDescent="0.2">
      <c r="A8" s="480" t="s">
        <v>390</v>
      </c>
      <c r="B8" s="480"/>
      <c r="C8" s="480"/>
      <c r="D8" s="480"/>
      <c r="E8" s="483"/>
      <c r="F8" s="483"/>
      <c r="G8" s="483"/>
      <c r="H8" s="483"/>
    </row>
  </sheetData>
  <mergeCells count="21">
    <mergeCell ref="A8:D8"/>
    <mergeCell ref="E8:F8"/>
    <mergeCell ref="G8:H8"/>
    <mergeCell ref="A6:D6"/>
    <mergeCell ref="A7:D7"/>
    <mergeCell ref="E6:F6"/>
    <mergeCell ref="G6:H6"/>
    <mergeCell ref="E7:F7"/>
    <mergeCell ref="G7:H7"/>
    <mergeCell ref="G4:H4"/>
    <mergeCell ref="E5:F5"/>
    <mergeCell ref="G5:H5"/>
    <mergeCell ref="A5:D5"/>
    <mergeCell ref="A4:D4"/>
    <mergeCell ref="A1:H1"/>
    <mergeCell ref="A3:D3"/>
    <mergeCell ref="A2:D2"/>
    <mergeCell ref="E2:H2"/>
    <mergeCell ref="E3:F3"/>
    <mergeCell ref="G3:H3"/>
    <mergeCell ref="E4:F4"/>
  </mergeCells>
  <pageMargins left="0.7" right="0.7" top="0.75" bottom="0.75" header="0.3" footer="0.3"/>
  <pageSetup paperSize="9" orientation="portrait" r:id="rId1"/>
  <headerFooter>
    <oddHeader>&amp;C&amp;P</oddHeader>
    <oddFooter>&amp;C&amp;"Arial,&amp;полужирный"&amp;14Протокол первичной аттестации от 18.05.2020г. № 1994.1</oddFooter>
    <firstFooter>&amp;C&amp;"Arial,&amp;полужирный"&amp;14Протокол первичной аттестации от 18.05.2020г. № 1994.1</first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0">
    <pageSetUpPr fitToPage="1"/>
  </sheetPr>
  <dimension ref="A1:Y28"/>
  <sheetViews>
    <sheetView topLeftCell="A15" zoomScale="70" zoomScaleNormal="70" zoomScalePageLayoutView="70" workbookViewId="0">
      <selection activeCell="E8" sqref="E8"/>
    </sheetView>
  </sheetViews>
  <sheetFormatPr defaultRowHeight="14.25" x14ac:dyDescent="0.2"/>
  <cols>
    <col min="1" max="1" width="15.625" style="146" customWidth="1"/>
    <col min="2" max="2" width="18.5" style="146" customWidth="1"/>
    <col min="3" max="3" width="14.875" style="146" customWidth="1"/>
    <col min="4" max="5" width="14" style="146" customWidth="1"/>
    <col min="6" max="6" width="13.75" style="146" customWidth="1"/>
    <col min="7" max="7" width="11.625" style="146" customWidth="1"/>
    <col min="8" max="8" width="15.125" style="146" customWidth="1"/>
    <col min="9" max="9" width="16.25" style="146" customWidth="1"/>
    <col min="10" max="11" width="14.75" style="146" customWidth="1"/>
    <col min="12" max="12" width="10.625" style="146" customWidth="1"/>
    <col min="13" max="13" width="15.25" style="146" customWidth="1"/>
    <col min="14" max="14" width="23" style="146" customWidth="1"/>
    <col min="15" max="15" width="21.125" style="146" customWidth="1"/>
    <col min="16" max="16" width="21.75" style="146" customWidth="1"/>
    <col min="17" max="17" width="19.5" style="146" customWidth="1"/>
    <col min="18" max="18" width="12.25" style="146" customWidth="1"/>
    <col min="19" max="19" width="10" style="146" customWidth="1"/>
    <col min="20" max="21" width="9" style="146"/>
    <col min="22" max="22" width="15.5" style="146" customWidth="1"/>
    <col min="23" max="23" width="15.375" style="146" customWidth="1"/>
    <col min="24" max="24" width="18.375" style="146" customWidth="1"/>
    <col min="25" max="25" width="16.5" style="146" customWidth="1"/>
    <col min="26" max="16384" width="9" style="146"/>
  </cols>
  <sheetData>
    <row r="1" spans="1:25" ht="74.25" customHeight="1" x14ac:dyDescent="0.2">
      <c r="A1" s="281"/>
      <c r="B1" s="259" t="s">
        <v>312</v>
      </c>
      <c r="C1" s="260"/>
      <c r="D1" s="260"/>
      <c r="E1" s="260"/>
      <c r="F1" s="260"/>
      <c r="G1" s="260"/>
      <c r="H1" s="260"/>
      <c r="I1" s="260"/>
      <c r="J1" s="260"/>
      <c r="K1" s="260"/>
      <c r="L1" s="260"/>
      <c r="M1" s="260"/>
      <c r="N1" s="261"/>
      <c r="P1" s="246" t="s">
        <v>316</v>
      </c>
      <c r="Q1" s="254"/>
      <c r="R1" s="248"/>
      <c r="S1" s="214" t="s">
        <v>311</v>
      </c>
      <c r="T1" s="214"/>
      <c r="U1" s="214"/>
      <c r="V1" s="214"/>
      <c r="W1" s="214"/>
      <c r="X1" s="214"/>
      <c r="Y1" s="257" t="s">
        <v>233</v>
      </c>
    </row>
    <row r="2" spans="1:25" s="147" customFormat="1" ht="54" customHeight="1" thickBot="1" x14ac:dyDescent="0.25">
      <c r="A2" s="270" t="s">
        <v>297</v>
      </c>
      <c r="B2" s="262" t="s">
        <v>319</v>
      </c>
      <c r="C2" s="212" t="s">
        <v>235</v>
      </c>
      <c r="D2" s="212" t="s">
        <v>320</v>
      </c>
      <c r="E2" s="212" t="s">
        <v>234</v>
      </c>
      <c r="F2" s="212" t="str">
        <f>"Программа и методика первичной (периодической, повторной) аттестации "&amp;K3&amp;" "&amp;D3&amp;" {____}
Пример:
{1994Г}"</f>
        <v>Программа и методика первичной (периодической, повторной) аттестации камеры тепла холода и влаги PU-3KT {____}
Пример:
{1994Г}</v>
      </c>
      <c r="G2" s="212" t="str">
        <f>"Протокол "&amp;D17&amp;" аттестации № "&amp;F3&amp;".{____}
Пример:
{1}"</f>
        <v>Протокол первичной аттестации № 1994.{____}
Пример:
{1}</v>
      </c>
      <c r="H2" s="212" t="str">
        <f>"Протокол "&amp;D17&amp;" аттестации №"&amp;F3&amp;"."&amp;G3&amp;" от 
{___}
Пример:
{23.05.2020}"</f>
        <v>Протокол первичной аттестации №1994.1 от 
{___}
Пример:
{23.05.2020}</v>
      </c>
      <c r="I2" s="212" t="s">
        <v>232</v>
      </c>
      <c r="J2" s="212" t="s">
        <v>236</v>
      </c>
      <c r="K2" s="212" t="s">
        <v>237</v>
      </c>
      <c r="L2" s="213" t="s">
        <v>231</v>
      </c>
      <c r="M2" s="212" t="s">
        <v>238</v>
      </c>
      <c r="N2" s="263" t="s">
        <v>239</v>
      </c>
      <c r="P2" s="247" t="s">
        <v>279</v>
      </c>
      <c r="Q2" s="255" t="s">
        <v>317</v>
      </c>
      <c r="R2" s="249"/>
      <c r="S2" s="225" t="s">
        <v>137</v>
      </c>
      <c r="T2" s="169" t="s">
        <v>142</v>
      </c>
      <c r="U2" s="169" t="s">
        <v>139</v>
      </c>
      <c r="V2" s="169" t="s">
        <v>140</v>
      </c>
      <c r="W2" s="169" t="s">
        <v>141</v>
      </c>
      <c r="X2" s="169" t="s">
        <v>143</v>
      </c>
      <c r="Y2" s="258" t="s">
        <v>240</v>
      </c>
    </row>
    <row r="3" spans="1:25" ht="97.5" customHeight="1" thickBot="1" x14ac:dyDescent="0.3">
      <c r="A3" s="243" t="s">
        <v>302</v>
      </c>
      <c r="B3" s="264" t="s">
        <v>145</v>
      </c>
      <c r="C3" s="265" t="s">
        <v>146</v>
      </c>
      <c r="D3" s="265" t="s">
        <v>277</v>
      </c>
      <c r="E3" s="265" t="s">
        <v>144</v>
      </c>
      <c r="F3" s="266">
        <v>1994</v>
      </c>
      <c r="G3" s="267">
        <v>1</v>
      </c>
      <c r="H3" s="268" t="s">
        <v>230</v>
      </c>
      <c r="I3" s="265">
        <v>225225</v>
      </c>
      <c r="J3" s="265" t="s">
        <v>127</v>
      </c>
      <c r="K3" s="265" t="s">
        <v>271</v>
      </c>
      <c r="L3" s="265" t="s">
        <v>276</v>
      </c>
      <c r="M3" s="265" t="s">
        <v>275</v>
      </c>
      <c r="N3" s="269" t="s">
        <v>274</v>
      </c>
      <c r="P3" s="246" t="s">
        <v>278</v>
      </c>
      <c r="Q3" s="256" t="s">
        <v>318</v>
      </c>
      <c r="R3" s="248"/>
      <c r="S3" s="225">
        <f>VLOOKUP(info!$D$3,Таблица[#All],4,0)</f>
        <v>408</v>
      </c>
      <c r="T3" s="169">
        <f>((U3*0.9)*(V3*0.9)*(W3*0.9))/1000000</f>
        <v>297.43200000000002</v>
      </c>
      <c r="U3" s="169">
        <f>VLOOKUP(info!$D$3,Таблица[#All],17,0)</f>
        <v>600</v>
      </c>
      <c r="V3" s="169">
        <f>VLOOKUP(info!$D$3,Таблица[#All],18,0)</f>
        <v>800</v>
      </c>
      <c r="W3" s="169">
        <f>VLOOKUP(info!$D$3,Таблица[#All],19,0)</f>
        <v>850</v>
      </c>
      <c r="X3" s="169" t="str">
        <f>"Протокол "&amp;info!D17&amp;" аттестации от "&amp;H3&amp;"г. № "&amp;F3&amp;"."&amp;G3</f>
        <v>Протокол первичной аттестации от 18.05.2020г. № 1994.1</v>
      </c>
      <c r="Y3" s="257">
        <v>2020</v>
      </c>
    </row>
    <row r="4" spans="1:25" x14ac:dyDescent="0.2">
      <c r="L4" s="147"/>
    </row>
    <row r="5" spans="1:25" ht="15" thickBot="1" x14ac:dyDescent="0.25"/>
    <row r="6" spans="1:25" ht="42.75" x14ac:dyDescent="0.2">
      <c r="B6" s="271" t="s">
        <v>136</v>
      </c>
      <c r="C6" s="272" t="s">
        <v>135</v>
      </c>
      <c r="D6" s="272" t="s">
        <v>134</v>
      </c>
      <c r="E6" s="272" t="s">
        <v>133</v>
      </c>
      <c r="F6" s="272" t="s">
        <v>132</v>
      </c>
      <c r="G6" s="272" t="s">
        <v>131</v>
      </c>
      <c r="H6" s="272" t="s">
        <v>130</v>
      </c>
      <c r="I6" s="272" t="s">
        <v>129</v>
      </c>
      <c r="J6" s="272" t="s">
        <v>128</v>
      </c>
      <c r="K6" s="273" t="s">
        <v>153</v>
      </c>
    </row>
    <row r="7" spans="1:25" ht="46.5" customHeight="1" x14ac:dyDescent="0.2">
      <c r="A7" s="146" t="s">
        <v>265</v>
      </c>
      <c r="B7" s="274">
        <v>11</v>
      </c>
      <c r="C7" s="274">
        <v>1</v>
      </c>
      <c r="D7" s="274">
        <v>2</v>
      </c>
      <c r="E7" s="274">
        <v>3</v>
      </c>
      <c r="F7" s="274">
        <v>4</v>
      </c>
      <c r="G7" s="274">
        <v>5</v>
      </c>
      <c r="H7" s="274">
        <v>6</v>
      </c>
      <c r="I7" s="274">
        <v>7</v>
      </c>
      <c r="J7" s="274">
        <v>8</v>
      </c>
      <c r="K7" s="274">
        <v>9</v>
      </c>
    </row>
    <row r="8" spans="1:25" ht="39.75" customHeight="1" x14ac:dyDescent="0.2">
      <c r="A8" s="146" t="s">
        <v>266</v>
      </c>
      <c r="B8" s="274" t="s">
        <v>393</v>
      </c>
      <c r="C8" s="274">
        <v>1</v>
      </c>
      <c r="D8" s="274">
        <v>2</v>
      </c>
      <c r="E8" s="274">
        <v>3</v>
      </c>
      <c r="F8" s="274">
        <v>4</v>
      </c>
      <c r="G8" s="274">
        <v>5</v>
      </c>
      <c r="H8" s="274">
        <v>6</v>
      </c>
      <c r="I8" s="274">
        <v>7</v>
      </c>
      <c r="J8" s="274">
        <v>8</v>
      </c>
      <c r="K8" s="274">
        <v>9</v>
      </c>
    </row>
    <row r="9" spans="1:25" ht="38.25" customHeight="1" x14ac:dyDescent="0.2">
      <c r="A9" s="146" t="s">
        <v>267</v>
      </c>
      <c r="B9" s="274">
        <v>11</v>
      </c>
      <c r="C9" s="274">
        <v>1</v>
      </c>
      <c r="D9" s="274">
        <v>2</v>
      </c>
      <c r="E9" s="274">
        <v>3</v>
      </c>
      <c r="F9" s="274">
        <v>4</v>
      </c>
      <c r="G9" s="274">
        <v>5</v>
      </c>
      <c r="H9" s="274">
        <v>6</v>
      </c>
      <c r="I9" s="274">
        <v>7</v>
      </c>
      <c r="J9" s="274">
        <v>8</v>
      </c>
      <c r="K9" s="274">
        <v>9</v>
      </c>
    </row>
    <row r="10" spans="1:25" ht="15" thickBot="1" x14ac:dyDescent="0.25"/>
    <row r="11" spans="1:25" ht="60" customHeight="1" x14ac:dyDescent="0.2">
      <c r="B11" s="275" t="s">
        <v>147</v>
      </c>
      <c r="C11" s="276" t="s">
        <v>150</v>
      </c>
      <c r="D11" s="276" t="s">
        <v>148</v>
      </c>
      <c r="E11" s="276" t="s">
        <v>151</v>
      </c>
      <c r="F11" s="277" t="s">
        <v>149</v>
      </c>
    </row>
    <row r="12" spans="1:25" ht="27" customHeight="1" thickBot="1" x14ac:dyDescent="0.25">
      <c r="A12" s="215" t="s">
        <v>312</v>
      </c>
      <c r="B12" s="278">
        <v>22</v>
      </c>
      <c r="C12" s="279">
        <v>49</v>
      </c>
      <c r="D12" s="279">
        <v>747</v>
      </c>
      <c r="E12" s="279">
        <v>361</v>
      </c>
      <c r="F12" s="280">
        <v>50</v>
      </c>
    </row>
    <row r="13" spans="1:25" ht="15" thickBot="1" x14ac:dyDescent="0.25"/>
    <row r="14" spans="1:25" ht="16.5" customHeight="1" thickBot="1" x14ac:dyDescent="0.25">
      <c r="B14" s="484" t="s">
        <v>330</v>
      </c>
      <c r="C14" s="485"/>
      <c r="D14" s="303" t="s">
        <v>314</v>
      </c>
      <c r="E14" s="303" t="s">
        <v>190</v>
      </c>
      <c r="F14" s="303" t="s">
        <v>331</v>
      </c>
    </row>
    <row r="15" spans="1:25" ht="18.75" customHeight="1" thickBot="1" x14ac:dyDescent="0.25">
      <c r="B15" s="486"/>
      <c r="C15" s="487"/>
      <c r="D15" s="304" t="s">
        <v>327</v>
      </c>
      <c r="E15" s="304" t="s">
        <v>328</v>
      </c>
      <c r="F15" s="304" t="s">
        <v>327</v>
      </c>
    </row>
    <row r="16" spans="1:25" ht="15" thickBot="1" x14ac:dyDescent="0.25"/>
    <row r="17" spans="1:7" ht="27" customHeight="1" thickBot="1" x14ac:dyDescent="0.3">
      <c r="A17" s="147" t="s">
        <v>313</v>
      </c>
      <c r="B17" s="253" t="s">
        <v>297</v>
      </c>
      <c r="C17" s="250" t="str">
        <f>A3</f>
        <v>первичная</v>
      </c>
      <c r="D17" s="244" t="str">
        <f>VLOOKUP(A3,A19:B22,2)</f>
        <v>первичной</v>
      </c>
      <c r="E17" s="245" t="str">
        <f>VLOOKUP(A3,A19:C22,3)</f>
        <v>первичную</v>
      </c>
    </row>
    <row r="18" spans="1:7" ht="15" customHeight="1" thickBot="1" x14ac:dyDescent="0.25">
      <c r="A18" s="216" t="s">
        <v>335</v>
      </c>
    </row>
    <row r="19" spans="1:7" ht="26.25" customHeight="1" x14ac:dyDescent="0.2">
      <c r="A19" s="251" t="s">
        <v>304</v>
      </c>
      <c r="B19" s="252" t="s">
        <v>305</v>
      </c>
      <c r="C19" s="218" t="s">
        <v>307</v>
      </c>
      <c r="D19" s="217" t="s">
        <v>333</v>
      </c>
      <c r="E19" s="218" t="s">
        <v>315</v>
      </c>
      <c r="F19" s="217" t="s">
        <v>332</v>
      </c>
      <c r="G19" s="218"/>
    </row>
    <row r="20" spans="1:7" x14ac:dyDescent="0.2">
      <c r="A20" s="219" t="s">
        <v>302</v>
      </c>
      <c r="B20" s="221" t="s">
        <v>298</v>
      </c>
      <c r="C20" s="220" t="s">
        <v>308</v>
      </c>
      <c r="D20" s="219">
        <v>1</v>
      </c>
      <c r="E20" s="220">
        <f>VLOOKUP(A3,A20:D22,4)</f>
        <v>1</v>
      </c>
      <c r="F20" s="219" t="s">
        <v>327</v>
      </c>
      <c r="G20" s="220">
        <v>1</v>
      </c>
    </row>
    <row r="21" spans="1:7" ht="15" thickBot="1" x14ac:dyDescent="0.25">
      <c r="A21" s="219" t="s">
        <v>299</v>
      </c>
      <c r="B21" s="221" t="s">
        <v>301</v>
      </c>
      <c r="C21" s="220" t="s">
        <v>309</v>
      </c>
      <c r="D21" s="219">
        <v>2</v>
      </c>
      <c r="E21" s="220"/>
      <c r="F21" s="222" t="s">
        <v>328</v>
      </c>
      <c r="G21" s="223">
        <v>0</v>
      </c>
    </row>
    <row r="22" spans="1:7" ht="15" thickBot="1" x14ac:dyDescent="0.25">
      <c r="A22" s="222" t="s">
        <v>303</v>
      </c>
      <c r="B22" s="221" t="s">
        <v>300</v>
      </c>
      <c r="C22" s="220" t="s">
        <v>310</v>
      </c>
      <c r="D22" s="219">
        <v>3</v>
      </c>
      <c r="E22" s="223"/>
    </row>
    <row r="23" spans="1:7" ht="69.75" customHeight="1" x14ac:dyDescent="0.2">
      <c r="A23" s="299" t="s">
        <v>334</v>
      </c>
      <c r="B23" s="300" t="s">
        <v>85</v>
      </c>
      <c r="C23" s="300" t="s">
        <v>324</v>
      </c>
      <c r="D23" s="300" t="s">
        <v>325</v>
      </c>
    </row>
    <row r="24" spans="1:7" ht="31.5" customHeight="1" x14ac:dyDescent="0.2">
      <c r="A24" s="301" t="s">
        <v>326</v>
      </c>
      <c r="B24" s="300">
        <f>VLOOKUP(D15,F20:G21,2)</f>
        <v>1</v>
      </c>
      <c r="C24" s="300">
        <f>VLOOKUP(E15,F20:G21,2)</f>
        <v>0</v>
      </c>
      <c r="D24" s="300">
        <f>VLOOKUP(F15,F20:G21,2)</f>
        <v>1</v>
      </c>
    </row>
    <row r="25" spans="1:7" ht="31.5" customHeight="1" x14ac:dyDescent="0.2">
      <c r="A25" s="301" t="s">
        <v>336</v>
      </c>
      <c r="B25" s="300">
        <v>0</v>
      </c>
      <c r="C25" s="300">
        <v>1</v>
      </c>
      <c r="D25" s="300">
        <v>1</v>
      </c>
    </row>
    <row r="26" spans="1:7" ht="71.25" x14ac:dyDescent="0.2">
      <c r="A26" s="301" t="s">
        <v>337</v>
      </c>
      <c r="B26" s="300">
        <v>0</v>
      </c>
      <c r="C26" s="300">
        <v>1</v>
      </c>
      <c r="D26" s="300">
        <v>1</v>
      </c>
    </row>
    <row r="27" spans="1:7" ht="42.75" x14ac:dyDescent="0.2">
      <c r="A27" s="301" t="s">
        <v>394</v>
      </c>
      <c r="B27" s="300">
        <v>1</v>
      </c>
    </row>
    <row r="28" spans="1:7" ht="42.75" x14ac:dyDescent="0.2">
      <c r="A28" s="301" t="s">
        <v>395</v>
      </c>
      <c r="B28" s="300">
        <v>5</v>
      </c>
    </row>
  </sheetData>
  <mergeCells count="1">
    <mergeCell ref="B14:C15"/>
  </mergeCells>
  <dataValidations count="2">
    <dataValidation type="list" allowBlank="1" showInputMessage="1" showErrorMessage="1" sqref="A3" xr:uid="{00000000-0002-0000-0900-000000000000}">
      <formula1>$A$20:$A$22</formula1>
    </dataValidation>
    <dataValidation type="list" allowBlank="1" showInputMessage="1" showErrorMessage="1" sqref="D15:F15" xr:uid="{00000000-0002-0000-0900-000001000000}">
      <formula1>$F$20:$F$21</formula1>
    </dataValidation>
  </dataValidations>
  <pageMargins left="0.7" right="0.7" top="0.75" bottom="0.75" header="0.3" footer="0.3"/>
  <pageSetup paperSize="9" scale="31" orientation="landscape" r:id="rId1"/>
  <headerFooter>
    <oddHeader>&amp;C&amp;"Arial,обычный"&amp;14ООО «Остек-Тест»</oddHeader>
    <oddFooter>&amp;C&amp;"Arial,&amp;полужирный"&amp;14Протокол первичной аттестации от 18.05.2020г. № 1994.1</oddFooter>
    <firstHeader>&amp;C&amp;"Arial,&amp;полужирный"&amp;14ООО «Остек-Тест»</firstHeader>
    <firstFooter>&amp;C&amp;"Arial,&amp;полужирный"&amp;14Протокол первичной аттестации от 18.05.2020г. № 1994.1</first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2000000}">
          <x14:formula1>
            <xm:f>equip!$A$2:$A$14</xm:f>
          </x14:formula1>
          <xm:sqref>D3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1"/>
  <dimension ref="A1:Y49"/>
  <sheetViews>
    <sheetView topLeftCell="G25" zoomScale="85" zoomScaleNormal="85" workbookViewId="0">
      <selection activeCell="G17" sqref="G17"/>
    </sheetView>
  </sheetViews>
  <sheetFormatPr defaultRowHeight="12.75" x14ac:dyDescent="0.2"/>
  <cols>
    <col min="1" max="1" width="15.625" style="141" customWidth="1"/>
    <col min="2" max="2" width="11.75" style="141" customWidth="1"/>
    <col min="3" max="3" width="11.625" style="141" customWidth="1"/>
    <col min="4" max="4" width="11.125" style="141" customWidth="1"/>
    <col min="5" max="5" width="10.875" style="141" customWidth="1"/>
    <col min="6" max="6" width="14.625" style="141" customWidth="1"/>
    <col min="7" max="7" width="12.5" style="141" customWidth="1"/>
    <col min="8" max="8" width="11.75" style="141" customWidth="1"/>
    <col min="9" max="9" width="11" style="141" customWidth="1"/>
    <col min="10" max="10" width="11.5" style="141" customWidth="1"/>
    <col min="11" max="11" width="10.625" style="141" customWidth="1"/>
    <col min="12" max="12" width="12.5" style="141" customWidth="1"/>
    <col min="13" max="13" width="9" style="141" customWidth="1"/>
    <col min="14" max="14" width="11" style="141" customWidth="1"/>
    <col min="15" max="15" width="18.375" style="141" customWidth="1"/>
    <col min="16" max="16" width="18" style="141" customWidth="1"/>
    <col min="17" max="17" width="9.375" style="141" customWidth="1"/>
    <col min="18" max="18" width="8.875" style="141" customWidth="1"/>
    <col min="19" max="19" width="12" style="141" customWidth="1"/>
    <col min="20" max="20" width="13.25" style="141" customWidth="1"/>
    <col min="21" max="21" width="14.75" style="141" customWidth="1"/>
    <col min="22" max="22" width="13.125" style="141" customWidth="1"/>
    <col min="23" max="23" width="21.375" style="141" customWidth="1"/>
    <col min="24" max="24" width="19.875" style="141" customWidth="1"/>
    <col min="25" max="16384" width="9" style="141"/>
  </cols>
  <sheetData>
    <row r="1" spans="1:25" ht="63.75" customHeight="1" x14ac:dyDescent="0.2">
      <c r="A1" s="145" t="s">
        <v>34</v>
      </c>
      <c r="B1" s="145" t="s">
        <v>121</v>
      </c>
      <c r="C1" s="145" t="s">
        <v>120</v>
      </c>
      <c r="D1" s="145" t="s">
        <v>126</v>
      </c>
      <c r="E1" s="145" t="s">
        <v>125</v>
      </c>
      <c r="F1" s="145" t="s">
        <v>124</v>
      </c>
      <c r="G1" s="145" t="s">
        <v>123</v>
      </c>
      <c r="H1" s="145" t="s">
        <v>122</v>
      </c>
      <c r="I1" s="145" t="s">
        <v>322</v>
      </c>
      <c r="J1" s="145" t="s">
        <v>321</v>
      </c>
      <c r="K1" s="145" t="s">
        <v>398</v>
      </c>
      <c r="L1" s="145" t="s">
        <v>116</v>
      </c>
      <c r="M1" s="145" t="s">
        <v>115</v>
      </c>
      <c r="N1" s="145" t="s">
        <v>109</v>
      </c>
      <c r="O1" s="145" t="s">
        <v>264</v>
      </c>
      <c r="P1" s="145" t="s">
        <v>263</v>
      </c>
      <c r="Q1" s="145" t="s">
        <v>119</v>
      </c>
      <c r="R1" s="145" t="s">
        <v>118</v>
      </c>
      <c r="S1" s="145" t="s">
        <v>117</v>
      </c>
      <c r="T1" s="145" t="s">
        <v>114</v>
      </c>
      <c r="U1" s="145" t="s">
        <v>113</v>
      </c>
      <c r="V1" s="145" t="s">
        <v>112</v>
      </c>
      <c r="W1" s="145" t="s">
        <v>111</v>
      </c>
      <c r="X1" s="145" t="s">
        <v>110</v>
      </c>
      <c r="Y1" s="145" t="s">
        <v>397</v>
      </c>
    </row>
    <row r="2" spans="1:25" x14ac:dyDescent="0.2">
      <c r="A2" s="291" t="s">
        <v>108</v>
      </c>
      <c r="B2" s="141">
        <v>-75</v>
      </c>
      <c r="C2" s="141">
        <v>180</v>
      </c>
      <c r="D2" s="141">
        <v>220</v>
      </c>
      <c r="E2" s="141">
        <v>6</v>
      </c>
      <c r="F2" s="141">
        <v>5.2</v>
      </c>
      <c r="G2" s="141">
        <v>35</v>
      </c>
      <c r="H2" s="141">
        <v>40</v>
      </c>
      <c r="I2" s="141">
        <v>3</v>
      </c>
      <c r="J2" s="141">
        <v>3</v>
      </c>
      <c r="K2" s="141">
        <v>0.3</v>
      </c>
      <c r="L2" s="141">
        <v>2</v>
      </c>
      <c r="M2" s="141">
        <v>5</v>
      </c>
      <c r="O2" s="287" t="str">
        <f t="shared" ref="O2:O14" si="0">"от "&amp;B2+(C2-B2)*0.1&amp;" °C до "&amp;C2-(C2-B2)*0.1&amp;" °C"</f>
        <v>от -49,5 °C до 154,5 °C</v>
      </c>
      <c r="P2" s="287" t="str">
        <f t="shared" ref="P2:P14" si="1">"от "&amp;C2-(C2-B2)*0.1&amp;" °C до "&amp;B2+(C2-B2)*0.1&amp;" °C"</f>
        <v>от 154,5 °C до -49,5 °C</v>
      </c>
      <c r="Q2" s="141">
        <v>700</v>
      </c>
      <c r="R2" s="141">
        <v>800</v>
      </c>
      <c r="S2" s="141">
        <v>400</v>
      </c>
      <c r="Y2" s="285"/>
    </row>
    <row r="3" spans="1:25" x14ac:dyDescent="0.2">
      <c r="A3" s="291" t="s">
        <v>107</v>
      </c>
      <c r="B3" s="141">
        <v>-75</v>
      </c>
      <c r="C3" s="141">
        <v>180</v>
      </c>
      <c r="D3" s="141">
        <v>390</v>
      </c>
      <c r="E3" s="141">
        <v>5</v>
      </c>
      <c r="F3" s="141">
        <v>4</v>
      </c>
      <c r="G3" s="141">
        <v>45</v>
      </c>
      <c r="H3" s="141">
        <v>50</v>
      </c>
      <c r="I3" s="141">
        <v>3</v>
      </c>
      <c r="J3" s="141">
        <v>3</v>
      </c>
      <c r="K3" s="141">
        <v>0.3</v>
      </c>
      <c r="L3" s="141">
        <v>2</v>
      </c>
      <c r="M3" s="141">
        <v>5</v>
      </c>
      <c r="O3" s="287" t="str">
        <f t="shared" si="0"/>
        <v>от -49,5 °C до 154,5 °C</v>
      </c>
      <c r="P3" s="287" t="str">
        <f t="shared" si="1"/>
        <v>от 154,5 °C до -49,5 °C</v>
      </c>
      <c r="Q3" s="141">
        <v>700</v>
      </c>
      <c r="R3" s="141">
        <v>800</v>
      </c>
      <c r="S3" s="141">
        <v>700</v>
      </c>
      <c r="Y3" s="285"/>
    </row>
    <row r="4" spans="1:25" x14ac:dyDescent="0.2">
      <c r="A4" s="291" t="s">
        <v>106</v>
      </c>
      <c r="B4" s="141">
        <v>-75</v>
      </c>
      <c r="C4" s="141">
        <v>180</v>
      </c>
      <c r="D4" s="141">
        <v>680</v>
      </c>
      <c r="E4" s="141">
        <v>6</v>
      </c>
      <c r="F4" s="141">
        <v>4.2</v>
      </c>
      <c r="G4" s="141">
        <v>35</v>
      </c>
      <c r="H4" s="141">
        <v>50</v>
      </c>
      <c r="I4" s="141">
        <v>3</v>
      </c>
      <c r="J4" s="141">
        <v>3</v>
      </c>
      <c r="K4" s="141">
        <v>0.3</v>
      </c>
      <c r="L4" s="141">
        <v>2</v>
      </c>
      <c r="M4" s="141">
        <v>5</v>
      </c>
      <c r="O4" s="287" t="str">
        <f t="shared" si="0"/>
        <v>от -49,5 °C до 154,5 °C</v>
      </c>
      <c r="P4" s="287" t="str">
        <f t="shared" si="1"/>
        <v>от 154,5 °C до -49,5 °C</v>
      </c>
      <c r="Q4" s="141">
        <v>850</v>
      </c>
      <c r="R4" s="141">
        <v>1000</v>
      </c>
      <c r="S4" s="141">
        <v>800</v>
      </c>
      <c r="Y4" s="285"/>
    </row>
    <row r="5" spans="1:25" x14ac:dyDescent="0.2">
      <c r="A5" s="291" t="s">
        <v>105</v>
      </c>
      <c r="B5" s="141">
        <v>-75</v>
      </c>
      <c r="C5" s="141">
        <v>180</v>
      </c>
      <c r="D5" s="141">
        <v>1100</v>
      </c>
      <c r="E5" s="141">
        <v>4.7</v>
      </c>
      <c r="F5" s="141">
        <v>4.0999999999999996</v>
      </c>
      <c r="G5" s="141">
        <v>45</v>
      </c>
      <c r="H5" s="141">
        <v>50</v>
      </c>
      <c r="I5" s="141">
        <v>3</v>
      </c>
      <c r="J5" s="141">
        <v>3</v>
      </c>
      <c r="K5" s="141">
        <v>0.3</v>
      </c>
      <c r="L5" s="141">
        <v>2</v>
      </c>
      <c r="M5" s="141">
        <v>5</v>
      </c>
      <c r="N5" s="141">
        <v>0.64</v>
      </c>
      <c r="O5" s="287" t="str">
        <f t="shared" si="0"/>
        <v>от -49,5 °C до 154,5 °C</v>
      </c>
      <c r="P5" s="287" t="str">
        <f t="shared" si="1"/>
        <v>от 154,5 °C до -49,5 °C</v>
      </c>
      <c r="Q5" s="141">
        <v>1100</v>
      </c>
      <c r="R5" s="141">
        <v>1000</v>
      </c>
      <c r="S5" s="141">
        <v>1000</v>
      </c>
      <c r="Y5" s="285"/>
    </row>
    <row r="6" spans="1:25" x14ac:dyDescent="0.2">
      <c r="A6" s="291" t="s">
        <v>104</v>
      </c>
      <c r="B6" s="141">
        <v>-45</v>
      </c>
      <c r="C6" s="141">
        <v>180</v>
      </c>
      <c r="D6" s="141">
        <v>680</v>
      </c>
      <c r="E6" s="141">
        <v>6.3</v>
      </c>
      <c r="F6" s="141">
        <v>4.8</v>
      </c>
      <c r="G6" s="141">
        <v>30</v>
      </c>
      <c r="H6" s="142" t="s">
        <v>96</v>
      </c>
      <c r="I6" s="141">
        <v>3</v>
      </c>
      <c r="J6" s="141">
        <v>3</v>
      </c>
      <c r="K6" s="141">
        <v>0.3</v>
      </c>
      <c r="L6" s="141">
        <v>2</v>
      </c>
      <c r="M6" s="141">
        <v>5</v>
      </c>
      <c r="O6" s="287" t="str">
        <f t="shared" si="0"/>
        <v>от -22,5 °C до 157,5 °C</v>
      </c>
      <c r="P6" s="287" t="str">
        <f t="shared" si="1"/>
        <v>от 157,5 °C до -22,5 °C</v>
      </c>
      <c r="Q6" s="141">
        <v>850</v>
      </c>
      <c r="R6" s="141">
        <v>1000</v>
      </c>
      <c r="S6" s="141">
        <v>800</v>
      </c>
      <c r="Y6" s="285"/>
    </row>
    <row r="7" spans="1:25" x14ac:dyDescent="0.2">
      <c r="A7" s="291" t="s">
        <v>103</v>
      </c>
      <c r="B7" s="141">
        <v>-45</v>
      </c>
      <c r="C7" s="141">
        <v>180</v>
      </c>
      <c r="D7" s="141">
        <v>1100</v>
      </c>
      <c r="E7" s="141">
        <v>4.7</v>
      </c>
      <c r="F7" s="141">
        <v>4.4000000000000004</v>
      </c>
      <c r="G7" s="141">
        <v>40</v>
      </c>
      <c r="H7" s="142" t="s">
        <v>96</v>
      </c>
      <c r="I7" s="141">
        <v>3</v>
      </c>
      <c r="J7" s="141">
        <v>3</v>
      </c>
      <c r="K7" s="141">
        <v>0.3</v>
      </c>
      <c r="L7" s="141">
        <v>2</v>
      </c>
      <c r="M7" s="141">
        <v>5</v>
      </c>
      <c r="O7" s="287" t="str">
        <f t="shared" si="0"/>
        <v>от -22,5 °C до 157,5 °C</v>
      </c>
      <c r="P7" s="287" t="str">
        <f t="shared" si="1"/>
        <v>от 157,5 °C до -22,5 °C</v>
      </c>
      <c r="Q7" s="141">
        <v>1100</v>
      </c>
      <c r="R7" s="141">
        <v>1000</v>
      </c>
      <c r="S7" s="141">
        <v>1000</v>
      </c>
      <c r="Y7" s="285"/>
    </row>
    <row r="8" spans="1:25" x14ac:dyDescent="0.2">
      <c r="A8" s="144" t="s">
        <v>102</v>
      </c>
      <c r="B8" s="141">
        <v>-75</v>
      </c>
      <c r="C8" s="141">
        <v>180</v>
      </c>
      <c r="D8" s="141">
        <v>220</v>
      </c>
      <c r="E8" s="141">
        <v>6</v>
      </c>
      <c r="F8" s="141">
        <v>5.2</v>
      </c>
      <c r="G8" s="141">
        <v>35</v>
      </c>
      <c r="H8" s="141">
        <v>40</v>
      </c>
      <c r="I8" s="141">
        <v>3</v>
      </c>
      <c r="J8" s="141">
        <v>3</v>
      </c>
      <c r="K8" s="141">
        <v>0.3</v>
      </c>
      <c r="L8" s="141">
        <v>2</v>
      </c>
      <c r="M8" s="141">
        <v>5</v>
      </c>
      <c r="O8" s="288" t="str">
        <f t="shared" si="0"/>
        <v>от -49,5 °C до 154,5 °C</v>
      </c>
      <c r="P8" s="288" t="str">
        <f t="shared" si="1"/>
        <v>от 154,5 °C до -49,5 °C</v>
      </c>
      <c r="Q8" s="141">
        <v>700</v>
      </c>
      <c r="R8" s="141">
        <v>800</v>
      </c>
      <c r="S8" s="141">
        <v>400</v>
      </c>
      <c r="T8" s="141">
        <v>10</v>
      </c>
      <c r="U8" s="141">
        <v>98</v>
      </c>
      <c r="V8" s="141">
        <v>3</v>
      </c>
      <c r="W8" s="141">
        <v>2.5</v>
      </c>
      <c r="X8" s="141">
        <v>10</v>
      </c>
      <c r="Y8" s="285"/>
    </row>
    <row r="9" spans="1:25" x14ac:dyDescent="0.2">
      <c r="A9" s="143" t="s">
        <v>101</v>
      </c>
      <c r="B9" s="141">
        <v>-75</v>
      </c>
      <c r="C9" s="141">
        <v>180</v>
      </c>
      <c r="D9" s="141">
        <v>390</v>
      </c>
      <c r="E9" s="141">
        <v>5</v>
      </c>
      <c r="F9" s="141">
        <v>4</v>
      </c>
      <c r="G9" s="141">
        <v>45</v>
      </c>
      <c r="H9" s="141">
        <v>50</v>
      </c>
      <c r="I9" s="141">
        <v>3</v>
      </c>
      <c r="J9" s="141">
        <v>3</v>
      </c>
      <c r="K9" s="141">
        <v>0.3</v>
      </c>
      <c r="L9" s="141">
        <v>2</v>
      </c>
      <c r="M9" s="141">
        <v>5</v>
      </c>
      <c r="O9" s="288" t="str">
        <f t="shared" si="0"/>
        <v>от -49,5 °C до 154,5 °C</v>
      </c>
      <c r="P9" s="288" t="str">
        <f t="shared" si="1"/>
        <v>от 154,5 °C до -49,5 °C</v>
      </c>
      <c r="Q9" s="141">
        <v>700</v>
      </c>
      <c r="R9" s="141">
        <v>800</v>
      </c>
      <c r="S9" s="141">
        <v>700</v>
      </c>
      <c r="T9" s="141">
        <v>10</v>
      </c>
      <c r="U9" s="141">
        <v>98</v>
      </c>
      <c r="V9" s="141">
        <v>3</v>
      </c>
      <c r="W9" s="141">
        <v>2.5</v>
      </c>
      <c r="X9" s="141">
        <v>10</v>
      </c>
      <c r="Y9" s="285"/>
    </row>
    <row r="10" spans="1:25" x14ac:dyDescent="0.2">
      <c r="A10" s="143" t="s">
        <v>100</v>
      </c>
      <c r="B10" s="141">
        <v>-75</v>
      </c>
      <c r="C10" s="141">
        <v>180</v>
      </c>
      <c r="D10" s="141">
        <v>680</v>
      </c>
      <c r="E10" s="141">
        <v>6</v>
      </c>
      <c r="F10" s="141">
        <v>4.2</v>
      </c>
      <c r="G10" s="141">
        <v>35</v>
      </c>
      <c r="H10" s="141">
        <v>50</v>
      </c>
      <c r="I10" s="141">
        <v>3</v>
      </c>
      <c r="J10" s="141">
        <v>3</v>
      </c>
      <c r="K10" s="141">
        <v>0.3</v>
      </c>
      <c r="L10" s="141">
        <v>2</v>
      </c>
      <c r="M10" s="141">
        <v>5</v>
      </c>
      <c r="O10" s="288" t="str">
        <f t="shared" si="0"/>
        <v>от -49,5 °C до 154,5 °C</v>
      </c>
      <c r="P10" s="288" t="str">
        <f t="shared" si="1"/>
        <v>от 154,5 °C до -49,5 °C</v>
      </c>
      <c r="Q10" s="141">
        <v>850</v>
      </c>
      <c r="R10" s="141">
        <v>1000</v>
      </c>
      <c r="S10" s="141">
        <v>800</v>
      </c>
      <c r="T10" s="141">
        <v>10</v>
      </c>
      <c r="U10" s="141">
        <v>98</v>
      </c>
      <c r="V10" s="141">
        <v>3</v>
      </c>
      <c r="W10" s="141">
        <v>2.5</v>
      </c>
      <c r="X10" s="141">
        <v>10</v>
      </c>
      <c r="Y10" s="285"/>
    </row>
    <row r="11" spans="1:25" x14ac:dyDescent="0.2">
      <c r="A11" s="143" t="s">
        <v>99</v>
      </c>
      <c r="B11" s="141">
        <v>-75</v>
      </c>
      <c r="C11" s="141">
        <v>180</v>
      </c>
      <c r="D11" s="141">
        <v>1100</v>
      </c>
      <c r="E11" s="141">
        <v>4.7</v>
      </c>
      <c r="F11" s="141">
        <v>4.0999999999999996</v>
      </c>
      <c r="G11" s="141">
        <v>45</v>
      </c>
      <c r="H11" s="141">
        <v>50</v>
      </c>
      <c r="I11" s="141">
        <v>3</v>
      </c>
      <c r="J11" s="141">
        <v>3</v>
      </c>
      <c r="K11" s="141">
        <v>0.3</v>
      </c>
      <c r="L11" s="141">
        <v>2</v>
      </c>
      <c r="M11" s="141">
        <v>5</v>
      </c>
      <c r="N11" s="141">
        <v>0.64</v>
      </c>
      <c r="O11" s="288" t="str">
        <f t="shared" si="0"/>
        <v>от -49,5 °C до 154,5 °C</v>
      </c>
      <c r="P11" s="288" t="str">
        <f t="shared" si="1"/>
        <v>от 154,5 °C до -49,5 °C</v>
      </c>
      <c r="Q11" s="141">
        <v>1100</v>
      </c>
      <c r="R11" s="141">
        <v>1000</v>
      </c>
      <c r="S11" s="141">
        <v>1000</v>
      </c>
      <c r="T11" s="141">
        <v>10</v>
      </c>
      <c r="U11" s="141">
        <v>98</v>
      </c>
      <c r="V11" s="141">
        <v>3</v>
      </c>
      <c r="W11" s="141">
        <v>2.5</v>
      </c>
      <c r="X11" s="141">
        <v>10</v>
      </c>
      <c r="Y11" s="285"/>
    </row>
    <row r="12" spans="1:25" x14ac:dyDescent="0.2">
      <c r="A12" s="143" t="s">
        <v>98</v>
      </c>
      <c r="B12" s="141">
        <v>-45</v>
      </c>
      <c r="C12" s="141">
        <v>180</v>
      </c>
      <c r="D12" s="141">
        <v>680</v>
      </c>
      <c r="E12" s="141">
        <v>6.3</v>
      </c>
      <c r="F12" s="141">
        <v>4.8</v>
      </c>
      <c r="G12" s="141">
        <v>30</v>
      </c>
      <c r="H12" s="142" t="s">
        <v>96</v>
      </c>
      <c r="I12" s="141">
        <v>3</v>
      </c>
      <c r="J12" s="141">
        <v>3</v>
      </c>
      <c r="K12" s="141">
        <v>0.3</v>
      </c>
      <c r="L12" s="141">
        <v>2</v>
      </c>
      <c r="M12" s="141">
        <v>5</v>
      </c>
      <c r="O12" s="288" t="str">
        <f t="shared" si="0"/>
        <v>от -22,5 °C до 157,5 °C</v>
      </c>
      <c r="P12" s="288" t="str">
        <f t="shared" si="1"/>
        <v>от 157,5 °C до -22,5 °C</v>
      </c>
      <c r="Q12" s="141">
        <v>850</v>
      </c>
      <c r="R12" s="141">
        <v>1000</v>
      </c>
      <c r="S12" s="141">
        <v>800</v>
      </c>
      <c r="T12" s="141">
        <v>10</v>
      </c>
      <c r="U12" s="141">
        <v>98</v>
      </c>
      <c r="V12" s="141">
        <v>3</v>
      </c>
      <c r="W12" s="141">
        <v>2.5</v>
      </c>
      <c r="X12" s="141">
        <v>10</v>
      </c>
      <c r="Y12" s="285"/>
    </row>
    <row r="13" spans="1:25" x14ac:dyDescent="0.2">
      <c r="A13" s="143" t="s">
        <v>97</v>
      </c>
      <c r="B13" s="141">
        <v>-45</v>
      </c>
      <c r="C13" s="141">
        <v>180</v>
      </c>
      <c r="D13" s="141">
        <v>1100</v>
      </c>
      <c r="E13" s="141">
        <v>4.7</v>
      </c>
      <c r="F13" s="141">
        <v>4.4000000000000004</v>
      </c>
      <c r="G13" s="141">
        <v>40</v>
      </c>
      <c r="H13" s="142" t="s">
        <v>96</v>
      </c>
      <c r="I13" s="141">
        <v>3</v>
      </c>
      <c r="J13" s="141">
        <v>3</v>
      </c>
      <c r="K13" s="141">
        <v>0.3</v>
      </c>
      <c r="L13" s="141">
        <v>2</v>
      </c>
      <c r="M13" s="141">
        <v>5</v>
      </c>
      <c r="O13" s="288" t="str">
        <f t="shared" si="0"/>
        <v>от -22,5 °C до 157,5 °C</v>
      </c>
      <c r="P13" s="288" t="str">
        <f t="shared" si="1"/>
        <v>от 157,5 °C до -22,5 °C</v>
      </c>
      <c r="Q13" s="141">
        <v>1100</v>
      </c>
      <c r="R13" s="141">
        <v>1000</v>
      </c>
      <c r="S13" s="141">
        <v>1000</v>
      </c>
      <c r="T13" s="141">
        <v>10</v>
      </c>
      <c r="U13" s="141">
        <v>98</v>
      </c>
      <c r="V13" s="141">
        <v>3</v>
      </c>
      <c r="W13" s="141">
        <v>2.5</v>
      </c>
      <c r="X13" s="141">
        <v>10</v>
      </c>
      <c r="Y13" s="285"/>
    </row>
    <row r="14" spans="1:25" x14ac:dyDescent="0.2">
      <c r="A14" s="291" t="s">
        <v>277</v>
      </c>
      <c r="B14" s="141">
        <v>-40</v>
      </c>
      <c r="C14" s="141">
        <v>100</v>
      </c>
      <c r="D14" s="141">
        <v>408</v>
      </c>
      <c r="E14" s="285">
        <v>3.1</v>
      </c>
      <c r="F14" s="285">
        <v>1.4</v>
      </c>
      <c r="G14" s="286">
        <v>45</v>
      </c>
      <c r="H14" s="141">
        <v>50</v>
      </c>
      <c r="I14" s="141">
        <v>0.5</v>
      </c>
      <c r="J14" s="141">
        <v>0.5</v>
      </c>
      <c r="K14" s="141">
        <v>0.3</v>
      </c>
      <c r="L14" s="141">
        <v>2</v>
      </c>
      <c r="M14" s="285"/>
      <c r="N14" s="285"/>
      <c r="O14" s="289" t="str">
        <f t="shared" si="0"/>
        <v>от -26 °C до 86 °C</v>
      </c>
      <c r="P14" s="290" t="str">
        <f t="shared" si="1"/>
        <v>от 86 °C до -26 °C</v>
      </c>
      <c r="Q14" s="141">
        <v>600</v>
      </c>
      <c r="R14" s="141">
        <v>800</v>
      </c>
      <c r="S14" s="141">
        <v>850</v>
      </c>
      <c r="T14" s="285"/>
      <c r="U14" s="285"/>
      <c r="V14" s="285"/>
      <c r="W14" s="285"/>
      <c r="X14" s="285"/>
      <c r="Y14" s="285">
        <v>3</v>
      </c>
    </row>
    <row r="16" spans="1:25" x14ac:dyDescent="0.2">
      <c r="A16" s="141">
        <v>1</v>
      </c>
      <c r="B16" s="141">
        <v>2</v>
      </c>
      <c r="C16" s="141">
        <v>3</v>
      </c>
      <c r="D16" s="141">
        <v>4</v>
      </c>
      <c r="E16" s="141">
        <v>5</v>
      </c>
      <c r="F16" s="141">
        <v>6</v>
      </c>
      <c r="G16" s="141">
        <v>7</v>
      </c>
      <c r="H16" s="141">
        <v>8</v>
      </c>
      <c r="I16" s="141">
        <v>9</v>
      </c>
      <c r="J16" s="141">
        <v>10</v>
      </c>
      <c r="K16" s="141">
        <v>11</v>
      </c>
      <c r="L16" s="141">
        <v>12</v>
      </c>
      <c r="M16" s="141">
        <v>13</v>
      </c>
      <c r="N16" s="141">
        <v>14</v>
      </c>
      <c r="O16" s="141">
        <v>15</v>
      </c>
      <c r="P16" s="141">
        <v>16</v>
      </c>
      <c r="Q16" s="141">
        <v>17</v>
      </c>
      <c r="R16" s="141">
        <v>18</v>
      </c>
      <c r="S16" s="141">
        <v>19</v>
      </c>
      <c r="T16" s="141">
        <v>20</v>
      </c>
      <c r="U16" s="141">
        <v>21</v>
      </c>
      <c r="V16" s="141">
        <v>22</v>
      </c>
      <c r="W16" s="141">
        <v>23</v>
      </c>
      <c r="X16" s="141">
        <v>24</v>
      </c>
    </row>
    <row r="20" spans="2:10" x14ac:dyDescent="0.2">
      <c r="B20" s="325"/>
      <c r="C20" s="325"/>
      <c r="D20" s="325"/>
      <c r="E20" s="325"/>
      <c r="F20" s="325"/>
      <c r="G20" s="325"/>
      <c r="H20" s="325"/>
      <c r="I20" s="325"/>
      <c r="J20" s="325"/>
    </row>
    <row r="21" spans="2:10" x14ac:dyDescent="0.2">
      <c r="B21" s="325"/>
      <c r="C21" s="325"/>
      <c r="D21" s="325"/>
      <c r="E21" s="325"/>
      <c r="F21" s="325"/>
      <c r="G21" s="325"/>
      <c r="H21" s="325"/>
      <c r="I21" s="325"/>
      <c r="J21" s="325"/>
    </row>
    <row r="22" spans="2:10" x14ac:dyDescent="0.2">
      <c r="B22" s="325"/>
      <c r="C22" s="325"/>
      <c r="D22" s="325"/>
      <c r="E22" s="325"/>
      <c r="F22" s="325"/>
      <c r="G22" s="325"/>
      <c r="H22" s="325"/>
      <c r="I22" s="325"/>
      <c r="J22" s="325"/>
    </row>
    <row r="23" spans="2:10" x14ac:dyDescent="0.2">
      <c r="B23" s="325"/>
      <c r="C23" s="325"/>
      <c r="D23" s="325"/>
      <c r="E23" s="325"/>
      <c r="F23" s="325"/>
      <c r="G23" s="325"/>
      <c r="H23" s="325"/>
      <c r="I23" s="325"/>
      <c r="J23" s="325"/>
    </row>
    <row r="24" spans="2:10" x14ac:dyDescent="0.2">
      <c r="B24" s="325"/>
      <c r="C24" s="325"/>
      <c r="D24" s="325"/>
      <c r="E24" s="325"/>
      <c r="F24" s="325"/>
      <c r="G24" s="325"/>
      <c r="H24" s="325"/>
      <c r="I24" s="325"/>
      <c r="J24" s="325"/>
    </row>
    <row r="25" spans="2:10" x14ac:dyDescent="0.2">
      <c r="B25" s="325"/>
      <c r="C25" s="325"/>
      <c r="D25" s="325"/>
      <c r="E25" s="325"/>
      <c r="F25" s="325"/>
      <c r="G25" s="325"/>
      <c r="H25" s="325"/>
      <c r="I25" s="325"/>
      <c r="J25" s="325"/>
    </row>
    <row r="26" spans="2:10" x14ac:dyDescent="0.2">
      <c r="B26" s="325"/>
      <c r="C26" s="325"/>
      <c r="D26" s="325"/>
      <c r="E26" s="325"/>
      <c r="F26" s="325"/>
      <c r="G26" s="325"/>
      <c r="H26" s="325"/>
      <c r="I26" s="325"/>
      <c r="J26" s="325"/>
    </row>
    <row r="27" spans="2:10" x14ac:dyDescent="0.2">
      <c r="B27" s="325"/>
      <c r="C27" s="325"/>
      <c r="D27" s="325"/>
      <c r="E27" s="325"/>
      <c r="F27" s="325"/>
      <c r="G27" s="325"/>
      <c r="H27" s="325"/>
      <c r="I27" s="325"/>
      <c r="J27" s="325"/>
    </row>
    <row r="28" spans="2:10" x14ac:dyDescent="0.2">
      <c r="B28" s="325"/>
      <c r="C28" s="325"/>
      <c r="D28" s="325"/>
      <c r="E28" s="325"/>
      <c r="F28" s="325"/>
      <c r="G28" s="325"/>
      <c r="H28" s="325"/>
      <c r="I28" s="325"/>
      <c r="J28" s="325"/>
    </row>
    <row r="29" spans="2:10" x14ac:dyDescent="0.2">
      <c r="B29" s="325"/>
      <c r="C29" s="325"/>
      <c r="D29" s="325"/>
      <c r="E29" s="325"/>
      <c r="F29" s="325"/>
      <c r="G29" s="325"/>
      <c r="H29" s="325"/>
      <c r="I29" s="325"/>
      <c r="J29" s="325"/>
    </row>
    <row r="30" spans="2:10" x14ac:dyDescent="0.2">
      <c r="B30" s="325"/>
      <c r="C30" s="325"/>
      <c r="D30" s="325"/>
      <c r="E30" s="325"/>
      <c r="F30" s="325"/>
      <c r="G30" s="325"/>
      <c r="H30" s="325"/>
      <c r="I30" s="325"/>
      <c r="J30" s="325"/>
    </row>
    <row r="31" spans="2:10" x14ac:dyDescent="0.2">
      <c r="B31" s="325"/>
      <c r="C31" s="325"/>
      <c r="D31" s="325"/>
      <c r="E31" s="325"/>
      <c r="F31" s="325"/>
      <c r="G31" s="325"/>
      <c r="H31" s="325"/>
      <c r="I31" s="325"/>
      <c r="J31" s="325"/>
    </row>
    <row r="32" spans="2:10" x14ac:dyDescent="0.2">
      <c r="B32" s="325"/>
      <c r="C32" s="325"/>
      <c r="D32" s="325"/>
      <c r="E32" s="325"/>
      <c r="F32" s="325"/>
      <c r="G32" s="325"/>
      <c r="H32" s="325"/>
      <c r="I32" s="325"/>
      <c r="J32" s="325"/>
    </row>
    <row r="33" spans="2:10" x14ac:dyDescent="0.2">
      <c r="B33" s="325"/>
      <c r="C33" s="325"/>
      <c r="D33" s="325"/>
      <c r="E33" s="325"/>
      <c r="F33" s="325"/>
      <c r="G33" s="325"/>
      <c r="H33" s="325"/>
      <c r="I33" s="325"/>
      <c r="J33" s="325"/>
    </row>
    <row r="34" spans="2:10" x14ac:dyDescent="0.2">
      <c r="B34" s="325"/>
      <c r="C34" s="325"/>
      <c r="D34" s="325"/>
      <c r="E34" s="325"/>
      <c r="F34" s="325"/>
      <c r="G34" s="325"/>
      <c r="H34" s="325"/>
      <c r="I34" s="325"/>
      <c r="J34" s="325"/>
    </row>
    <row r="35" spans="2:10" x14ac:dyDescent="0.2">
      <c r="B35" s="325"/>
      <c r="C35" s="325"/>
      <c r="D35" s="325"/>
      <c r="E35" s="325"/>
      <c r="F35" s="325"/>
      <c r="G35" s="325"/>
      <c r="H35" s="325"/>
      <c r="I35" s="325"/>
      <c r="J35" s="325"/>
    </row>
    <row r="36" spans="2:10" x14ac:dyDescent="0.2">
      <c r="B36" s="325"/>
      <c r="C36" s="325"/>
      <c r="D36" s="325"/>
      <c r="E36" s="325"/>
      <c r="F36" s="325"/>
      <c r="G36" s="325"/>
      <c r="H36" s="325"/>
      <c r="I36" s="325"/>
      <c r="J36" s="325"/>
    </row>
    <row r="37" spans="2:10" x14ac:dyDescent="0.2">
      <c r="B37" s="325"/>
      <c r="C37" s="325"/>
      <c r="D37" s="325"/>
      <c r="E37" s="325"/>
      <c r="F37" s="325"/>
      <c r="G37" s="325"/>
      <c r="H37" s="325"/>
      <c r="I37" s="325"/>
      <c r="J37" s="325"/>
    </row>
    <row r="38" spans="2:10" x14ac:dyDescent="0.2">
      <c r="B38" s="325"/>
      <c r="C38" s="325"/>
      <c r="D38" s="325"/>
      <c r="E38" s="325"/>
      <c r="F38" s="325"/>
      <c r="G38" s="325"/>
      <c r="H38" s="325"/>
      <c r="I38" s="325"/>
      <c r="J38" s="325"/>
    </row>
    <row r="39" spans="2:10" x14ac:dyDescent="0.2">
      <c r="B39" s="325"/>
      <c r="C39" s="325"/>
      <c r="D39" s="325"/>
      <c r="E39" s="325"/>
      <c r="F39" s="325"/>
      <c r="G39" s="325"/>
      <c r="H39" s="325"/>
      <c r="I39" s="325"/>
      <c r="J39" s="325"/>
    </row>
    <row r="40" spans="2:10" x14ac:dyDescent="0.2">
      <c r="B40" s="325"/>
      <c r="C40" s="325"/>
      <c r="D40" s="325"/>
      <c r="E40" s="325"/>
      <c r="F40" s="325"/>
      <c r="G40" s="325"/>
      <c r="H40" s="325"/>
      <c r="I40" s="325"/>
      <c r="J40" s="325"/>
    </row>
    <row r="41" spans="2:10" x14ac:dyDescent="0.2">
      <c r="B41" s="325"/>
      <c r="C41" s="325"/>
      <c r="D41" s="325"/>
      <c r="E41" s="325"/>
      <c r="F41" s="325"/>
      <c r="G41" s="325"/>
      <c r="H41" s="325"/>
      <c r="I41" s="325"/>
      <c r="J41" s="325"/>
    </row>
    <row r="42" spans="2:10" x14ac:dyDescent="0.2">
      <c r="B42" s="325"/>
      <c r="C42" s="325"/>
      <c r="D42" s="325"/>
      <c r="E42" s="325"/>
      <c r="F42" s="325"/>
      <c r="G42" s="325"/>
      <c r="H42" s="325"/>
      <c r="I42" s="325"/>
      <c r="J42" s="325"/>
    </row>
    <row r="43" spans="2:10" x14ac:dyDescent="0.2">
      <c r="B43" s="325"/>
      <c r="C43" s="325"/>
      <c r="D43" s="325"/>
      <c r="E43" s="325"/>
      <c r="F43" s="325"/>
      <c r="G43" s="325"/>
      <c r="H43" s="325"/>
      <c r="I43" s="325"/>
      <c r="J43" s="325"/>
    </row>
    <row r="44" spans="2:10" x14ac:dyDescent="0.2">
      <c r="B44" s="325"/>
      <c r="C44" s="325"/>
      <c r="D44" s="325"/>
      <c r="E44" s="325"/>
      <c r="F44" s="325"/>
      <c r="G44" s="325"/>
      <c r="H44" s="325"/>
      <c r="I44" s="325"/>
      <c r="J44" s="325"/>
    </row>
    <row r="45" spans="2:10" x14ac:dyDescent="0.2">
      <c r="B45" s="325"/>
      <c r="C45" s="325"/>
      <c r="D45" s="325"/>
      <c r="E45" s="325"/>
      <c r="F45" s="325"/>
      <c r="G45" s="325"/>
      <c r="H45" s="325"/>
      <c r="I45" s="325"/>
      <c r="J45" s="325"/>
    </row>
    <row r="46" spans="2:10" x14ac:dyDescent="0.2">
      <c r="B46" s="325"/>
      <c r="C46" s="325"/>
      <c r="D46" s="325"/>
      <c r="E46" s="325"/>
      <c r="F46" s="325"/>
      <c r="G46" s="325"/>
      <c r="H46" s="325"/>
      <c r="I46" s="325"/>
      <c r="J46" s="325"/>
    </row>
    <row r="47" spans="2:10" x14ac:dyDescent="0.2">
      <c r="B47" s="325"/>
      <c r="C47" s="325"/>
      <c r="D47" s="325"/>
      <c r="E47" s="325"/>
      <c r="F47" s="325"/>
      <c r="G47" s="325"/>
      <c r="H47" s="325"/>
      <c r="I47" s="325"/>
      <c r="J47" s="325"/>
    </row>
    <row r="48" spans="2:10" x14ac:dyDescent="0.2">
      <c r="B48" s="325"/>
      <c r="C48" s="325"/>
      <c r="D48" s="325"/>
      <c r="E48" s="325"/>
      <c r="F48" s="325"/>
      <c r="G48" s="325"/>
      <c r="H48" s="325"/>
      <c r="I48" s="325"/>
      <c r="J48" s="325"/>
    </row>
    <row r="49" spans="2:10" x14ac:dyDescent="0.2">
      <c r="B49" s="325"/>
      <c r="C49" s="325"/>
      <c r="D49" s="325"/>
      <c r="E49" s="325"/>
      <c r="F49" s="325"/>
      <c r="G49" s="325"/>
      <c r="H49" s="325"/>
      <c r="I49" s="325"/>
      <c r="J49" s="325"/>
    </row>
  </sheetData>
  <dataConsolidate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2"/>
  <dimension ref="A2:H39"/>
  <sheetViews>
    <sheetView topLeftCell="A13" zoomScale="70" zoomScaleNormal="70" workbookViewId="0">
      <selection activeCell="H38" sqref="H38:H39"/>
    </sheetView>
  </sheetViews>
  <sheetFormatPr defaultRowHeight="14.25" x14ac:dyDescent="0.2"/>
  <cols>
    <col min="4" max="4" width="10" customWidth="1"/>
    <col min="7" max="7" width="9.625" customWidth="1"/>
    <col min="8" max="8" width="13.125" customWidth="1"/>
  </cols>
  <sheetData>
    <row r="2" spans="1:8" ht="14.25" customHeight="1" x14ac:dyDescent="0.2">
      <c r="A2" s="490" t="s">
        <v>154</v>
      </c>
      <c r="B2" s="490"/>
      <c r="C2" s="490"/>
      <c r="D2" s="490" t="s">
        <v>155</v>
      </c>
      <c r="E2" s="490" t="s">
        <v>156</v>
      </c>
      <c r="F2" s="490"/>
      <c r="G2" s="490"/>
      <c r="H2" s="490" t="s">
        <v>183</v>
      </c>
    </row>
    <row r="3" spans="1:8" x14ac:dyDescent="0.2">
      <c r="A3" s="490"/>
      <c r="B3" s="490"/>
      <c r="C3" s="490"/>
      <c r="D3" s="490"/>
      <c r="E3" s="490"/>
      <c r="F3" s="490"/>
      <c r="G3" s="490"/>
      <c r="H3" s="490"/>
    </row>
    <row r="4" spans="1:8" x14ac:dyDescent="0.2">
      <c r="A4" s="490"/>
      <c r="B4" s="490"/>
      <c r="C4" s="490"/>
      <c r="D4" s="490"/>
      <c r="E4" s="490"/>
      <c r="F4" s="490"/>
      <c r="G4" s="490"/>
      <c r="H4" s="490"/>
    </row>
    <row r="5" spans="1:8" x14ac:dyDescent="0.2">
      <c r="A5" s="490"/>
      <c r="B5" s="490"/>
      <c r="C5" s="490"/>
      <c r="D5" s="490"/>
      <c r="E5" s="490"/>
      <c r="F5" s="490"/>
      <c r="G5" s="490"/>
      <c r="H5" s="490"/>
    </row>
    <row r="6" spans="1:8" ht="49.5" customHeight="1" x14ac:dyDescent="0.2">
      <c r="A6" s="493" t="s">
        <v>185</v>
      </c>
      <c r="B6" s="493"/>
      <c r="C6" s="493"/>
      <c r="D6" s="155">
        <v>759</v>
      </c>
      <c r="E6" s="494" t="s">
        <v>188</v>
      </c>
      <c r="F6" s="494"/>
      <c r="G6" s="494"/>
      <c r="H6" s="155" t="s">
        <v>366</v>
      </c>
    </row>
    <row r="7" spans="1:8" ht="15.2" customHeight="1" x14ac:dyDescent="0.2">
      <c r="A7" s="492" t="s">
        <v>157</v>
      </c>
      <c r="B7" s="492"/>
      <c r="C7" s="492"/>
      <c r="D7" s="156">
        <v>132</v>
      </c>
      <c r="E7" s="491" t="s">
        <v>158</v>
      </c>
      <c r="F7" s="491"/>
      <c r="G7" s="491"/>
      <c r="H7" s="488" t="s">
        <v>368</v>
      </c>
    </row>
    <row r="8" spans="1:8" ht="15.2" customHeight="1" x14ac:dyDescent="0.2">
      <c r="A8" s="492"/>
      <c r="B8" s="492"/>
      <c r="C8" s="492"/>
      <c r="D8" s="156">
        <v>141</v>
      </c>
      <c r="E8" s="491" t="s">
        <v>159</v>
      </c>
      <c r="F8" s="491"/>
      <c r="G8" s="491"/>
      <c r="H8" s="489"/>
    </row>
    <row r="9" spans="1:8" ht="15.2" customHeight="1" x14ac:dyDescent="0.2">
      <c r="A9" s="492"/>
      <c r="B9" s="492"/>
      <c r="C9" s="492"/>
      <c r="D9" s="156">
        <v>113</v>
      </c>
      <c r="E9" s="491" t="s">
        <v>160</v>
      </c>
      <c r="F9" s="491"/>
      <c r="G9" s="491"/>
      <c r="H9" s="489"/>
    </row>
    <row r="10" spans="1:8" ht="15.2" customHeight="1" x14ac:dyDescent="0.2">
      <c r="A10" s="492"/>
      <c r="B10" s="492"/>
      <c r="C10" s="492"/>
      <c r="D10" s="156">
        <v>143</v>
      </c>
      <c r="E10" s="491" t="s">
        <v>161</v>
      </c>
      <c r="F10" s="491"/>
      <c r="G10" s="491"/>
      <c r="H10" s="489"/>
    </row>
    <row r="11" spans="1:8" ht="15.2" customHeight="1" x14ac:dyDescent="0.2">
      <c r="A11" s="492"/>
      <c r="B11" s="492"/>
      <c r="C11" s="492"/>
      <c r="D11" s="156">
        <v>142</v>
      </c>
      <c r="E11" s="491" t="s">
        <v>162</v>
      </c>
      <c r="F11" s="491"/>
      <c r="G11" s="491"/>
      <c r="H11" s="489"/>
    </row>
    <row r="12" spans="1:8" ht="15.2" customHeight="1" x14ac:dyDescent="0.2">
      <c r="A12" s="492"/>
      <c r="B12" s="492"/>
      <c r="C12" s="492"/>
      <c r="D12" s="156">
        <v>116</v>
      </c>
      <c r="E12" s="491" t="s">
        <v>163</v>
      </c>
      <c r="F12" s="491"/>
      <c r="G12" s="491"/>
      <c r="H12" s="489"/>
    </row>
    <row r="13" spans="1:8" ht="15.2" customHeight="1" x14ac:dyDescent="0.2">
      <c r="A13" s="492"/>
      <c r="B13" s="492"/>
      <c r="C13" s="492"/>
      <c r="D13" s="156">
        <v>104</v>
      </c>
      <c r="E13" s="491" t="s">
        <v>164</v>
      </c>
      <c r="F13" s="491"/>
      <c r="G13" s="491"/>
      <c r="H13" s="489"/>
    </row>
    <row r="14" spans="1:8" ht="15.2" customHeight="1" x14ac:dyDescent="0.2">
      <c r="A14" s="492"/>
      <c r="B14" s="492"/>
      <c r="C14" s="492"/>
      <c r="D14" s="156">
        <v>114</v>
      </c>
      <c r="E14" s="491" t="s">
        <v>165</v>
      </c>
      <c r="F14" s="491"/>
      <c r="G14" s="491"/>
      <c r="H14" s="489"/>
    </row>
    <row r="15" spans="1:8" ht="15.2" customHeight="1" x14ac:dyDescent="0.2">
      <c r="A15" s="492"/>
      <c r="B15" s="492"/>
      <c r="C15" s="492"/>
      <c r="D15" s="156">
        <v>115</v>
      </c>
      <c r="E15" s="491" t="s">
        <v>166</v>
      </c>
      <c r="F15" s="491"/>
      <c r="G15" s="491"/>
      <c r="H15" s="489"/>
    </row>
    <row r="16" spans="1:8" ht="14.25" customHeight="1" x14ac:dyDescent="0.2">
      <c r="A16" s="492" t="s">
        <v>167</v>
      </c>
      <c r="B16" s="492"/>
      <c r="C16" s="492"/>
      <c r="D16" s="491">
        <v>61887827</v>
      </c>
      <c r="E16" s="482" t="s">
        <v>179</v>
      </c>
      <c r="F16" s="491"/>
      <c r="G16" s="491"/>
      <c r="H16" s="488" t="s">
        <v>186</v>
      </c>
    </row>
    <row r="17" spans="1:8" x14ac:dyDescent="0.2">
      <c r="A17" s="492"/>
      <c r="B17" s="492"/>
      <c r="C17" s="492"/>
      <c r="D17" s="491"/>
      <c r="E17" s="491"/>
      <c r="F17" s="491"/>
      <c r="G17" s="491"/>
      <c r="H17" s="488"/>
    </row>
    <row r="18" spans="1:8" x14ac:dyDescent="0.2">
      <c r="A18" s="492"/>
      <c r="B18" s="492"/>
      <c r="C18" s="492"/>
      <c r="D18" s="491"/>
      <c r="E18" s="491"/>
      <c r="F18" s="491"/>
      <c r="G18" s="491"/>
      <c r="H18" s="488"/>
    </row>
    <row r="19" spans="1:8" x14ac:dyDescent="0.2">
      <c r="A19" s="492"/>
      <c r="B19" s="492"/>
      <c r="C19" s="492"/>
      <c r="D19" s="491"/>
      <c r="E19" s="491"/>
      <c r="F19" s="491"/>
      <c r="G19" s="491"/>
      <c r="H19" s="488"/>
    </row>
    <row r="20" spans="1:8" x14ac:dyDescent="0.2">
      <c r="A20" s="492"/>
      <c r="B20" s="492"/>
      <c r="C20" s="492"/>
      <c r="D20" s="491"/>
      <c r="E20" s="491"/>
      <c r="F20" s="491"/>
      <c r="G20" s="491"/>
      <c r="H20" s="488"/>
    </row>
    <row r="21" spans="1:8" x14ac:dyDescent="0.2">
      <c r="A21" s="492"/>
      <c r="B21" s="492"/>
      <c r="C21" s="492"/>
      <c r="D21" s="491"/>
      <c r="E21" s="491"/>
      <c r="F21" s="491"/>
      <c r="G21" s="491"/>
      <c r="H21" s="488"/>
    </row>
    <row r="22" spans="1:8" ht="4.5" customHeight="1" x14ac:dyDescent="0.2">
      <c r="A22" s="492"/>
      <c r="B22" s="492"/>
      <c r="C22" s="492"/>
      <c r="D22" s="491"/>
      <c r="E22" s="491"/>
      <c r="F22" s="491"/>
      <c r="G22" s="491"/>
      <c r="H22" s="488"/>
    </row>
    <row r="23" spans="1:8" x14ac:dyDescent="0.2">
      <c r="A23" s="492" t="s">
        <v>168</v>
      </c>
      <c r="B23" s="495"/>
      <c r="C23" s="495"/>
      <c r="D23" s="496">
        <v>61887828</v>
      </c>
      <c r="E23" s="482" t="s">
        <v>178</v>
      </c>
      <c r="F23" s="491"/>
      <c r="G23" s="491"/>
      <c r="H23" s="488" t="s">
        <v>369</v>
      </c>
    </row>
    <row r="24" spans="1:8" x14ac:dyDescent="0.2">
      <c r="A24" s="495"/>
      <c r="B24" s="495"/>
      <c r="C24" s="495"/>
      <c r="D24" s="496"/>
      <c r="E24" s="491"/>
      <c r="F24" s="491"/>
      <c r="G24" s="491"/>
      <c r="H24" s="488"/>
    </row>
    <row r="25" spans="1:8" x14ac:dyDescent="0.2">
      <c r="A25" s="495"/>
      <c r="B25" s="495"/>
      <c r="C25" s="495"/>
      <c r="D25" s="496"/>
      <c r="E25" s="491"/>
      <c r="F25" s="491"/>
      <c r="G25" s="491"/>
      <c r="H25" s="488"/>
    </row>
    <row r="26" spans="1:8" x14ac:dyDescent="0.2">
      <c r="A26" s="495"/>
      <c r="B26" s="495"/>
      <c r="C26" s="495"/>
      <c r="D26" s="496"/>
      <c r="E26" s="491"/>
      <c r="F26" s="491"/>
      <c r="G26" s="491"/>
      <c r="H26" s="488"/>
    </row>
    <row r="27" spans="1:8" x14ac:dyDescent="0.2">
      <c r="A27" s="495"/>
      <c r="B27" s="495"/>
      <c r="C27" s="495"/>
      <c r="D27" s="496"/>
      <c r="E27" s="491"/>
      <c r="F27" s="491"/>
      <c r="G27" s="491"/>
      <c r="H27" s="488"/>
    </row>
    <row r="28" spans="1:8" x14ac:dyDescent="0.2">
      <c r="A28" s="495"/>
      <c r="B28" s="495"/>
      <c r="C28" s="495"/>
      <c r="D28" s="496"/>
      <c r="E28" s="491"/>
      <c r="F28" s="491"/>
      <c r="G28" s="491"/>
      <c r="H28" s="488"/>
    </row>
    <row r="29" spans="1:8" x14ac:dyDescent="0.2">
      <c r="A29" s="495"/>
      <c r="B29" s="495"/>
      <c r="C29" s="495"/>
      <c r="D29" s="496"/>
      <c r="E29" s="491"/>
      <c r="F29" s="491"/>
      <c r="G29" s="491"/>
      <c r="H29" s="488"/>
    </row>
    <row r="30" spans="1:8" x14ac:dyDescent="0.2">
      <c r="A30" s="492" t="s">
        <v>169</v>
      </c>
      <c r="B30" s="495"/>
      <c r="C30" s="495"/>
      <c r="D30" s="491">
        <v>771125</v>
      </c>
      <c r="E30" s="491" t="s">
        <v>170</v>
      </c>
      <c r="F30" s="491"/>
      <c r="G30" s="491"/>
      <c r="H30" s="490" t="s">
        <v>189</v>
      </c>
    </row>
    <row r="31" spans="1:8" ht="21.75" customHeight="1" x14ac:dyDescent="0.2">
      <c r="A31" s="495"/>
      <c r="B31" s="495"/>
      <c r="C31" s="495"/>
      <c r="D31" s="491"/>
      <c r="E31" s="491"/>
      <c r="F31" s="491"/>
      <c r="G31" s="491"/>
      <c r="H31" s="490"/>
    </row>
    <row r="32" spans="1:8" x14ac:dyDescent="0.2">
      <c r="A32" s="495" t="s">
        <v>171</v>
      </c>
      <c r="B32" s="495"/>
      <c r="C32" s="495"/>
      <c r="D32" s="491">
        <v>24</v>
      </c>
      <c r="E32" s="482" t="s">
        <v>177</v>
      </c>
      <c r="F32" s="491"/>
      <c r="G32" s="491"/>
      <c r="H32" s="494" t="s">
        <v>184</v>
      </c>
    </row>
    <row r="33" spans="1:8" x14ac:dyDescent="0.2">
      <c r="A33" s="495"/>
      <c r="B33" s="495"/>
      <c r="C33" s="495"/>
      <c r="D33" s="491"/>
      <c r="E33" s="491"/>
      <c r="F33" s="491"/>
      <c r="G33" s="491"/>
      <c r="H33" s="494"/>
    </row>
    <row r="34" spans="1:8" x14ac:dyDescent="0.2">
      <c r="A34" s="495" t="s">
        <v>172</v>
      </c>
      <c r="B34" s="495"/>
      <c r="C34" s="495"/>
      <c r="D34" s="491">
        <v>18700091</v>
      </c>
      <c r="E34" s="491" t="s">
        <v>176</v>
      </c>
      <c r="F34" s="491"/>
      <c r="G34" s="491"/>
      <c r="H34" s="490" t="s">
        <v>367</v>
      </c>
    </row>
    <row r="35" spans="1:8" x14ac:dyDescent="0.2">
      <c r="A35" s="495"/>
      <c r="B35" s="495"/>
      <c r="C35" s="495"/>
      <c r="D35" s="491"/>
      <c r="E35" s="491"/>
      <c r="F35" s="491"/>
      <c r="G35" s="491"/>
      <c r="H35" s="490"/>
    </row>
    <row r="36" spans="1:8" ht="15.75" customHeight="1" x14ac:dyDescent="0.2">
      <c r="A36" s="499" t="s">
        <v>173</v>
      </c>
      <c r="B36" s="499"/>
      <c r="C36" s="499"/>
      <c r="D36" s="491" t="s">
        <v>174</v>
      </c>
      <c r="E36" s="482" t="s">
        <v>175</v>
      </c>
      <c r="F36" s="491"/>
      <c r="G36" s="491"/>
      <c r="H36" s="497" t="s">
        <v>370</v>
      </c>
    </row>
    <row r="37" spans="1:8" ht="39.75" customHeight="1" x14ac:dyDescent="0.2">
      <c r="A37" s="499"/>
      <c r="B37" s="499"/>
      <c r="C37" s="499"/>
      <c r="D37" s="491"/>
      <c r="E37" s="491"/>
      <c r="F37" s="491"/>
      <c r="G37" s="491"/>
      <c r="H37" s="498"/>
    </row>
    <row r="38" spans="1:8" ht="15.75" customHeight="1" x14ac:dyDescent="0.2">
      <c r="A38" s="482" t="s">
        <v>180</v>
      </c>
      <c r="B38" s="482"/>
      <c r="C38" s="482"/>
      <c r="D38" s="500" t="s">
        <v>181</v>
      </c>
      <c r="E38" s="482" t="s">
        <v>182</v>
      </c>
      <c r="F38" s="491"/>
      <c r="G38" s="491"/>
      <c r="H38" s="497" t="s">
        <v>187</v>
      </c>
    </row>
    <row r="39" spans="1:8" ht="15.75" customHeight="1" x14ac:dyDescent="0.2">
      <c r="A39" s="482"/>
      <c r="B39" s="482"/>
      <c r="C39" s="482"/>
      <c r="D39" s="500"/>
      <c r="E39" s="491"/>
      <c r="F39" s="491"/>
      <c r="G39" s="491"/>
      <c r="H39" s="498"/>
    </row>
  </sheetData>
  <mergeCells count="45">
    <mergeCell ref="A36:C37"/>
    <mergeCell ref="E36:G37"/>
    <mergeCell ref="A38:C39"/>
    <mergeCell ref="E38:G39"/>
    <mergeCell ref="D36:D37"/>
    <mergeCell ref="D38:D39"/>
    <mergeCell ref="H38:H39"/>
    <mergeCell ref="H16:H22"/>
    <mergeCell ref="H23:H29"/>
    <mergeCell ref="H30:H31"/>
    <mergeCell ref="H32:H33"/>
    <mergeCell ref="H34:H35"/>
    <mergeCell ref="H36:H37"/>
    <mergeCell ref="E32:G33"/>
    <mergeCell ref="A34:C35"/>
    <mergeCell ref="E34:G35"/>
    <mergeCell ref="D32:D33"/>
    <mergeCell ref="D34:D35"/>
    <mergeCell ref="A32:C33"/>
    <mergeCell ref="A23:C29"/>
    <mergeCell ref="E23:G29"/>
    <mergeCell ref="A30:C31"/>
    <mergeCell ref="E30:G31"/>
    <mergeCell ref="D16:D22"/>
    <mergeCell ref="D23:D29"/>
    <mergeCell ref="D30:D31"/>
    <mergeCell ref="A16:C22"/>
    <mergeCell ref="A2:C5"/>
    <mergeCell ref="A7:C15"/>
    <mergeCell ref="E16:G22"/>
    <mergeCell ref="A6:C6"/>
    <mergeCell ref="E6:G6"/>
    <mergeCell ref="E2:G5"/>
    <mergeCell ref="E7:G7"/>
    <mergeCell ref="E8:G8"/>
    <mergeCell ref="E9:G9"/>
    <mergeCell ref="E10:G10"/>
    <mergeCell ref="H7:H15"/>
    <mergeCell ref="D2:D5"/>
    <mergeCell ref="H2:H5"/>
    <mergeCell ref="E14:G14"/>
    <mergeCell ref="E15:G15"/>
    <mergeCell ref="E13:G13"/>
    <mergeCell ref="E11:G11"/>
    <mergeCell ref="E12:G12"/>
  </mergeCell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5"/>
  <dimension ref="A2:E22"/>
  <sheetViews>
    <sheetView zoomScale="70" zoomScaleNormal="70" workbookViewId="0">
      <selection activeCell="H19" sqref="H19"/>
    </sheetView>
  </sheetViews>
  <sheetFormatPr defaultRowHeight="14.25" x14ac:dyDescent="0.2"/>
  <cols>
    <col min="1" max="1" width="9.875" customWidth="1"/>
    <col min="2" max="2" width="33.375" customWidth="1"/>
    <col min="3" max="3" width="24.5" customWidth="1"/>
    <col min="4" max="4" width="19.125" customWidth="1"/>
    <col min="5" max="5" width="16.875" customWidth="1"/>
  </cols>
  <sheetData>
    <row r="2" spans="2:5" x14ac:dyDescent="0.2">
      <c r="B2" t="s">
        <v>360</v>
      </c>
    </row>
    <row r="4" spans="2:5" x14ac:dyDescent="0.2">
      <c r="B4" s="2" t="s">
        <v>7</v>
      </c>
      <c r="C4" s="2" t="s">
        <v>8</v>
      </c>
      <c r="D4" s="2" t="s">
        <v>9</v>
      </c>
      <c r="E4" s="2" t="s">
        <v>10</v>
      </c>
    </row>
    <row r="5" spans="2:5" x14ac:dyDescent="0.2">
      <c r="B5" s="2" t="s">
        <v>362</v>
      </c>
      <c r="C5" s="10">
        <v>0.1</v>
      </c>
      <c r="D5" s="2" t="s">
        <v>13</v>
      </c>
      <c r="E5" s="9">
        <v>2</v>
      </c>
    </row>
    <row r="6" spans="2:5" x14ac:dyDescent="0.2">
      <c r="B6" s="34" t="s">
        <v>14</v>
      </c>
      <c r="C6" s="10">
        <v>0.01</v>
      </c>
      <c r="D6" s="2" t="s">
        <v>13</v>
      </c>
      <c r="E6" s="9">
        <v>1</v>
      </c>
    </row>
    <row r="7" spans="2:5" x14ac:dyDescent="0.2">
      <c r="B7" s="2" t="s">
        <v>15</v>
      </c>
      <c r="C7" s="10">
        <v>0.01</v>
      </c>
      <c r="D7" s="2" t="s">
        <v>16</v>
      </c>
      <c r="E7" s="9">
        <v>1.73</v>
      </c>
    </row>
    <row r="8" spans="2:5" x14ac:dyDescent="0.2">
      <c r="B8" s="2" t="s">
        <v>17</v>
      </c>
      <c r="C8" s="10">
        <v>0.01</v>
      </c>
      <c r="D8" s="2" t="s">
        <v>16</v>
      </c>
      <c r="E8" s="9">
        <v>1.73</v>
      </c>
    </row>
    <row r="9" spans="2:5" x14ac:dyDescent="0.2">
      <c r="B9" s="34" t="s">
        <v>18</v>
      </c>
      <c r="C9" s="10">
        <v>0.1</v>
      </c>
      <c r="D9" s="2" t="s">
        <v>16</v>
      </c>
      <c r="E9" s="9">
        <v>1.73</v>
      </c>
    </row>
    <row r="10" spans="2:5" x14ac:dyDescent="0.2">
      <c r="B10" s="2" t="s">
        <v>19</v>
      </c>
      <c r="C10" s="10">
        <v>0.02</v>
      </c>
      <c r="D10" s="2" t="s">
        <v>16</v>
      </c>
      <c r="E10" s="9">
        <v>1.73</v>
      </c>
    </row>
    <row r="11" spans="2:5" x14ac:dyDescent="0.2">
      <c r="B11" s="2" t="s">
        <v>20</v>
      </c>
      <c r="C11" s="10">
        <v>0.01</v>
      </c>
      <c r="D11" s="2" t="s">
        <v>16</v>
      </c>
      <c r="E11" s="9">
        <v>1.73</v>
      </c>
    </row>
    <row r="12" spans="2:5" x14ac:dyDescent="0.2">
      <c r="B12" s="292"/>
      <c r="C12" s="292"/>
      <c r="D12" s="292"/>
      <c r="E12" s="292"/>
    </row>
    <row r="13" spans="2:5" x14ac:dyDescent="0.2">
      <c r="B13" s="297" t="s">
        <v>361</v>
      </c>
      <c r="C13" s="292"/>
      <c r="D13" s="292"/>
      <c r="E13" s="292"/>
    </row>
    <row r="14" spans="2:5" x14ac:dyDescent="0.2">
      <c r="B14" s="292"/>
      <c r="C14" s="292"/>
      <c r="D14" s="292"/>
      <c r="E14" s="292"/>
    </row>
    <row r="15" spans="2:5" x14ac:dyDescent="0.2">
      <c r="B15" s="2" t="s">
        <v>7</v>
      </c>
      <c r="C15" s="2" t="s">
        <v>8</v>
      </c>
      <c r="D15" s="2" t="s">
        <v>9</v>
      </c>
      <c r="E15" s="2" t="s">
        <v>10</v>
      </c>
    </row>
    <row r="16" spans="2:5" x14ac:dyDescent="0.2">
      <c r="B16" s="2" t="s">
        <v>362</v>
      </c>
      <c r="C16" s="10">
        <v>0.1</v>
      </c>
      <c r="D16" s="10" t="s">
        <v>13</v>
      </c>
      <c r="E16" s="9">
        <v>2</v>
      </c>
    </row>
    <row r="17" spans="1:5" x14ac:dyDescent="0.2">
      <c r="B17" s="34" t="s">
        <v>14</v>
      </c>
      <c r="C17" s="10">
        <v>0.01</v>
      </c>
      <c r="D17" s="10" t="s">
        <v>13</v>
      </c>
      <c r="E17" s="9">
        <v>1</v>
      </c>
    </row>
    <row r="18" spans="1:5" x14ac:dyDescent="0.2">
      <c r="B18" s="2" t="s">
        <v>15</v>
      </c>
      <c r="C18" s="10">
        <v>0.01</v>
      </c>
      <c r="D18" s="10" t="s">
        <v>16</v>
      </c>
      <c r="E18" s="9">
        <v>1.73</v>
      </c>
    </row>
    <row r="19" spans="1:5" x14ac:dyDescent="0.2">
      <c r="B19" s="2" t="s">
        <v>17</v>
      </c>
      <c r="C19" s="10">
        <v>0.01</v>
      </c>
      <c r="D19" s="10" t="s">
        <v>16</v>
      </c>
      <c r="E19" s="9">
        <v>1.73</v>
      </c>
    </row>
    <row r="20" spans="1:5" x14ac:dyDescent="0.2">
      <c r="B20" s="34" t="s">
        <v>18</v>
      </c>
      <c r="C20" s="10">
        <v>0.1</v>
      </c>
      <c r="D20" s="10" t="s">
        <v>16</v>
      </c>
      <c r="E20" s="9">
        <v>1.73</v>
      </c>
    </row>
    <row r="21" spans="1:5" x14ac:dyDescent="0.2">
      <c r="A21" s="292"/>
      <c r="B21" s="2" t="s">
        <v>19</v>
      </c>
      <c r="C21" s="10">
        <v>0.02</v>
      </c>
      <c r="D21" s="10" t="s">
        <v>16</v>
      </c>
      <c r="E21" s="9">
        <v>1.73</v>
      </c>
    </row>
    <row r="22" spans="1:5" x14ac:dyDescent="0.2">
      <c r="B22" s="2" t="s">
        <v>20</v>
      </c>
      <c r="C22" s="10">
        <v>0.01</v>
      </c>
      <c r="D22" s="10" t="s">
        <v>16</v>
      </c>
      <c r="E22" s="9">
        <v>1.73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8"/>
  <dimension ref="B1:X47"/>
  <sheetViews>
    <sheetView zoomScale="85" zoomScaleNormal="85" workbookViewId="0">
      <selection activeCell="P24" sqref="P24"/>
    </sheetView>
  </sheetViews>
  <sheetFormatPr defaultRowHeight="14.25" x14ac:dyDescent="0.2"/>
  <cols>
    <col min="1" max="1" width="10.75" customWidth="1"/>
    <col min="2" max="2" width="6.25" customWidth="1"/>
    <col min="3" max="11" width="6" customWidth="1"/>
    <col min="12" max="12" width="8.875" customWidth="1"/>
    <col min="13" max="13" width="10" customWidth="1"/>
    <col min="14" max="14" width="4.875" customWidth="1"/>
    <col min="15" max="15" width="11.375" customWidth="1"/>
    <col min="16" max="16" width="11" customWidth="1"/>
    <col min="17" max="17" width="14.875" customWidth="1"/>
    <col min="18" max="18" width="5.5" customWidth="1"/>
    <col min="19" max="19" width="25.375" customWidth="1"/>
    <col min="20" max="20" width="12.375" customWidth="1"/>
    <col min="21" max="21" width="14.75" customWidth="1"/>
    <col min="22" max="22" width="9.75" customWidth="1"/>
    <col min="23" max="23" width="14.375" customWidth="1"/>
    <col min="24" max="24" width="28.25" customWidth="1"/>
  </cols>
  <sheetData>
    <row r="1" spans="2:24" ht="15" thickBot="1" x14ac:dyDescent="0.25">
      <c r="O1" t="s">
        <v>6</v>
      </c>
    </row>
    <row r="2" spans="2:24" ht="19.5" thickBot="1" x14ac:dyDescent="0.4">
      <c r="B2" t="s">
        <v>29</v>
      </c>
      <c r="C2" s="3">
        <v>1</v>
      </c>
      <c r="D2" s="3">
        <v>2</v>
      </c>
      <c r="E2" s="3">
        <v>3</v>
      </c>
      <c r="F2" s="3">
        <v>4</v>
      </c>
      <c r="G2" s="4">
        <v>5</v>
      </c>
      <c r="H2" s="3">
        <v>6</v>
      </c>
      <c r="I2" s="3">
        <v>7</v>
      </c>
      <c r="J2" s="3">
        <v>8</v>
      </c>
      <c r="K2" s="5">
        <v>9</v>
      </c>
      <c r="L2" s="93" t="s">
        <v>41</v>
      </c>
      <c r="M2" s="8" t="s">
        <v>42</v>
      </c>
      <c r="O2" s="47" t="s">
        <v>24</v>
      </c>
    </row>
    <row r="3" spans="2:24" x14ac:dyDescent="0.2">
      <c r="B3" s="96">
        <v>1</v>
      </c>
      <c r="C3" s="18">
        <v>-74.86842</v>
      </c>
      <c r="D3" s="19">
        <v>-75.746399999999994</v>
      </c>
      <c r="E3" s="19">
        <v>-75.10521</v>
      </c>
      <c r="F3" s="20">
        <v>-75.743030000000005</v>
      </c>
      <c r="G3" s="23">
        <v>-75.322199999999995</v>
      </c>
      <c r="H3" s="19">
        <v>-75.8005</v>
      </c>
      <c r="I3" s="19">
        <v>-75.500879999999995</v>
      </c>
      <c r="J3" s="19">
        <v>-75.364459999999994</v>
      </c>
      <c r="K3" s="19">
        <v>-75.597840000000005</v>
      </c>
      <c r="L3" s="9">
        <f>AVERAGE(C3:K3)</f>
        <v>-75.449882222222229</v>
      </c>
      <c r="M3" s="21">
        <f>_xlfn.STDEV.P(C3:K3)</f>
        <v>0.29847398512276063</v>
      </c>
      <c r="O3" t="s">
        <v>4</v>
      </c>
      <c r="S3" s="2" t="s">
        <v>7</v>
      </c>
      <c r="T3" s="2" t="s">
        <v>8</v>
      </c>
      <c r="U3" s="2" t="s">
        <v>9</v>
      </c>
      <c r="V3" s="2" t="s">
        <v>10</v>
      </c>
      <c r="W3" s="41" t="s">
        <v>11</v>
      </c>
      <c r="X3" s="46" t="s">
        <v>12</v>
      </c>
    </row>
    <row r="4" spans="2:24" ht="15" thickBot="1" x14ac:dyDescent="0.25">
      <c r="B4" s="97">
        <v>2</v>
      </c>
      <c r="C4" s="18">
        <v>-74.860690000000005</v>
      </c>
      <c r="D4" s="19">
        <v>-75.72927</v>
      </c>
      <c r="E4" s="19">
        <v>-75.09572</v>
      </c>
      <c r="F4" s="19">
        <v>-75.727279999999993</v>
      </c>
      <c r="G4" s="23">
        <v>-75.300110000000004</v>
      </c>
      <c r="H4" s="19">
        <v>-75.782669999999996</v>
      </c>
      <c r="I4" s="19">
        <v>-75.486540000000005</v>
      </c>
      <c r="J4" s="19">
        <v>-75.348920000000007</v>
      </c>
      <c r="K4" s="19">
        <v>-75.589550000000003</v>
      </c>
      <c r="L4" s="9">
        <f t="shared" ref="L4:L32" si="0">AVERAGE(C4:K4)</f>
        <v>-75.435638888888903</v>
      </c>
      <c r="M4" s="21">
        <f t="shared" ref="M4:M31" si="1">_xlfn.STDEV.P(C4:K4)</f>
        <v>0.29627000329820674</v>
      </c>
      <c r="O4" s="17">
        <f>AVERAGE(C34:K34)</f>
        <v>1.3743886839518564E-2</v>
      </c>
      <c r="S4" s="2" t="str">
        <f>indeter_MI!B5</f>
        <v>Поверка</v>
      </c>
      <c r="T4" s="2">
        <f>indeter_MI!C5</f>
        <v>0.1</v>
      </c>
      <c r="U4" s="2" t="str">
        <f>indeter_MI!D5</f>
        <v>Нормальное</v>
      </c>
      <c r="V4" s="2">
        <f>indeter_MI!E5</f>
        <v>2</v>
      </c>
      <c r="W4" s="59">
        <f>T4/V4</f>
        <v>0.05</v>
      </c>
      <c r="X4" s="52">
        <f t="shared" ref="X4:X9" si="2">W4*W4</f>
        <v>2.5000000000000005E-3</v>
      </c>
    </row>
    <row r="5" spans="2:24" x14ac:dyDescent="0.2">
      <c r="B5" s="96">
        <v>3</v>
      </c>
      <c r="C5" s="18">
        <v>-74.867170000000002</v>
      </c>
      <c r="D5" s="19">
        <v>-75.735560000000007</v>
      </c>
      <c r="E5" s="19">
        <v>-75.081969999999998</v>
      </c>
      <c r="F5" s="19">
        <v>-75.713849999999994</v>
      </c>
      <c r="G5" s="23">
        <v>-75.290279999999996</v>
      </c>
      <c r="H5" s="19">
        <v>-75.780379999999994</v>
      </c>
      <c r="I5" s="19">
        <v>-75.481250000000003</v>
      </c>
      <c r="J5" s="19">
        <v>-75.340599999999995</v>
      </c>
      <c r="K5" s="19">
        <v>-75.592209999999994</v>
      </c>
      <c r="L5" s="9">
        <f t="shared" si="0"/>
        <v>-75.431474444444447</v>
      </c>
      <c r="M5" s="21">
        <f t="shared" si="1"/>
        <v>0.29646800266212325</v>
      </c>
      <c r="O5" t="s">
        <v>5</v>
      </c>
      <c r="S5" s="2" t="str">
        <f>indeter_MI!B6</f>
        <v>Повторяемость*</v>
      </c>
      <c r="T5" s="2">
        <f>indeter_MI!C6</f>
        <v>0.01</v>
      </c>
      <c r="U5" s="2" t="str">
        <f>indeter_MI!D6</f>
        <v>Нормальное</v>
      </c>
      <c r="V5" s="2">
        <f>indeter_MI!E6</f>
        <v>1</v>
      </c>
      <c r="W5" s="59">
        <f t="shared" ref="W5:W13" si="3">T5/V5</f>
        <v>0.01</v>
      </c>
      <c r="X5" s="52">
        <f t="shared" si="2"/>
        <v>1E-4</v>
      </c>
    </row>
    <row r="6" spans="2:24" ht="15" thickBot="1" x14ac:dyDescent="0.25">
      <c r="B6" s="97">
        <v>4</v>
      </c>
      <c r="C6" s="18">
        <v>-74.875309999999999</v>
      </c>
      <c r="D6" s="19">
        <v>-75.747420000000005</v>
      </c>
      <c r="E6" s="19">
        <v>-75.083539999999999</v>
      </c>
      <c r="F6" s="19">
        <v>-75.71875</v>
      </c>
      <c r="G6" s="23">
        <v>-75.308260000000004</v>
      </c>
      <c r="H6" s="19">
        <v>-75.793350000000004</v>
      </c>
      <c r="I6" s="19">
        <v>-75.499009999999998</v>
      </c>
      <c r="J6" s="19">
        <v>-75.346850000000003</v>
      </c>
      <c r="K6" s="19">
        <v>-75.596599999999995</v>
      </c>
      <c r="L6" s="9">
        <f t="shared" si="0"/>
        <v>-75.441010000000006</v>
      </c>
      <c r="M6" s="21">
        <f t="shared" si="1"/>
        <v>0.29758888091534086</v>
      </c>
      <c r="O6" s="17">
        <f>O4/(SQRT(270))</f>
        <v>8.3642631664474474E-4</v>
      </c>
      <c r="S6" s="2" t="str">
        <f>indeter_MI!B7</f>
        <v>Гистерезис</v>
      </c>
      <c r="T6" s="2">
        <f>indeter_MI!C7</f>
        <v>0.01</v>
      </c>
      <c r="U6" s="2" t="str">
        <f>indeter_MI!D7</f>
        <v>Прямоугольное</v>
      </c>
      <c r="V6" s="2">
        <f>indeter_MI!E7</f>
        <v>1.73</v>
      </c>
      <c r="W6" s="59">
        <f t="shared" si="3"/>
        <v>5.7803468208092491E-3</v>
      </c>
      <c r="X6" s="52">
        <f t="shared" si="2"/>
        <v>3.3412409368839592E-5</v>
      </c>
    </row>
    <row r="7" spans="2:24" x14ac:dyDescent="0.2">
      <c r="B7" s="96">
        <v>5</v>
      </c>
      <c r="C7" s="18">
        <v>-74.875500000000002</v>
      </c>
      <c r="D7" s="19">
        <v>-75.753339999999994</v>
      </c>
      <c r="E7" s="19">
        <v>-75.090209999999999</v>
      </c>
      <c r="F7" s="19">
        <v>-75.725390000000004</v>
      </c>
      <c r="G7" s="23">
        <v>-75.324629999999999</v>
      </c>
      <c r="H7" s="19">
        <v>-75.799930000000003</v>
      </c>
      <c r="I7" s="19">
        <v>-75.513109999999998</v>
      </c>
      <c r="J7" s="19">
        <v>-75.359650000000002</v>
      </c>
      <c r="K7" s="19">
        <v>-75.602630000000005</v>
      </c>
      <c r="L7" s="9">
        <f t="shared" si="0"/>
        <v>-75.449376666666666</v>
      </c>
      <c r="M7" s="21">
        <f t="shared" si="1"/>
        <v>0.29832140724765671</v>
      </c>
      <c r="S7" s="2" t="str">
        <f>indeter_MI!B8</f>
        <v>Влияние температуры</v>
      </c>
      <c r="T7" s="2">
        <f>indeter_MI!C8</f>
        <v>0.01</v>
      </c>
      <c r="U7" s="2" t="str">
        <f>indeter_MI!D8</f>
        <v>Прямоугольное</v>
      </c>
      <c r="V7" s="2">
        <f>indeter_MI!E8</f>
        <v>1.73</v>
      </c>
      <c r="W7" s="59">
        <f t="shared" si="3"/>
        <v>5.7803468208092491E-3</v>
      </c>
      <c r="X7" s="52">
        <f t="shared" si="2"/>
        <v>3.3412409368839592E-5</v>
      </c>
    </row>
    <row r="8" spans="2:24" ht="15" thickBot="1" x14ac:dyDescent="0.25">
      <c r="B8" s="97">
        <v>6</v>
      </c>
      <c r="C8" s="18">
        <v>-74.872969999999995</v>
      </c>
      <c r="D8" s="19">
        <v>-75.748230000000007</v>
      </c>
      <c r="E8" s="19">
        <v>-75.094290000000001</v>
      </c>
      <c r="F8" s="19">
        <v>-75.72833</v>
      </c>
      <c r="G8" s="23">
        <v>-75.317899999999995</v>
      </c>
      <c r="H8" s="19">
        <v>-75.796099999999996</v>
      </c>
      <c r="I8" s="19">
        <v>-75.508219999999994</v>
      </c>
      <c r="J8" s="19">
        <v>-75.358670000000004</v>
      </c>
      <c r="K8" s="19">
        <v>-75.599930000000001</v>
      </c>
      <c r="L8" s="9">
        <f t="shared" si="0"/>
        <v>-75.44718222222221</v>
      </c>
      <c r="M8" s="21">
        <f t="shared" si="1"/>
        <v>0.29763434877856443</v>
      </c>
      <c r="S8" s="2" t="str">
        <f>indeter_MI!B9</f>
        <v>Дрейф*</v>
      </c>
      <c r="T8" s="2">
        <f>indeter_MI!C9</f>
        <v>0.1</v>
      </c>
      <c r="U8" s="2" t="str">
        <f>indeter_MI!D9</f>
        <v>Прямоугольное</v>
      </c>
      <c r="V8" s="2">
        <f>indeter_MI!E9</f>
        <v>1.73</v>
      </c>
      <c r="W8" s="59">
        <f t="shared" si="3"/>
        <v>5.7803468208092491E-2</v>
      </c>
      <c r="X8" s="52">
        <f t="shared" si="2"/>
        <v>3.3412409368839594E-3</v>
      </c>
    </row>
    <row r="9" spans="2:24" x14ac:dyDescent="0.2">
      <c r="B9" s="96">
        <v>7</v>
      </c>
      <c r="C9" s="18">
        <v>-74.880629999999996</v>
      </c>
      <c r="D9" s="19">
        <v>-75.75027</v>
      </c>
      <c r="E9" s="19">
        <v>-75.090040000000002</v>
      </c>
      <c r="F9" s="19">
        <v>-75.725890000000007</v>
      </c>
      <c r="G9" s="23">
        <v>-75.309539999999998</v>
      </c>
      <c r="H9" s="19">
        <v>-75.793670000000006</v>
      </c>
      <c r="I9" s="19">
        <v>-75.499709999999993</v>
      </c>
      <c r="J9" s="19">
        <v>-75.357529999999997</v>
      </c>
      <c r="K9" s="19">
        <v>-75.59778</v>
      </c>
      <c r="L9" s="9">
        <f t="shared" si="0"/>
        <v>-75.445006666666657</v>
      </c>
      <c r="M9" s="21">
        <f t="shared" si="1"/>
        <v>0.29636785644420782</v>
      </c>
      <c r="O9" s="2" t="s">
        <v>0</v>
      </c>
      <c r="P9" s="2" t="s">
        <v>2</v>
      </c>
      <c r="Q9" s="2" t="s">
        <v>3</v>
      </c>
      <c r="S9" s="2" t="str">
        <f>indeter_MI!B10</f>
        <v>Линейность</v>
      </c>
      <c r="T9" s="2">
        <f>indeter_MI!C10</f>
        <v>0.02</v>
      </c>
      <c r="U9" s="2" t="str">
        <f>indeter_MI!D10</f>
        <v>Прямоугольное</v>
      </c>
      <c r="V9" s="2">
        <f>indeter_MI!E10</f>
        <v>1.73</v>
      </c>
      <c r="W9" s="59">
        <f t="shared" si="3"/>
        <v>1.1560693641618498E-2</v>
      </c>
      <c r="X9" s="52">
        <f t="shared" si="2"/>
        <v>1.3364963747535837E-4</v>
      </c>
    </row>
    <row r="10" spans="2:24" ht="15" thickBot="1" x14ac:dyDescent="0.25">
      <c r="B10" s="97">
        <v>8</v>
      </c>
      <c r="C10" s="18">
        <v>-74.881209999999996</v>
      </c>
      <c r="D10" s="19">
        <v>-75.742109999999997</v>
      </c>
      <c r="E10" s="19">
        <v>-75.091120000000004</v>
      </c>
      <c r="F10" s="19">
        <v>-75.724689999999995</v>
      </c>
      <c r="G10" s="23">
        <v>-75.303880000000007</v>
      </c>
      <c r="H10" s="19">
        <v>-75.792879999999997</v>
      </c>
      <c r="I10" s="19">
        <v>-75.493120000000005</v>
      </c>
      <c r="J10" s="19">
        <v>-75.352710000000002</v>
      </c>
      <c r="K10" s="19">
        <v>-75.598600000000005</v>
      </c>
      <c r="L10" s="9">
        <f t="shared" si="0"/>
        <v>-75.442257777777783</v>
      </c>
      <c r="M10" s="21">
        <f t="shared" si="1"/>
        <v>0.29531239127321696</v>
      </c>
      <c r="O10" s="38">
        <f>MAX(M3:M32)</f>
        <v>0.29847398512276063</v>
      </c>
      <c r="P10" s="51">
        <f>MAX(C34:K34)</f>
        <v>1.6305740366168459E-2</v>
      </c>
      <c r="Q10" s="50">
        <f>O6</f>
        <v>8.3642631664474474E-4</v>
      </c>
      <c r="S10" s="2" t="str">
        <f>indeter_MI!B11</f>
        <v>Разрешающая способность</v>
      </c>
      <c r="T10" s="2">
        <f>indeter_MI!C11</f>
        <v>0.01</v>
      </c>
      <c r="U10" s="2" t="str">
        <f>indeter_MI!D11</f>
        <v>Прямоугольное</v>
      </c>
      <c r="V10" s="2">
        <f>indeter_MI!E11</f>
        <v>1.73</v>
      </c>
      <c r="W10" s="59">
        <f t="shared" si="3"/>
        <v>5.7803468208092491E-3</v>
      </c>
      <c r="X10" s="52">
        <f>W10*W10</f>
        <v>3.3412409368839592E-5</v>
      </c>
    </row>
    <row r="11" spans="2:24" x14ac:dyDescent="0.2">
      <c r="B11" s="96">
        <v>9</v>
      </c>
      <c r="C11" s="18">
        <v>-74.883170000000007</v>
      </c>
      <c r="D11" s="19">
        <v>-75.735399999999998</v>
      </c>
      <c r="E11" s="19">
        <v>-75.089370000000002</v>
      </c>
      <c r="F11" s="19">
        <v>-75.721270000000004</v>
      </c>
      <c r="G11" s="23">
        <v>-75.306079999999994</v>
      </c>
      <c r="H11" s="19">
        <v>-75.794970000000006</v>
      </c>
      <c r="I11" s="19">
        <v>-75.499409999999997</v>
      </c>
      <c r="J11" s="19">
        <v>-75.350239999999999</v>
      </c>
      <c r="K11" s="19">
        <v>-75.595500000000001</v>
      </c>
      <c r="L11" s="9">
        <f t="shared" si="0"/>
        <v>-75.441712222222222</v>
      </c>
      <c r="M11" s="21">
        <f t="shared" si="1"/>
        <v>0.29421336859790753</v>
      </c>
      <c r="S11" s="36" t="s">
        <v>0</v>
      </c>
      <c r="T11" s="37">
        <f>O10</f>
        <v>0.29847398512276063</v>
      </c>
      <c r="U11" s="36" t="s">
        <v>13</v>
      </c>
      <c r="V11" s="21">
        <v>1</v>
      </c>
      <c r="W11" s="61">
        <f t="shared" si="3"/>
        <v>0.29847398512276063</v>
      </c>
      <c r="X11" s="53">
        <f>W11*W11</f>
        <v>8.9086719795061942E-2</v>
      </c>
    </row>
    <row r="12" spans="2:24" ht="15" thickBot="1" x14ac:dyDescent="0.25">
      <c r="B12" s="97">
        <v>10</v>
      </c>
      <c r="C12" s="18">
        <v>-74.869870000000006</v>
      </c>
      <c r="D12" s="19">
        <v>-75.725390000000004</v>
      </c>
      <c r="E12" s="19">
        <v>-75.088610000000003</v>
      </c>
      <c r="F12" s="19">
        <v>-75.708789999999993</v>
      </c>
      <c r="G12" s="23">
        <v>-75.289779999999993</v>
      </c>
      <c r="H12" s="19">
        <v>-75.771259999999998</v>
      </c>
      <c r="I12" s="19">
        <v>-75.480099999999993</v>
      </c>
      <c r="J12" s="19">
        <v>-75.341139999999996</v>
      </c>
      <c r="K12" s="19">
        <v>-75.5822</v>
      </c>
      <c r="L12" s="9">
        <f t="shared" si="0"/>
        <v>-75.428571111111125</v>
      </c>
      <c r="M12" s="21">
        <f t="shared" si="1"/>
        <v>0.29153701409538607</v>
      </c>
      <c r="S12" s="26" t="s">
        <v>21</v>
      </c>
      <c r="T12" s="39">
        <f>P10</f>
        <v>1.6305740366168459E-2</v>
      </c>
      <c r="U12" s="26" t="s">
        <v>13</v>
      </c>
      <c r="V12" s="22">
        <v>1</v>
      </c>
      <c r="W12" s="60">
        <f t="shared" si="3"/>
        <v>1.6305740366168459E-2</v>
      </c>
      <c r="X12" s="54">
        <f>W12*W12</f>
        <v>2.6587716888889552E-4</v>
      </c>
    </row>
    <row r="13" spans="2:24" x14ac:dyDescent="0.2">
      <c r="B13" s="96">
        <v>11</v>
      </c>
      <c r="C13" s="18">
        <v>-74.853650000000002</v>
      </c>
      <c r="D13" s="19">
        <v>-75.721969999999999</v>
      </c>
      <c r="E13" s="19">
        <v>-75.076719999999995</v>
      </c>
      <c r="F13" s="19">
        <v>-75.69708</v>
      </c>
      <c r="G13" s="23">
        <v>-75.282030000000006</v>
      </c>
      <c r="H13" s="19">
        <v>-75.764470000000003</v>
      </c>
      <c r="I13" s="19">
        <v>-75.481859999999998</v>
      </c>
      <c r="J13" s="19">
        <v>-75.332819999999998</v>
      </c>
      <c r="K13" s="19">
        <v>-75.579679999999996</v>
      </c>
      <c r="L13" s="9">
        <f t="shared" si="0"/>
        <v>-75.421142222222215</v>
      </c>
      <c r="M13" s="21">
        <f t="shared" si="1"/>
        <v>0.29461103591676707</v>
      </c>
      <c r="S13" s="25" t="s">
        <v>3</v>
      </c>
      <c r="T13" s="40">
        <f>Q10</f>
        <v>8.3642631664474474E-4</v>
      </c>
      <c r="U13" s="25" t="s">
        <v>13</v>
      </c>
      <c r="V13" s="17">
        <v>1</v>
      </c>
      <c r="W13" s="62">
        <f t="shared" si="3"/>
        <v>8.3642631664474474E-4</v>
      </c>
      <c r="X13" s="55">
        <f>W13*W13</f>
        <v>6.9960898317589478E-7</v>
      </c>
    </row>
    <row r="14" spans="2:24" ht="15" thickBot="1" x14ac:dyDescent="0.25">
      <c r="B14" s="97">
        <v>12</v>
      </c>
      <c r="C14" s="18">
        <v>-74.856020000000001</v>
      </c>
      <c r="D14" s="19">
        <v>-75.725719999999995</v>
      </c>
      <c r="E14" s="19">
        <v>-75.071719999999999</v>
      </c>
      <c r="F14" s="19">
        <v>-75.697450000000003</v>
      </c>
      <c r="G14" s="23">
        <v>-75.288219999999995</v>
      </c>
      <c r="H14" s="19">
        <v>-75.76764</v>
      </c>
      <c r="I14" s="19">
        <v>-75.47739</v>
      </c>
      <c r="J14" s="19">
        <v>-75.335300000000004</v>
      </c>
      <c r="K14" s="19">
        <v>-75.58417</v>
      </c>
      <c r="L14" s="9">
        <f t="shared" si="0"/>
        <v>-75.422625555555555</v>
      </c>
      <c r="M14" s="21">
        <f t="shared" si="1"/>
        <v>0.29540793016178335</v>
      </c>
      <c r="W14" s="56"/>
      <c r="X14" s="56"/>
    </row>
    <row r="15" spans="2:24" x14ac:dyDescent="0.2">
      <c r="B15" s="96">
        <v>13</v>
      </c>
      <c r="C15" s="18">
        <v>-74.861509999999996</v>
      </c>
      <c r="D15" s="19">
        <v>-75.717950000000002</v>
      </c>
      <c r="E15" s="19">
        <v>-75.077650000000006</v>
      </c>
      <c r="F15" s="19">
        <v>-75.704980000000006</v>
      </c>
      <c r="G15" s="23">
        <v>-75.297210000000007</v>
      </c>
      <c r="H15" s="19">
        <v>-75.773520000000005</v>
      </c>
      <c r="I15" s="19">
        <v>-75.493570000000005</v>
      </c>
      <c r="J15" s="19">
        <v>-75.337980000000002</v>
      </c>
      <c r="K15" s="19">
        <v>-75.581909999999993</v>
      </c>
      <c r="L15" s="9">
        <f t="shared" si="0"/>
        <v>-75.427364444444436</v>
      </c>
      <c r="M15" s="21">
        <f t="shared" si="1"/>
        <v>0.29382964414818247</v>
      </c>
      <c r="S15" s="35" t="s">
        <v>22</v>
      </c>
      <c r="U15" s="41" t="s">
        <v>82</v>
      </c>
      <c r="V15" s="41"/>
      <c r="W15" s="57" t="s">
        <v>83</v>
      </c>
      <c r="X15" s="57"/>
    </row>
    <row r="16" spans="2:24" ht="15" thickBot="1" x14ac:dyDescent="0.25">
      <c r="B16" s="97">
        <v>14</v>
      </c>
      <c r="C16" s="18">
        <v>-74.844769999999997</v>
      </c>
      <c r="D16" s="19">
        <v>-75.706680000000006</v>
      </c>
      <c r="E16" s="19">
        <v>-75.072299999999998</v>
      </c>
      <c r="F16" s="19">
        <v>-75.698930000000004</v>
      </c>
      <c r="G16" s="23">
        <v>-75.276060000000001</v>
      </c>
      <c r="H16" s="19">
        <v>-75.760120000000001</v>
      </c>
      <c r="I16" s="19">
        <v>-75.482100000000003</v>
      </c>
      <c r="J16" s="19">
        <v>-75.32544</v>
      </c>
      <c r="K16" s="19">
        <v>-75.570300000000003</v>
      </c>
      <c r="L16" s="9">
        <f t="shared" si="0"/>
        <v>-75.415188888888878</v>
      </c>
      <c r="M16" s="21">
        <f t="shared" si="1"/>
        <v>0.29502397655650153</v>
      </c>
      <c r="S16" s="42">
        <f>SUM(X4:X13)</f>
        <v>9.5528424375399851E-2</v>
      </c>
      <c r="V16" s="72">
        <f>SQRT(S17)</f>
        <v>0.3090767218669177</v>
      </c>
      <c r="W16" s="65"/>
      <c r="X16" s="72">
        <f>V16*2</f>
        <v>0.61815344373383541</v>
      </c>
    </row>
    <row r="17" spans="2:24" x14ac:dyDescent="0.2">
      <c r="B17" s="96">
        <v>15</v>
      </c>
      <c r="C17" s="18">
        <v>-74.853210000000004</v>
      </c>
      <c r="D17" s="19">
        <v>-75.717770000000002</v>
      </c>
      <c r="E17" s="19">
        <v>-75.06523</v>
      </c>
      <c r="F17" s="19">
        <v>-75.686580000000006</v>
      </c>
      <c r="G17" s="23">
        <v>-75.273759999999996</v>
      </c>
      <c r="H17" s="19">
        <v>-75.759249999999994</v>
      </c>
      <c r="I17" s="19">
        <v>-75.478300000000004</v>
      </c>
      <c r="J17" s="19">
        <v>-75.328379999999996</v>
      </c>
      <c r="K17" s="19">
        <v>-75.573589999999996</v>
      </c>
      <c r="L17" s="9">
        <f t="shared" si="0"/>
        <v>-75.415118888888898</v>
      </c>
      <c r="M17" s="21">
        <f t="shared" si="1"/>
        <v>0.29410689698529796</v>
      </c>
      <c r="S17" s="42">
        <f>ROUND(S16,8)</f>
        <v>9.5528420000000003E-2</v>
      </c>
      <c r="V17" s="72">
        <f>ROUND(V16,3)</f>
        <v>0.309</v>
      </c>
      <c r="W17" s="65"/>
      <c r="X17" s="72">
        <f>ROUND(X16,3)</f>
        <v>0.61799999999999999</v>
      </c>
    </row>
    <row r="18" spans="2:24" ht="15" thickBot="1" x14ac:dyDescent="0.25">
      <c r="B18" s="97">
        <v>16</v>
      </c>
      <c r="C18" s="18">
        <v>-74.860110000000006</v>
      </c>
      <c r="D18" s="19">
        <v>-75.714479999999995</v>
      </c>
      <c r="E18" s="19">
        <v>-75.075270000000003</v>
      </c>
      <c r="F18" s="19">
        <v>-75.695139999999995</v>
      </c>
      <c r="G18" s="23">
        <v>-75.292919999999995</v>
      </c>
      <c r="H18" s="19">
        <v>-75.768829999999994</v>
      </c>
      <c r="I18" s="19">
        <v>-75.479709999999997</v>
      </c>
      <c r="J18" s="19">
        <v>-75.333789999999993</v>
      </c>
      <c r="K18" s="19">
        <v>-75.577560000000005</v>
      </c>
      <c r="L18" s="9">
        <f t="shared" si="0"/>
        <v>-75.421978888888887</v>
      </c>
      <c r="M18" s="21">
        <f t="shared" si="1"/>
        <v>0.29218622830290075</v>
      </c>
      <c r="W18" s="56"/>
      <c r="X18" s="56"/>
    </row>
    <row r="19" spans="2:24" x14ac:dyDescent="0.2">
      <c r="B19" s="96">
        <v>17</v>
      </c>
      <c r="C19" s="18">
        <v>-74.862030000000004</v>
      </c>
      <c r="D19" s="19">
        <v>-75.709209999999999</v>
      </c>
      <c r="E19" s="19">
        <v>-75.071309999999997</v>
      </c>
      <c r="F19" s="19">
        <v>-75.693619999999996</v>
      </c>
      <c r="G19" s="23">
        <v>-75.284930000000003</v>
      </c>
      <c r="H19" s="19">
        <v>-75.762590000000003</v>
      </c>
      <c r="I19" s="19">
        <v>-75.470209999999994</v>
      </c>
      <c r="J19" s="19">
        <v>-75.330290000000005</v>
      </c>
      <c r="K19" s="19">
        <v>-75.572220000000002</v>
      </c>
      <c r="L19" s="9">
        <f t="shared" si="0"/>
        <v>-75.417378888888891</v>
      </c>
      <c r="M19" s="21">
        <f t="shared" si="1"/>
        <v>0.29073000133550475</v>
      </c>
      <c r="O19" t="s">
        <v>36</v>
      </c>
      <c r="W19" s="56"/>
      <c r="X19" s="56"/>
    </row>
    <row r="20" spans="2:24" ht="15" thickBot="1" x14ac:dyDescent="0.25">
      <c r="B20" s="97">
        <v>18</v>
      </c>
      <c r="C20" s="18">
        <v>-74.867199999999997</v>
      </c>
      <c r="D20" s="19">
        <v>-75.715710000000001</v>
      </c>
      <c r="E20" s="19">
        <v>-75.072109999999995</v>
      </c>
      <c r="F20" s="19">
        <v>-75.696179999999998</v>
      </c>
      <c r="G20" s="23">
        <v>-75.286869999999993</v>
      </c>
      <c r="H20" s="19">
        <v>-75.766970000000001</v>
      </c>
      <c r="I20" s="19">
        <v>-75.487049999999996</v>
      </c>
      <c r="J20" s="19">
        <v>-75.338610000000003</v>
      </c>
      <c r="K20" s="19">
        <v>-75.578810000000004</v>
      </c>
      <c r="L20" s="9">
        <f t="shared" si="0"/>
        <v>-75.423278888888888</v>
      </c>
      <c r="M20" s="21">
        <f t="shared" si="1"/>
        <v>0.2914886613172874</v>
      </c>
      <c r="W20" s="56"/>
      <c r="X20" s="56"/>
    </row>
    <row r="21" spans="2:24" x14ac:dyDescent="0.2">
      <c r="B21" s="96">
        <v>19</v>
      </c>
      <c r="C21" s="18">
        <v>-74.885850000000005</v>
      </c>
      <c r="D21" s="19">
        <v>-75.731260000000006</v>
      </c>
      <c r="E21" s="19">
        <v>-75.077309999999997</v>
      </c>
      <c r="F21" s="19">
        <v>-75.702100000000002</v>
      </c>
      <c r="G21" s="23">
        <v>-75.288650000000004</v>
      </c>
      <c r="H21" s="19">
        <v>-75.769779999999997</v>
      </c>
      <c r="I21" s="19">
        <v>-75.496600000000001</v>
      </c>
      <c r="J21" s="19">
        <v>-75.343770000000006</v>
      </c>
      <c r="K21" s="19">
        <v>-75.586929999999995</v>
      </c>
      <c r="L21" s="9">
        <f t="shared" si="0"/>
        <v>-75.431361111111102</v>
      </c>
      <c r="M21" s="21">
        <f t="shared" si="1"/>
        <v>0.2900569391015963</v>
      </c>
      <c r="O21" s="63" t="s">
        <v>23</v>
      </c>
      <c r="S21" s="2" t="s">
        <v>7</v>
      </c>
      <c r="T21" s="2" t="s">
        <v>8</v>
      </c>
      <c r="U21" s="2" t="s">
        <v>9</v>
      </c>
      <c r="V21" s="2" t="s">
        <v>10</v>
      </c>
      <c r="W21" s="57" t="s">
        <v>11</v>
      </c>
      <c r="X21" s="58" t="s">
        <v>12</v>
      </c>
    </row>
    <row r="22" spans="2:24" ht="15" thickBot="1" x14ac:dyDescent="0.25">
      <c r="B22" s="97">
        <v>20</v>
      </c>
      <c r="C22" s="18">
        <v>-74.900530000000003</v>
      </c>
      <c r="D22" s="19">
        <v>-75.739360000000005</v>
      </c>
      <c r="E22" s="19">
        <v>-75.090500000000006</v>
      </c>
      <c r="F22" s="19">
        <v>-75.716679999999997</v>
      </c>
      <c r="G22" s="23">
        <v>-75.308890000000005</v>
      </c>
      <c r="H22" s="19">
        <v>-75.787199999999999</v>
      </c>
      <c r="I22" s="19">
        <v>-75.514009999999999</v>
      </c>
      <c r="J22" s="19">
        <v>-75.351500000000001</v>
      </c>
      <c r="K22" s="19">
        <v>-75.597520000000003</v>
      </c>
      <c r="L22" s="9">
        <f t="shared" si="0"/>
        <v>-75.445132222222227</v>
      </c>
      <c r="M22" s="21">
        <f t="shared" si="1"/>
        <v>0.28962988990847283</v>
      </c>
      <c r="O22" s="64">
        <f>MAX(C34:K34)</f>
        <v>1.6305740366168459E-2</v>
      </c>
      <c r="S22" s="2" t="str">
        <f>indeter_MI!B16</f>
        <v>Поверка</v>
      </c>
      <c r="T22" s="2">
        <f>indeter_MI!C16</f>
        <v>0.1</v>
      </c>
      <c r="U22" s="2" t="str">
        <f>indeter_MI!D16</f>
        <v>Нормальное</v>
      </c>
      <c r="V22" s="2">
        <f>indeter_MI!E16</f>
        <v>2</v>
      </c>
      <c r="W22" s="59">
        <f>T22/V22</f>
        <v>0.05</v>
      </c>
      <c r="X22" s="59">
        <f t="shared" ref="X22:X29" si="4">W22*W22</f>
        <v>2.5000000000000005E-3</v>
      </c>
    </row>
    <row r="23" spans="2:24" x14ac:dyDescent="0.2">
      <c r="B23" s="96">
        <v>21</v>
      </c>
      <c r="C23" s="18">
        <v>-74.90558</v>
      </c>
      <c r="D23" s="19">
        <v>-75.737260000000006</v>
      </c>
      <c r="E23" s="19">
        <v>-75.098370000000003</v>
      </c>
      <c r="F23" s="19">
        <v>-75.719130000000007</v>
      </c>
      <c r="G23" s="23">
        <v>-75.310760000000002</v>
      </c>
      <c r="H23" s="19">
        <v>-75.788979999999995</v>
      </c>
      <c r="I23" s="19">
        <v>-75.519670000000005</v>
      </c>
      <c r="J23" s="19">
        <v>-75.353989999999996</v>
      </c>
      <c r="K23" s="19">
        <v>-75.59939</v>
      </c>
      <c r="L23" s="9">
        <f t="shared" si="0"/>
        <v>-75.448125555555549</v>
      </c>
      <c r="M23" s="21">
        <f t="shared" si="1"/>
        <v>0.28783460818521472</v>
      </c>
      <c r="S23" s="2" t="str">
        <f>indeter_MI!B17</f>
        <v>Повторяемость*</v>
      </c>
      <c r="T23" s="2">
        <f>indeter_MI!C17</f>
        <v>0.01</v>
      </c>
      <c r="U23" s="2" t="str">
        <f>indeter_MI!D17</f>
        <v>Нормальное</v>
      </c>
      <c r="V23" s="2">
        <f>indeter_MI!E17</f>
        <v>1</v>
      </c>
      <c r="W23" s="59">
        <f t="shared" ref="W23:W28" si="5">T23/V23</f>
        <v>0.01</v>
      </c>
      <c r="X23" s="59">
        <f t="shared" si="4"/>
        <v>1E-4</v>
      </c>
    </row>
    <row r="24" spans="2:24" ht="15" thickBot="1" x14ac:dyDescent="0.25">
      <c r="B24" s="97">
        <v>22</v>
      </c>
      <c r="C24" s="18">
        <v>-74.885409999999993</v>
      </c>
      <c r="D24" s="19">
        <v>-75.717709999999997</v>
      </c>
      <c r="E24" s="19">
        <v>-75.096329999999995</v>
      </c>
      <c r="F24" s="19">
        <v>-75.714519999999993</v>
      </c>
      <c r="G24" s="23">
        <v>-75.296539999999993</v>
      </c>
      <c r="H24" s="19">
        <v>-75.777479999999997</v>
      </c>
      <c r="I24" s="19">
        <v>-75.491579999999999</v>
      </c>
      <c r="J24" s="19">
        <v>-75.341719999999995</v>
      </c>
      <c r="K24" s="19">
        <v>-75.587569999999999</v>
      </c>
      <c r="L24" s="9">
        <f t="shared" si="0"/>
        <v>-75.434317777777778</v>
      </c>
      <c r="M24" s="21">
        <f t="shared" si="1"/>
        <v>0.28798968043925949</v>
      </c>
      <c r="S24" s="2" t="str">
        <f>indeter_MI!B18</f>
        <v>Гистерезис</v>
      </c>
      <c r="T24" s="2">
        <f>indeter_MI!C18</f>
        <v>0.01</v>
      </c>
      <c r="U24" s="2" t="str">
        <f>indeter_MI!D18</f>
        <v>Прямоугольное</v>
      </c>
      <c r="V24" s="2">
        <f>indeter_MI!E18</f>
        <v>1.73</v>
      </c>
      <c r="W24" s="59">
        <f t="shared" si="5"/>
        <v>5.7803468208092491E-3</v>
      </c>
      <c r="X24" s="59">
        <f t="shared" si="4"/>
        <v>3.3412409368839592E-5</v>
      </c>
    </row>
    <row r="25" spans="2:24" x14ac:dyDescent="0.2">
      <c r="B25" s="96">
        <v>23</v>
      </c>
      <c r="C25" s="18">
        <v>-74.868480000000005</v>
      </c>
      <c r="D25" s="19">
        <v>-75.699539999999999</v>
      </c>
      <c r="E25" s="19">
        <v>-75.082260000000005</v>
      </c>
      <c r="F25" s="19">
        <v>-75.700530000000001</v>
      </c>
      <c r="G25" s="23">
        <v>-75.271699999999996</v>
      </c>
      <c r="H25" s="19">
        <v>-75.754909999999995</v>
      </c>
      <c r="I25" s="19">
        <v>-75.476849999999999</v>
      </c>
      <c r="J25" s="19">
        <v>-75.328969999999998</v>
      </c>
      <c r="K25" s="19">
        <v>-75.573359999999994</v>
      </c>
      <c r="L25" s="9">
        <f t="shared" si="0"/>
        <v>-75.417400000000001</v>
      </c>
      <c r="M25" s="21">
        <f t="shared" si="1"/>
        <v>0.28755999211758443</v>
      </c>
      <c r="S25" s="2" t="str">
        <f>indeter_MI!B19</f>
        <v>Влияние температуры</v>
      </c>
      <c r="T25" s="2">
        <f>indeter_MI!C19</f>
        <v>0.01</v>
      </c>
      <c r="U25" s="2" t="str">
        <f>indeter_MI!D19</f>
        <v>Прямоугольное</v>
      </c>
      <c r="V25" s="2">
        <f>indeter_MI!E19</f>
        <v>1.73</v>
      </c>
      <c r="W25" s="59">
        <f t="shared" si="5"/>
        <v>5.7803468208092491E-3</v>
      </c>
      <c r="X25" s="59">
        <f t="shared" si="4"/>
        <v>3.3412409368839592E-5</v>
      </c>
    </row>
    <row r="26" spans="2:24" ht="15" thickBot="1" x14ac:dyDescent="0.25">
      <c r="B26" s="97">
        <v>24</v>
      </c>
      <c r="C26" s="18">
        <v>-74.858699999999999</v>
      </c>
      <c r="D26" s="19">
        <v>-75.692490000000006</v>
      </c>
      <c r="E26" s="19">
        <v>-75.065430000000006</v>
      </c>
      <c r="F26" s="19">
        <v>-75.682400000000001</v>
      </c>
      <c r="G26" s="23">
        <v>-75.251649999999998</v>
      </c>
      <c r="H26" s="19">
        <v>-75.738039999999998</v>
      </c>
      <c r="I26" s="19">
        <v>-75.465360000000004</v>
      </c>
      <c r="J26" s="19">
        <v>-75.312939999999998</v>
      </c>
      <c r="K26" s="19">
        <v>-75.562929999999994</v>
      </c>
      <c r="L26" s="9">
        <f t="shared" si="0"/>
        <v>-75.403326666666672</v>
      </c>
      <c r="M26" s="21">
        <f t="shared" si="1"/>
        <v>0.28767644958258998</v>
      </c>
      <c r="S26" s="2" t="str">
        <f>indeter_MI!B20</f>
        <v>Дрейф*</v>
      </c>
      <c r="T26" s="2">
        <f>indeter_MI!C20</f>
        <v>0.1</v>
      </c>
      <c r="U26" s="2" t="str">
        <f>indeter_MI!D20</f>
        <v>Прямоугольное</v>
      </c>
      <c r="V26" s="2">
        <f>indeter_MI!E20</f>
        <v>1.73</v>
      </c>
      <c r="W26" s="59">
        <f t="shared" si="5"/>
        <v>5.7803468208092491E-2</v>
      </c>
      <c r="X26" s="59">
        <f t="shared" si="4"/>
        <v>3.3412409368839594E-3</v>
      </c>
    </row>
    <row r="27" spans="2:24" x14ac:dyDescent="0.2">
      <c r="B27" s="96">
        <v>25</v>
      </c>
      <c r="C27" s="18">
        <v>-74.866789999999995</v>
      </c>
      <c r="D27" s="19">
        <v>-75.710710000000006</v>
      </c>
      <c r="E27" s="19">
        <v>-75.058700000000002</v>
      </c>
      <c r="F27" s="19">
        <v>-75.682159999999996</v>
      </c>
      <c r="G27" s="23">
        <v>-75.266570000000002</v>
      </c>
      <c r="H27" s="19">
        <v>-75.748900000000006</v>
      </c>
      <c r="I27" s="19">
        <v>-75.47148</v>
      </c>
      <c r="J27" s="19">
        <v>-75.323130000000006</v>
      </c>
      <c r="K27" s="19">
        <v>-75.571899999999999</v>
      </c>
      <c r="L27" s="9">
        <f t="shared" si="0"/>
        <v>-75.411148888888889</v>
      </c>
      <c r="M27" s="21">
        <f t="shared" si="1"/>
        <v>0.28981558436911364</v>
      </c>
      <c r="S27" s="2" t="str">
        <f>indeter_MI!B21</f>
        <v>Линейность</v>
      </c>
      <c r="T27" s="2">
        <f>indeter_MI!C21</f>
        <v>0.02</v>
      </c>
      <c r="U27" s="2" t="str">
        <f>indeter_MI!D21</f>
        <v>Прямоугольное</v>
      </c>
      <c r="V27" s="2">
        <f>indeter_MI!E21</f>
        <v>1.73</v>
      </c>
      <c r="W27" s="59">
        <f t="shared" si="5"/>
        <v>1.1560693641618498E-2</v>
      </c>
      <c r="X27" s="59">
        <f t="shared" si="4"/>
        <v>1.3364963747535837E-4</v>
      </c>
    </row>
    <row r="28" spans="2:24" ht="15" thickBot="1" x14ac:dyDescent="0.25">
      <c r="B28" s="97">
        <v>26</v>
      </c>
      <c r="C28" s="18">
        <v>-74.873500000000007</v>
      </c>
      <c r="D28" s="19">
        <v>-75.73151</v>
      </c>
      <c r="E28" s="19">
        <v>-75.072599999999994</v>
      </c>
      <c r="F28" s="19">
        <v>-75.69932</v>
      </c>
      <c r="G28" s="23">
        <v>-75.290080000000003</v>
      </c>
      <c r="H28" s="19">
        <v>-75.769779999999997</v>
      </c>
      <c r="I28" s="19">
        <v>-75.487899999999996</v>
      </c>
      <c r="J28" s="19">
        <v>-75.339219999999997</v>
      </c>
      <c r="K28" s="19">
        <v>-75.581940000000003</v>
      </c>
      <c r="L28" s="9">
        <f t="shared" si="0"/>
        <v>-75.427316666666655</v>
      </c>
      <c r="M28" s="21">
        <f t="shared" si="1"/>
        <v>0.29259585073385108</v>
      </c>
      <c r="S28" s="2" t="str">
        <f>indeter_MI!B22</f>
        <v>Разрешающая способность</v>
      </c>
      <c r="T28" s="2">
        <f>indeter_MI!C22</f>
        <v>0.01</v>
      </c>
      <c r="U28" s="2" t="str">
        <f>indeter_MI!D22</f>
        <v>Прямоугольное</v>
      </c>
      <c r="V28" s="2">
        <f>indeter_MI!E22</f>
        <v>1.73</v>
      </c>
      <c r="W28" s="59">
        <f t="shared" si="5"/>
        <v>5.7803468208092491E-3</v>
      </c>
      <c r="X28" s="59">
        <f t="shared" si="4"/>
        <v>3.3412409368839592E-5</v>
      </c>
    </row>
    <row r="29" spans="2:24" x14ac:dyDescent="0.2">
      <c r="B29" s="96">
        <v>27</v>
      </c>
      <c r="C29" s="18">
        <v>-74.891180000000006</v>
      </c>
      <c r="D29" s="19">
        <v>-75.739660000000001</v>
      </c>
      <c r="E29" s="19">
        <v>-75.083280000000002</v>
      </c>
      <c r="F29" s="19">
        <v>-75.713440000000006</v>
      </c>
      <c r="G29" s="23">
        <v>-75.306550000000001</v>
      </c>
      <c r="H29" s="19">
        <v>-75.78313</v>
      </c>
      <c r="I29" s="19">
        <v>-75.502880000000005</v>
      </c>
      <c r="J29" s="19">
        <v>-75.349000000000004</v>
      </c>
      <c r="K29" s="19">
        <v>-75.589489999999998</v>
      </c>
      <c r="L29" s="9">
        <f t="shared" si="0"/>
        <v>-75.439845555555564</v>
      </c>
      <c r="M29" s="21">
        <f t="shared" si="1"/>
        <v>0.29119431069347201</v>
      </c>
      <c r="S29" s="48" t="s">
        <v>21</v>
      </c>
      <c r="T29" s="49">
        <f>O22</f>
        <v>1.6305740366168459E-2</v>
      </c>
      <c r="U29" s="49" t="s">
        <v>13</v>
      </c>
      <c r="V29" s="16">
        <v>1</v>
      </c>
      <c r="W29" s="60">
        <f>T29/V29</f>
        <v>1.6305740366168459E-2</v>
      </c>
      <c r="X29" s="60">
        <f t="shared" si="4"/>
        <v>2.6587716888889552E-4</v>
      </c>
    </row>
    <row r="30" spans="2:24" ht="15" thickBot="1" x14ac:dyDescent="0.25">
      <c r="B30" s="97">
        <v>28</v>
      </c>
      <c r="C30" s="18">
        <v>-74.895510000000002</v>
      </c>
      <c r="D30" s="19">
        <v>-75.731030000000004</v>
      </c>
      <c r="E30" s="19">
        <v>-75.088610000000003</v>
      </c>
      <c r="F30" s="19">
        <v>-75.716769999999997</v>
      </c>
      <c r="G30" s="23">
        <v>-75.304839999999999</v>
      </c>
      <c r="H30" s="19">
        <v>-75.782560000000004</v>
      </c>
      <c r="I30" s="19">
        <v>-75.495180000000005</v>
      </c>
      <c r="J30" s="19">
        <v>-75.346350000000001</v>
      </c>
      <c r="K30" s="19">
        <v>-75.586100000000002</v>
      </c>
      <c r="L30" s="9">
        <f t="shared" si="0"/>
        <v>-75.438550000000006</v>
      </c>
      <c r="M30" s="21">
        <f t="shared" si="1"/>
        <v>0.28867540548743226</v>
      </c>
      <c r="X30" s="56"/>
    </row>
    <row r="31" spans="2:24" ht="15" thickBot="1" x14ac:dyDescent="0.25">
      <c r="B31" s="98">
        <v>29</v>
      </c>
      <c r="C31" s="18">
        <v>-74.905010000000004</v>
      </c>
      <c r="D31" s="19">
        <v>-75.73433</v>
      </c>
      <c r="E31" s="19">
        <v>-75.090410000000006</v>
      </c>
      <c r="F31" s="19">
        <v>-75.712050000000005</v>
      </c>
      <c r="G31" s="23">
        <v>-75.296310000000005</v>
      </c>
      <c r="H31" s="19">
        <v>-75.776409999999998</v>
      </c>
      <c r="I31" s="19">
        <v>-75.496380000000002</v>
      </c>
      <c r="J31" s="19">
        <v>-75.343980000000002</v>
      </c>
      <c r="K31" s="19">
        <v>-75.583039999999997</v>
      </c>
      <c r="L31" s="9">
        <f t="shared" si="0"/>
        <v>-75.437546666666677</v>
      </c>
      <c r="M31" s="21">
        <f t="shared" si="1"/>
        <v>0.28590832652753706</v>
      </c>
      <c r="S31" s="35" t="s">
        <v>22</v>
      </c>
      <c r="U31" s="41" t="s">
        <v>82</v>
      </c>
      <c r="V31" s="41"/>
      <c r="W31" s="41" t="s">
        <v>83</v>
      </c>
      <c r="X31" s="57"/>
    </row>
    <row r="32" spans="2:24" ht="15" thickBot="1" x14ac:dyDescent="0.25">
      <c r="B32" s="98">
        <v>30</v>
      </c>
      <c r="C32" s="18">
        <v>-74.896820000000005</v>
      </c>
      <c r="D32" s="19">
        <v>-75.721850000000003</v>
      </c>
      <c r="E32" s="19">
        <v>-75.095510000000004</v>
      </c>
      <c r="F32" s="19">
        <v>-75.712159999999997</v>
      </c>
      <c r="G32" s="23">
        <v>-75.295400000000001</v>
      </c>
      <c r="H32" s="19">
        <v>-75.774019999999993</v>
      </c>
      <c r="I32" s="19">
        <v>-75.491500000000002</v>
      </c>
      <c r="J32" s="19">
        <v>-75.347369999999998</v>
      </c>
      <c r="K32" s="19">
        <v>-75.579560000000001</v>
      </c>
      <c r="L32" s="9">
        <f t="shared" si="0"/>
        <v>-75.434910000000002</v>
      </c>
      <c r="M32" s="21">
        <f>_xlfn.STDEV.P(C32:K32)</f>
        <v>0.28483587254573028</v>
      </c>
      <c r="S32" s="42">
        <f>SUM(X22:X29)</f>
        <v>6.4410049713547321E-3</v>
      </c>
      <c r="V32" s="72">
        <f>SQRT(S32)</f>
        <v>8.0255871880845778E-2</v>
      </c>
      <c r="X32" s="72">
        <f>V32*2</f>
        <v>0.16051174376169156</v>
      </c>
    </row>
    <row r="33" spans="2:24" ht="19.5" thickBot="1" x14ac:dyDescent="0.4">
      <c r="B33" s="93" t="s">
        <v>40</v>
      </c>
      <c r="C33" s="30">
        <f>AVERAGE(C3:C32)</f>
        <v>-74.874226666666658</v>
      </c>
      <c r="D33" s="31">
        <f t="shared" ref="D33:K33" si="6">AVERAGE(D3:D32)</f>
        <v>-75.727653000000004</v>
      </c>
      <c r="E33" s="31">
        <f t="shared" si="6"/>
        <v>-75.083056666666664</v>
      </c>
      <c r="F33" s="31">
        <f t="shared" si="6"/>
        <v>-75.709282999999999</v>
      </c>
      <c r="G33" s="31">
        <f t="shared" si="6"/>
        <v>-75.294753333333333</v>
      </c>
      <c r="H33" s="31">
        <f t="shared" si="6"/>
        <v>-75.776009666666667</v>
      </c>
      <c r="I33" s="31">
        <f t="shared" si="6"/>
        <v>-75.490697666666662</v>
      </c>
      <c r="J33" s="31">
        <f t="shared" si="6"/>
        <v>-75.342177333333339</v>
      </c>
      <c r="K33" s="31">
        <f t="shared" si="6"/>
        <v>-75.585693666666671</v>
      </c>
      <c r="L33" s="224"/>
      <c r="M33" s="177"/>
      <c r="S33" s="42">
        <f>ROUND(S32,8)</f>
        <v>6.4409999999999997E-3</v>
      </c>
      <c r="V33" s="72">
        <f>ROUND(V32,3)</f>
        <v>0.08</v>
      </c>
      <c r="X33" s="72">
        <f>ROUND(X32,3)</f>
        <v>0.161</v>
      </c>
    </row>
    <row r="34" spans="2:24" ht="19.5" thickBot="1" x14ac:dyDescent="0.4">
      <c r="B34" s="93" t="s">
        <v>39</v>
      </c>
      <c r="C34" s="27">
        <f>_xlfn.STDEV.P(C3:C32)</f>
        <v>1.5860574040333721E-2</v>
      </c>
      <c r="D34" s="22">
        <f t="shared" ref="D34:K34" si="7">_xlfn.STDEV.P(D3:D32)</f>
        <v>1.5170173180729326E-2</v>
      </c>
      <c r="E34" s="22">
        <f t="shared" si="7"/>
        <v>1.1131499250126643E-2</v>
      </c>
      <c r="F34" s="22">
        <f t="shared" si="7"/>
        <v>1.4553187543169911E-2</v>
      </c>
      <c r="G34" s="22">
        <f t="shared" si="7"/>
        <v>1.6305740366168459E-2</v>
      </c>
      <c r="H34" s="22">
        <f t="shared" si="7"/>
        <v>1.5348389379852499E-2</v>
      </c>
      <c r="I34" s="22">
        <f t="shared" si="7"/>
        <v>1.3215685045514E-2</v>
      </c>
      <c r="J34" s="22">
        <f t="shared" si="7"/>
        <v>1.1730107681612444E-2</v>
      </c>
      <c r="K34" s="22">
        <f t="shared" si="7"/>
        <v>1.0379625068160071E-2</v>
      </c>
      <c r="L34" s="65"/>
    </row>
    <row r="35" spans="2:24" ht="19.5" thickBot="1" x14ac:dyDescent="0.4">
      <c r="B35" s="93" t="s">
        <v>52</v>
      </c>
      <c r="C35" s="11">
        <f>MAX(C3:C32)-C33</f>
        <v>2.9456666666661135E-2</v>
      </c>
      <c r="D35" s="12">
        <f t="shared" ref="D35:K35" si="8">MAX(D3:D32)-D33</f>
        <v>3.5162999999997169E-2</v>
      </c>
      <c r="E35" s="12">
        <f t="shared" si="8"/>
        <v>2.4356666666662363E-2</v>
      </c>
      <c r="F35" s="12">
        <f t="shared" si="8"/>
        <v>2.7123000000003117E-2</v>
      </c>
      <c r="G35" s="24">
        <f t="shared" si="8"/>
        <v>4.3103333333334604E-2</v>
      </c>
      <c r="H35" s="12">
        <f t="shared" si="8"/>
        <v>3.79696666666689E-2</v>
      </c>
      <c r="I35" s="12">
        <f t="shared" si="8"/>
        <v>2.5337666666658265E-2</v>
      </c>
      <c r="J35" s="12">
        <f t="shared" si="8"/>
        <v>2.9237333333341553E-2</v>
      </c>
      <c r="K35" s="12">
        <f t="shared" si="8"/>
        <v>2.2763666666676841E-2</v>
      </c>
    </row>
    <row r="36" spans="2:24" ht="19.5" thickBot="1" x14ac:dyDescent="0.4">
      <c r="B36" s="93" t="s">
        <v>51</v>
      </c>
      <c r="C36" s="11">
        <f>C33-MIN(C3:C32)</f>
        <v>3.1353333333342448E-2</v>
      </c>
      <c r="D36" s="12">
        <f t="shared" ref="D36:K36" si="9">D33-MIN(D3:D32)</f>
        <v>2.568699999999069E-2</v>
      </c>
      <c r="E36" s="12">
        <f t="shared" si="9"/>
        <v>2.2153333333335468E-2</v>
      </c>
      <c r="F36" s="12">
        <f t="shared" si="9"/>
        <v>3.3747000000005301E-2</v>
      </c>
      <c r="G36" s="24">
        <f t="shared" si="9"/>
        <v>2.9876666666666551E-2</v>
      </c>
      <c r="H36" s="12">
        <f t="shared" si="9"/>
        <v>2.4490333333332615E-2</v>
      </c>
      <c r="I36" s="12">
        <f t="shared" si="9"/>
        <v>2.8972333333342704E-2</v>
      </c>
      <c r="J36" s="12">
        <f t="shared" si="9"/>
        <v>2.2282666666654904E-2</v>
      </c>
      <c r="K36" s="12">
        <f t="shared" si="9"/>
        <v>1.6936333333333664E-2</v>
      </c>
    </row>
    <row r="37" spans="2:24" ht="20.25" thickBot="1" x14ac:dyDescent="0.4">
      <c r="B37" s="94" t="s">
        <v>44</v>
      </c>
      <c r="C37" s="14">
        <f>(C35+C36)/2</f>
        <v>3.0405000000001792E-2</v>
      </c>
      <c r="D37" s="15">
        <f t="shared" ref="D37:K37" si="10">(D35+D36)/2</f>
        <v>3.0424999999993929E-2</v>
      </c>
      <c r="E37" s="15">
        <f t="shared" si="10"/>
        <v>2.3254999999998915E-2</v>
      </c>
      <c r="F37" s="15">
        <f t="shared" si="10"/>
        <v>3.0435000000004209E-2</v>
      </c>
      <c r="G37" s="15">
        <f t="shared" si="10"/>
        <v>3.6490000000000578E-2</v>
      </c>
      <c r="H37" s="15">
        <f t="shared" si="10"/>
        <v>3.1230000000000757E-2</v>
      </c>
      <c r="I37" s="15">
        <f t="shared" si="10"/>
        <v>2.7155000000000484E-2</v>
      </c>
      <c r="J37" s="15">
        <f t="shared" si="10"/>
        <v>2.5759999999998229E-2</v>
      </c>
      <c r="K37" s="15">
        <f t="shared" si="10"/>
        <v>1.9850000000005252E-2</v>
      </c>
    </row>
    <row r="38" spans="2:24" ht="19.5" thickBot="1" x14ac:dyDescent="0.4">
      <c r="B38" s="95" t="s">
        <v>43</v>
      </c>
      <c r="C38" s="43">
        <f>C33-$G33</f>
        <v>0.42052666666667449</v>
      </c>
      <c r="D38" s="13">
        <f t="shared" ref="D38:K38" si="11">D33-$G33</f>
        <v>-0.43289966666667112</v>
      </c>
      <c r="E38" s="13">
        <f t="shared" si="11"/>
        <v>0.21169666666666842</v>
      </c>
      <c r="F38" s="13">
        <f t="shared" si="11"/>
        <v>-0.41452966666666669</v>
      </c>
      <c r="G38" s="13">
        <f>G33-$G33</f>
        <v>0</v>
      </c>
      <c r="H38" s="13">
        <f t="shared" si="11"/>
        <v>-0.4812563333333344</v>
      </c>
      <c r="I38" s="13">
        <f t="shared" si="11"/>
        <v>-0.19594433333332972</v>
      </c>
      <c r="J38" s="13">
        <f t="shared" si="11"/>
        <v>-4.7424000000006572E-2</v>
      </c>
      <c r="K38" s="13">
        <f t="shared" si="11"/>
        <v>-0.29094033333333869</v>
      </c>
    </row>
    <row r="39" spans="2:24" ht="18.75" x14ac:dyDescent="0.35">
      <c r="B39" s="99" t="s">
        <v>45</v>
      </c>
      <c r="C39" s="45">
        <v>-75</v>
      </c>
    </row>
    <row r="40" spans="2:24" ht="18.75" x14ac:dyDescent="0.2">
      <c r="B40" s="100" t="s">
        <v>46</v>
      </c>
      <c r="C40" s="44">
        <f>AVERAGE(C3:K32)</f>
        <v>-75.431505666666666</v>
      </c>
    </row>
    <row r="41" spans="2:24" ht="18.75" x14ac:dyDescent="0.2">
      <c r="B41" s="101" t="s">
        <v>47</v>
      </c>
      <c r="C41" s="28">
        <f>C40-C39</f>
        <v>-0.43150566666666634</v>
      </c>
    </row>
    <row r="42" spans="2:24" ht="18.75" x14ac:dyDescent="0.2">
      <c r="B42" s="102" t="s">
        <v>48</v>
      </c>
      <c r="C42" s="29">
        <f>MAX(C33:K33)-MIN(C33:K33)</f>
        <v>0.90178300000000888</v>
      </c>
      <c r="D42" s="65"/>
    </row>
    <row r="43" spans="2:24" ht="18.75" x14ac:dyDescent="0.2">
      <c r="B43" s="103" t="s">
        <v>49</v>
      </c>
      <c r="C43" s="32">
        <f>MAX(C38:K38)</f>
        <v>0.42052666666667449</v>
      </c>
    </row>
    <row r="44" spans="2:24" x14ac:dyDescent="0.2">
      <c r="B44" s="104"/>
      <c r="C44" s="32">
        <f>MIN(C38:K38)</f>
        <v>-0.4812563333333344</v>
      </c>
    </row>
    <row r="45" spans="2:24" ht="18.75" x14ac:dyDescent="0.2">
      <c r="B45" s="105" t="s">
        <v>50</v>
      </c>
      <c r="C45" s="182">
        <f>AVERAGE(C37:K37)</f>
        <v>2.8333888888889349E-2</v>
      </c>
      <c r="D45" s="178"/>
      <c r="E45" s="178"/>
      <c r="F45" s="178"/>
      <c r="G45" s="178"/>
      <c r="H45" s="178"/>
      <c r="I45" s="178"/>
      <c r="J45" s="178"/>
      <c r="K45" s="178"/>
    </row>
    <row r="46" spans="2:24" ht="18.75" x14ac:dyDescent="0.35">
      <c r="B46" s="180" t="s">
        <v>259</v>
      </c>
      <c r="C46" s="181">
        <f>_xlfn.STDEV.P(C3:K32)</f>
        <v>0.29273049864533757</v>
      </c>
    </row>
    <row r="47" spans="2:24" x14ac:dyDescent="0.2">
      <c r="C47" s="179"/>
      <c r="D47" s="179"/>
      <c r="E47" s="179"/>
      <c r="F47" s="179"/>
      <c r="G47" s="179"/>
      <c r="H47" s="179"/>
      <c r="I47" s="179"/>
      <c r="J47" s="179"/>
      <c r="K47" s="179"/>
    </row>
  </sheetData>
  <pageMargins left="0.7" right="0.7" top="0.75" bottom="0.75" header="0.3" footer="0.3"/>
  <pageSetup paperSize="9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22"/>
  <dimension ref="B1:X47"/>
  <sheetViews>
    <sheetView tabSelected="1" topLeftCell="B11" zoomScale="70" zoomScaleNormal="70" workbookViewId="0">
      <selection activeCell="T47" sqref="T47"/>
    </sheetView>
  </sheetViews>
  <sheetFormatPr defaultRowHeight="14.25" x14ac:dyDescent="0.2"/>
  <cols>
    <col min="1" max="1" width="10.75" style="292" customWidth="1"/>
    <col min="2" max="2" width="6.25" style="292" customWidth="1"/>
    <col min="3" max="11" width="6" style="292" customWidth="1"/>
    <col min="12" max="12" width="8.875" style="292" customWidth="1"/>
    <col min="13" max="13" width="10" style="292" customWidth="1"/>
    <col min="14" max="14" width="4.875" style="292" customWidth="1"/>
    <col min="15" max="15" width="11.375" style="292" customWidth="1"/>
    <col min="16" max="16" width="11" style="292" customWidth="1"/>
    <col min="17" max="17" width="14.875" style="292" customWidth="1"/>
    <col min="18" max="18" width="5.5" style="292" customWidth="1"/>
    <col min="19" max="19" width="25.375" style="292" customWidth="1"/>
    <col min="20" max="20" width="12.375" style="292" customWidth="1"/>
    <col min="21" max="21" width="14.75" style="292" customWidth="1"/>
    <col min="22" max="22" width="9.75" style="292" customWidth="1"/>
    <col min="23" max="23" width="14.375" style="292" customWidth="1"/>
    <col min="24" max="24" width="28.25" style="292" customWidth="1"/>
    <col min="25" max="16384" width="9" style="292"/>
  </cols>
  <sheetData>
    <row r="1" spans="2:24" ht="15" thickBot="1" x14ac:dyDescent="0.25">
      <c r="O1" s="292" t="s">
        <v>6</v>
      </c>
    </row>
    <row r="2" spans="2:24" ht="19.5" thickBot="1" x14ac:dyDescent="0.4">
      <c r="B2" s="292" t="s">
        <v>29</v>
      </c>
      <c r="C2" s="3">
        <v>1</v>
      </c>
      <c r="D2" s="3">
        <v>2</v>
      </c>
      <c r="E2" s="3">
        <v>3</v>
      </c>
      <c r="F2" s="3">
        <v>4</v>
      </c>
      <c r="G2" s="4">
        <v>5</v>
      </c>
      <c r="H2" s="3">
        <v>6</v>
      </c>
      <c r="I2" s="3">
        <v>7</v>
      </c>
      <c r="J2" s="3">
        <v>8</v>
      </c>
      <c r="K2" s="5">
        <v>9</v>
      </c>
      <c r="L2" s="93" t="s">
        <v>41</v>
      </c>
      <c r="M2" s="8" t="s">
        <v>42</v>
      </c>
      <c r="O2" s="293" t="s">
        <v>24</v>
      </c>
    </row>
    <row r="3" spans="2:24" x14ac:dyDescent="0.2">
      <c r="B3" s="96">
        <v>1</v>
      </c>
      <c r="C3" s="18">
        <v>-54.86842</v>
      </c>
      <c r="D3" s="19">
        <v>-55.746399999999994</v>
      </c>
      <c r="E3" s="19">
        <v>-55.10521</v>
      </c>
      <c r="F3" s="20">
        <v>-55.743030000000005</v>
      </c>
      <c r="G3" s="23">
        <v>-55.322199999999995</v>
      </c>
      <c r="H3" s="19">
        <v>-55.8005</v>
      </c>
      <c r="I3" s="19">
        <v>-55.500879999999995</v>
      </c>
      <c r="J3" s="19">
        <v>-55.364459999999994</v>
      </c>
      <c r="K3" s="19">
        <v>-55.597840000000005</v>
      </c>
      <c r="L3" s="9">
        <f>AVERAGE(C3:K3)</f>
        <v>-55.449882222222222</v>
      </c>
      <c r="M3" s="21">
        <f>_xlfn.STDEV.P(C3:K3)</f>
        <v>0.29847398512276063</v>
      </c>
      <c r="O3" s="292" t="s">
        <v>4</v>
      </c>
      <c r="S3" s="2" t="s">
        <v>7</v>
      </c>
      <c r="T3" s="2" t="s">
        <v>8</v>
      </c>
      <c r="U3" s="2" t="s">
        <v>9</v>
      </c>
      <c r="V3" s="2" t="s">
        <v>10</v>
      </c>
      <c r="W3" s="41" t="s">
        <v>11</v>
      </c>
      <c r="X3" s="46" t="s">
        <v>12</v>
      </c>
    </row>
    <row r="4" spans="2:24" ht="15" thickBot="1" x14ac:dyDescent="0.25">
      <c r="B4" s="97">
        <v>2</v>
      </c>
      <c r="C4" s="18">
        <v>-54.860690000000005</v>
      </c>
      <c r="D4" s="19">
        <v>-55.72927</v>
      </c>
      <c r="E4" s="19">
        <v>-55.09572</v>
      </c>
      <c r="F4" s="19">
        <v>-55.727279999999993</v>
      </c>
      <c r="G4" s="23">
        <v>-55.300110000000004</v>
      </c>
      <c r="H4" s="19">
        <v>-55.782669999999996</v>
      </c>
      <c r="I4" s="19">
        <v>-55.486540000000005</v>
      </c>
      <c r="J4" s="19">
        <v>-55.348920000000007</v>
      </c>
      <c r="K4" s="19">
        <v>-55.589550000000003</v>
      </c>
      <c r="L4" s="9">
        <f t="shared" ref="L4:L32" si="0">AVERAGE(C4:K4)</f>
        <v>-55.435638888888889</v>
      </c>
      <c r="M4" s="21">
        <f t="shared" ref="M4:M31" si="1">_xlfn.STDEV.P(C4:K4)</f>
        <v>0.2962700032982068</v>
      </c>
      <c r="O4" s="17">
        <f>AVERAGE(C34:K34)</f>
        <v>1.3743886839518566E-2</v>
      </c>
      <c r="S4" s="2" t="str">
        <f>indeter_MI!B5</f>
        <v>Поверка</v>
      </c>
      <c r="T4" s="2">
        <f>indeter_MI!C5</f>
        <v>0.1</v>
      </c>
      <c r="U4" s="2" t="str">
        <f>indeter_MI!D5</f>
        <v>Нормальное</v>
      </c>
      <c r="V4" s="2">
        <f>indeter_MI!E5</f>
        <v>2</v>
      </c>
      <c r="W4" s="59">
        <f>T4/V4</f>
        <v>0.05</v>
      </c>
      <c r="X4" s="52">
        <f t="shared" ref="X4:X9" si="2">W4*W4</f>
        <v>2.5000000000000005E-3</v>
      </c>
    </row>
    <row r="5" spans="2:24" x14ac:dyDescent="0.2">
      <c r="B5" s="96">
        <v>3</v>
      </c>
      <c r="C5" s="18">
        <v>-54.867170000000002</v>
      </c>
      <c r="D5" s="19">
        <v>-55.735560000000007</v>
      </c>
      <c r="E5" s="19">
        <v>-55.081969999999998</v>
      </c>
      <c r="F5" s="19">
        <v>-55.713849999999994</v>
      </c>
      <c r="G5" s="23">
        <v>-55.290279999999996</v>
      </c>
      <c r="H5" s="19">
        <v>-55.780379999999994</v>
      </c>
      <c r="I5" s="19">
        <v>-55.481250000000003</v>
      </c>
      <c r="J5" s="19">
        <v>-55.340599999999995</v>
      </c>
      <c r="K5" s="19">
        <v>-55.592209999999994</v>
      </c>
      <c r="L5" s="9">
        <f t="shared" si="0"/>
        <v>-55.431474444444433</v>
      </c>
      <c r="M5" s="21">
        <f t="shared" si="1"/>
        <v>0.29646800266212325</v>
      </c>
      <c r="O5" s="292" t="s">
        <v>5</v>
      </c>
      <c r="S5" s="2" t="str">
        <f>indeter_MI!B6</f>
        <v>Повторяемость*</v>
      </c>
      <c r="T5" s="2">
        <f>indeter_MI!C6</f>
        <v>0.01</v>
      </c>
      <c r="U5" s="2" t="str">
        <f>indeter_MI!D6</f>
        <v>Нормальное</v>
      </c>
      <c r="V5" s="2">
        <f>indeter_MI!E6</f>
        <v>1</v>
      </c>
      <c r="W5" s="59">
        <f t="shared" ref="W5:W13" si="3">T5/V5</f>
        <v>0.01</v>
      </c>
      <c r="X5" s="52">
        <f t="shared" si="2"/>
        <v>1E-4</v>
      </c>
    </row>
    <row r="6" spans="2:24" ht="15" thickBot="1" x14ac:dyDescent="0.25">
      <c r="B6" s="97">
        <v>4</v>
      </c>
      <c r="C6" s="18">
        <v>-54.875309999999999</v>
      </c>
      <c r="D6" s="19">
        <v>-55.747420000000005</v>
      </c>
      <c r="E6" s="19">
        <v>-55.083539999999999</v>
      </c>
      <c r="F6" s="19">
        <v>-55.71875</v>
      </c>
      <c r="G6" s="23">
        <v>-55.308260000000004</v>
      </c>
      <c r="H6" s="19">
        <v>-55.793350000000004</v>
      </c>
      <c r="I6" s="19">
        <v>-55.499009999999998</v>
      </c>
      <c r="J6" s="19">
        <v>-55.346850000000003</v>
      </c>
      <c r="K6" s="19">
        <v>-55.596599999999995</v>
      </c>
      <c r="L6" s="9">
        <f t="shared" si="0"/>
        <v>-55.441010000000006</v>
      </c>
      <c r="M6" s="21">
        <f t="shared" si="1"/>
        <v>0.29758888091534086</v>
      </c>
      <c r="O6" s="17">
        <f>O4/(SQRT(270))</f>
        <v>8.3642631664474485E-4</v>
      </c>
      <c r="S6" s="2" t="str">
        <f>indeter_MI!B7</f>
        <v>Гистерезис</v>
      </c>
      <c r="T6" s="2">
        <f>indeter_MI!C7</f>
        <v>0.01</v>
      </c>
      <c r="U6" s="2" t="str">
        <f>indeter_MI!D7</f>
        <v>Прямоугольное</v>
      </c>
      <c r="V6" s="2">
        <f>indeter_MI!E7</f>
        <v>1.73</v>
      </c>
      <c r="W6" s="59">
        <f t="shared" si="3"/>
        <v>5.7803468208092491E-3</v>
      </c>
      <c r="X6" s="52">
        <f t="shared" si="2"/>
        <v>3.3412409368839592E-5</v>
      </c>
    </row>
    <row r="7" spans="2:24" x14ac:dyDescent="0.2">
      <c r="B7" s="96">
        <v>5</v>
      </c>
      <c r="C7" s="18">
        <v>-54.875500000000002</v>
      </c>
      <c r="D7" s="19">
        <v>-55.753339999999994</v>
      </c>
      <c r="E7" s="19">
        <v>-55.090209999999999</v>
      </c>
      <c r="F7" s="19">
        <v>-55.725390000000004</v>
      </c>
      <c r="G7" s="23">
        <v>-55.324629999999999</v>
      </c>
      <c r="H7" s="19">
        <v>-55.799930000000003</v>
      </c>
      <c r="I7" s="19">
        <v>-55.513109999999998</v>
      </c>
      <c r="J7" s="19">
        <v>-55.359650000000002</v>
      </c>
      <c r="K7" s="19">
        <v>-55.602630000000005</v>
      </c>
      <c r="L7" s="9">
        <f t="shared" si="0"/>
        <v>-55.449376666666666</v>
      </c>
      <c r="M7" s="21">
        <f t="shared" si="1"/>
        <v>0.29832140724765671</v>
      </c>
      <c r="S7" s="2" t="str">
        <f>indeter_MI!B8</f>
        <v>Влияние температуры</v>
      </c>
      <c r="T7" s="2">
        <f>indeter_MI!C8</f>
        <v>0.01</v>
      </c>
      <c r="U7" s="2" t="str">
        <f>indeter_MI!D8</f>
        <v>Прямоугольное</v>
      </c>
      <c r="V7" s="2">
        <f>indeter_MI!E8</f>
        <v>1.73</v>
      </c>
      <c r="W7" s="59">
        <f t="shared" si="3"/>
        <v>5.7803468208092491E-3</v>
      </c>
      <c r="X7" s="52">
        <f t="shared" si="2"/>
        <v>3.3412409368839592E-5</v>
      </c>
    </row>
    <row r="8" spans="2:24" ht="15" thickBot="1" x14ac:dyDescent="0.25">
      <c r="B8" s="97">
        <v>6</v>
      </c>
      <c r="C8" s="18">
        <v>-54.872969999999995</v>
      </c>
      <c r="D8" s="19">
        <v>-55.748230000000007</v>
      </c>
      <c r="E8" s="19">
        <v>-55.094290000000001</v>
      </c>
      <c r="F8" s="19">
        <v>-55.72833</v>
      </c>
      <c r="G8" s="23">
        <v>-55.317899999999995</v>
      </c>
      <c r="H8" s="19">
        <v>-55.796099999999996</v>
      </c>
      <c r="I8" s="19">
        <v>-55.508219999999994</v>
      </c>
      <c r="J8" s="19">
        <v>-55.358670000000004</v>
      </c>
      <c r="K8" s="19">
        <v>-55.599930000000001</v>
      </c>
      <c r="L8" s="9">
        <f t="shared" si="0"/>
        <v>-55.447182222222217</v>
      </c>
      <c r="M8" s="21">
        <f t="shared" si="1"/>
        <v>0.29763434877856448</v>
      </c>
      <c r="S8" s="2" t="str">
        <f>indeter_MI!B9</f>
        <v>Дрейф*</v>
      </c>
      <c r="T8" s="2">
        <f>indeter_MI!C9</f>
        <v>0.1</v>
      </c>
      <c r="U8" s="2" t="str">
        <f>indeter_MI!D9</f>
        <v>Прямоугольное</v>
      </c>
      <c r="V8" s="2">
        <f>indeter_MI!E9</f>
        <v>1.73</v>
      </c>
      <c r="W8" s="59">
        <f t="shared" si="3"/>
        <v>5.7803468208092491E-2</v>
      </c>
      <c r="X8" s="52">
        <f t="shared" si="2"/>
        <v>3.3412409368839594E-3</v>
      </c>
    </row>
    <row r="9" spans="2:24" x14ac:dyDescent="0.2">
      <c r="B9" s="96">
        <v>7</v>
      </c>
      <c r="C9" s="18">
        <v>-54.880629999999996</v>
      </c>
      <c r="D9" s="19">
        <v>-55.75027</v>
      </c>
      <c r="E9" s="19">
        <v>-55.090040000000002</v>
      </c>
      <c r="F9" s="19">
        <v>-55.725890000000007</v>
      </c>
      <c r="G9" s="23">
        <v>-55.309539999999998</v>
      </c>
      <c r="H9" s="19">
        <v>-55.793670000000006</v>
      </c>
      <c r="I9" s="19">
        <v>-55.499709999999993</v>
      </c>
      <c r="J9" s="19">
        <v>-55.357529999999997</v>
      </c>
      <c r="K9" s="19">
        <v>-55.59778</v>
      </c>
      <c r="L9" s="9">
        <f t="shared" si="0"/>
        <v>-55.445006666666664</v>
      </c>
      <c r="M9" s="21">
        <f t="shared" si="1"/>
        <v>0.29636785644420782</v>
      </c>
      <c r="O9" s="2" t="s">
        <v>0</v>
      </c>
      <c r="P9" s="2" t="s">
        <v>2</v>
      </c>
      <c r="Q9" s="2" t="s">
        <v>3</v>
      </c>
      <c r="S9" s="2" t="str">
        <f>indeter_MI!B10</f>
        <v>Линейность</v>
      </c>
      <c r="T9" s="2">
        <f>indeter_MI!C10</f>
        <v>0.02</v>
      </c>
      <c r="U9" s="2" t="str">
        <f>indeter_MI!D10</f>
        <v>Прямоугольное</v>
      </c>
      <c r="V9" s="2">
        <f>indeter_MI!E10</f>
        <v>1.73</v>
      </c>
      <c r="W9" s="59">
        <f t="shared" si="3"/>
        <v>1.1560693641618498E-2</v>
      </c>
      <c r="X9" s="52">
        <f t="shared" si="2"/>
        <v>1.3364963747535837E-4</v>
      </c>
    </row>
    <row r="10" spans="2:24" ht="15" thickBot="1" x14ac:dyDescent="0.25">
      <c r="B10" s="97">
        <v>8</v>
      </c>
      <c r="C10" s="18">
        <v>-54.881209999999996</v>
      </c>
      <c r="D10" s="19">
        <v>-55.742109999999997</v>
      </c>
      <c r="E10" s="19">
        <v>-55.091120000000004</v>
      </c>
      <c r="F10" s="19">
        <v>-55.724689999999995</v>
      </c>
      <c r="G10" s="23">
        <v>-55.303880000000007</v>
      </c>
      <c r="H10" s="19">
        <v>-55.792879999999997</v>
      </c>
      <c r="I10" s="19">
        <v>-55.493120000000005</v>
      </c>
      <c r="J10" s="19">
        <v>-55.352710000000002</v>
      </c>
      <c r="K10" s="19">
        <v>-55.598600000000005</v>
      </c>
      <c r="L10" s="9">
        <f t="shared" si="0"/>
        <v>-55.442257777777776</v>
      </c>
      <c r="M10" s="21">
        <f t="shared" si="1"/>
        <v>0.29531239127321701</v>
      </c>
      <c r="O10" s="38">
        <f>MAX(M3:M32)</f>
        <v>0.29847398512276063</v>
      </c>
      <c r="P10" s="51">
        <f>MAX(C34:K34)</f>
        <v>1.6305740366168459E-2</v>
      </c>
      <c r="Q10" s="50">
        <f>O6</f>
        <v>8.3642631664474485E-4</v>
      </c>
      <c r="S10" s="2" t="str">
        <f>indeter_MI!B11</f>
        <v>Разрешающая способность</v>
      </c>
      <c r="T10" s="2">
        <f>indeter_MI!C11</f>
        <v>0.01</v>
      </c>
      <c r="U10" s="2" t="str">
        <f>indeter_MI!D11</f>
        <v>Прямоугольное</v>
      </c>
      <c r="V10" s="2">
        <f>indeter_MI!E11</f>
        <v>1.73</v>
      </c>
      <c r="W10" s="59">
        <f t="shared" si="3"/>
        <v>5.7803468208092491E-3</v>
      </c>
      <c r="X10" s="52">
        <f>W10*W10</f>
        <v>3.3412409368839592E-5</v>
      </c>
    </row>
    <row r="11" spans="2:24" x14ac:dyDescent="0.2">
      <c r="B11" s="96">
        <v>9</v>
      </c>
      <c r="C11" s="18">
        <v>-54.883170000000007</v>
      </c>
      <c r="D11" s="19">
        <v>-55.735399999999998</v>
      </c>
      <c r="E11" s="19">
        <v>-55.089370000000002</v>
      </c>
      <c r="F11" s="19">
        <v>-55.721270000000004</v>
      </c>
      <c r="G11" s="23">
        <v>-55.306079999999994</v>
      </c>
      <c r="H11" s="19">
        <v>-55.794970000000006</v>
      </c>
      <c r="I11" s="19">
        <v>-55.499409999999997</v>
      </c>
      <c r="J11" s="19">
        <v>-55.350239999999999</v>
      </c>
      <c r="K11" s="19">
        <v>-55.595500000000001</v>
      </c>
      <c r="L11" s="9">
        <f t="shared" si="0"/>
        <v>-55.441712222222222</v>
      </c>
      <c r="M11" s="21">
        <f t="shared" si="1"/>
        <v>0.29421336859790753</v>
      </c>
      <c r="S11" s="36" t="s">
        <v>0</v>
      </c>
      <c r="T11" s="37">
        <f>O10</f>
        <v>0.29847398512276063</v>
      </c>
      <c r="U11" s="36" t="s">
        <v>13</v>
      </c>
      <c r="V11" s="21">
        <v>1</v>
      </c>
      <c r="W11" s="61">
        <f t="shared" si="3"/>
        <v>0.29847398512276063</v>
      </c>
      <c r="X11" s="53">
        <f>W11*W11</f>
        <v>8.9086719795061942E-2</v>
      </c>
    </row>
    <row r="12" spans="2:24" ht="15" thickBot="1" x14ac:dyDescent="0.25">
      <c r="B12" s="97">
        <v>10</v>
      </c>
      <c r="C12" s="18">
        <v>-54.869870000000006</v>
      </c>
      <c r="D12" s="19">
        <v>-55.725390000000004</v>
      </c>
      <c r="E12" s="19">
        <v>-55.088610000000003</v>
      </c>
      <c r="F12" s="19">
        <v>-55.708789999999993</v>
      </c>
      <c r="G12" s="23">
        <v>-55.289779999999993</v>
      </c>
      <c r="H12" s="19">
        <v>-55.771259999999998</v>
      </c>
      <c r="I12" s="19">
        <v>-55.480099999999993</v>
      </c>
      <c r="J12" s="19">
        <v>-55.341139999999996</v>
      </c>
      <c r="K12" s="19">
        <v>-55.5822</v>
      </c>
      <c r="L12" s="9">
        <f t="shared" si="0"/>
        <v>-55.428571111111104</v>
      </c>
      <c r="M12" s="21">
        <f t="shared" si="1"/>
        <v>0.29153701409538607</v>
      </c>
      <c r="S12" s="26" t="s">
        <v>21</v>
      </c>
      <c r="T12" s="39">
        <f>P10</f>
        <v>1.6305740366168459E-2</v>
      </c>
      <c r="U12" s="26" t="s">
        <v>13</v>
      </c>
      <c r="V12" s="22">
        <v>1</v>
      </c>
      <c r="W12" s="60">
        <f t="shared" si="3"/>
        <v>1.6305740366168459E-2</v>
      </c>
      <c r="X12" s="54">
        <f>W12*W12</f>
        <v>2.6587716888889552E-4</v>
      </c>
    </row>
    <row r="13" spans="2:24" x14ac:dyDescent="0.2">
      <c r="B13" s="96">
        <v>11</v>
      </c>
      <c r="C13" s="18">
        <v>-54.853650000000002</v>
      </c>
      <c r="D13" s="19">
        <v>-55.721969999999999</v>
      </c>
      <c r="E13" s="19">
        <v>-55.076719999999995</v>
      </c>
      <c r="F13" s="19">
        <v>-55.69708</v>
      </c>
      <c r="G13" s="23">
        <v>-55.282030000000006</v>
      </c>
      <c r="H13" s="19">
        <v>-55.764470000000003</v>
      </c>
      <c r="I13" s="19">
        <v>-55.481859999999998</v>
      </c>
      <c r="J13" s="19">
        <v>-55.332819999999998</v>
      </c>
      <c r="K13" s="19">
        <v>-55.579679999999996</v>
      </c>
      <c r="L13" s="9">
        <f t="shared" si="0"/>
        <v>-55.421142222222223</v>
      </c>
      <c r="M13" s="21">
        <f t="shared" si="1"/>
        <v>0.29461103591676707</v>
      </c>
      <c r="S13" s="25" t="s">
        <v>3</v>
      </c>
      <c r="T13" s="40">
        <f>Q10</f>
        <v>8.3642631664474485E-4</v>
      </c>
      <c r="U13" s="25" t="s">
        <v>13</v>
      </c>
      <c r="V13" s="17">
        <v>1</v>
      </c>
      <c r="W13" s="62">
        <f t="shared" si="3"/>
        <v>8.3642631664474485E-4</v>
      </c>
      <c r="X13" s="55">
        <f>W13*W13</f>
        <v>6.9960898317589499E-7</v>
      </c>
    </row>
    <row r="14" spans="2:24" ht="15" thickBot="1" x14ac:dyDescent="0.25">
      <c r="B14" s="97">
        <v>12</v>
      </c>
      <c r="C14" s="18">
        <v>-54.856020000000001</v>
      </c>
      <c r="D14" s="19">
        <v>-55.725719999999995</v>
      </c>
      <c r="E14" s="19">
        <v>-55.071719999999999</v>
      </c>
      <c r="F14" s="19">
        <v>-55.697450000000003</v>
      </c>
      <c r="G14" s="23">
        <v>-55.288219999999995</v>
      </c>
      <c r="H14" s="19">
        <v>-55.76764</v>
      </c>
      <c r="I14" s="19">
        <v>-55.47739</v>
      </c>
      <c r="J14" s="19">
        <v>-55.335300000000004</v>
      </c>
      <c r="K14" s="19">
        <v>-55.58417</v>
      </c>
      <c r="L14" s="9">
        <f t="shared" si="0"/>
        <v>-55.42262555555557</v>
      </c>
      <c r="M14" s="21">
        <f t="shared" si="1"/>
        <v>0.29540793016178335</v>
      </c>
      <c r="W14" s="56"/>
      <c r="X14" s="56"/>
    </row>
    <row r="15" spans="2:24" x14ac:dyDescent="0.2">
      <c r="B15" s="96">
        <v>13</v>
      </c>
      <c r="C15" s="18">
        <v>-54.861509999999996</v>
      </c>
      <c r="D15" s="19">
        <v>-55.717950000000002</v>
      </c>
      <c r="E15" s="19">
        <v>-55.077650000000006</v>
      </c>
      <c r="F15" s="19">
        <v>-55.704980000000006</v>
      </c>
      <c r="G15" s="23">
        <v>-55.297210000000007</v>
      </c>
      <c r="H15" s="19">
        <v>-55.773520000000005</v>
      </c>
      <c r="I15" s="19">
        <v>-55.493570000000005</v>
      </c>
      <c r="J15" s="19">
        <v>-55.337980000000002</v>
      </c>
      <c r="K15" s="19">
        <v>-55.581909999999993</v>
      </c>
      <c r="L15" s="9">
        <f t="shared" si="0"/>
        <v>-55.427364444444457</v>
      </c>
      <c r="M15" s="21">
        <f t="shared" si="1"/>
        <v>0.29382964414818241</v>
      </c>
      <c r="S15" s="35" t="s">
        <v>22</v>
      </c>
      <c r="U15" s="41" t="s">
        <v>82</v>
      </c>
      <c r="V15" s="41"/>
      <c r="W15" s="57" t="s">
        <v>83</v>
      </c>
      <c r="X15" s="57"/>
    </row>
    <row r="16" spans="2:24" ht="15" thickBot="1" x14ac:dyDescent="0.25">
      <c r="B16" s="97">
        <v>14</v>
      </c>
      <c r="C16" s="18">
        <v>-54.844769999999997</v>
      </c>
      <c r="D16" s="19">
        <v>-55.706680000000006</v>
      </c>
      <c r="E16" s="19">
        <v>-55.072299999999998</v>
      </c>
      <c r="F16" s="19">
        <v>-55.698930000000004</v>
      </c>
      <c r="G16" s="23">
        <v>-55.276060000000001</v>
      </c>
      <c r="H16" s="19">
        <v>-55.760120000000001</v>
      </c>
      <c r="I16" s="19">
        <v>-55.482100000000003</v>
      </c>
      <c r="J16" s="19">
        <v>-55.32544</v>
      </c>
      <c r="K16" s="19">
        <v>-55.570300000000003</v>
      </c>
      <c r="L16" s="9">
        <f t="shared" si="0"/>
        <v>-55.415188888888892</v>
      </c>
      <c r="M16" s="21">
        <f t="shared" si="1"/>
        <v>0.29502397655650153</v>
      </c>
      <c r="S16" s="42">
        <f>SUM(X4:X13)</f>
        <v>9.5528424375399851E-2</v>
      </c>
      <c r="V16" s="72">
        <f>SQRT(S17)</f>
        <v>0.3090767218669177</v>
      </c>
      <c r="W16" s="65"/>
      <c r="X16" s="72">
        <f>V16*2</f>
        <v>0.61815344373383541</v>
      </c>
    </row>
    <row r="17" spans="2:24" x14ac:dyDescent="0.2">
      <c r="B17" s="96">
        <v>15</v>
      </c>
      <c r="C17" s="18">
        <v>-54.853210000000004</v>
      </c>
      <c r="D17" s="19">
        <v>-55.717770000000002</v>
      </c>
      <c r="E17" s="19">
        <v>-55.06523</v>
      </c>
      <c r="F17" s="19">
        <v>-55.686580000000006</v>
      </c>
      <c r="G17" s="23">
        <v>-55.273759999999996</v>
      </c>
      <c r="H17" s="19">
        <v>-55.759249999999994</v>
      </c>
      <c r="I17" s="19">
        <v>-55.478300000000004</v>
      </c>
      <c r="J17" s="19">
        <v>-55.328379999999996</v>
      </c>
      <c r="K17" s="19">
        <v>-55.573589999999996</v>
      </c>
      <c r="L17" s="9">
        <f t="shared" si="0"/>
        <v>-55.415118888888884</v>
      </c>
      <c r="M17" s="21">
        <f t="shared" si="1"/>
        <v>0.29410689698529796</v>
      </c>
      <c r="S17" s="42">
        <f>ROUND(S16,8)</f>
        <v>9.5528420000000003E-2</v>
      </c>
      <c r="V17" s="72">
        <f>ROUND(V16,3)</f>
        <v>0.309</v>
      </c>
      <c r="W17" s="65"/>
      <c r="X17" s="72">
        <f>ROUND(X16,3)</f>
        <v>0.61799999999999999</v>
      </c>
    </row>
    <row r="18" spans="2:24" ht="15" thickBot="1" x14ac:dyDescent="0.25">
      <c r="B18" s="97">
        <v>16</v>
      </c>
      <c r="C18" s="18">
        <v>-54.860110000000006</v>
      </c>
      <c r="D18" s="19">
        <v>-55.714479999999995</v>
      </c>
      <c r="E18" s="19">
        <v>-55.075270000000003</v>
      </c>
      <c r="F18" s="19">
        <v>-55.695139999999995</v>
      </c>
      <c r="G18" s="23">
        <v>-55.292919999999995</v>
      </c>
      <c r="H18" s="19">
        <v>-55.768829999999994</v>
      </c>
      <c r="I18" s="19">
        <v>-55.479709999999997</v>
      </c>
      <c r="J18" s="19">
        <v>-55.333789999999993</v>
      </c>
      <c r="K18" s="19">
        <v>-55.577560000000005</v>
      </c>
      <c r="L18" s="9">
        <f t="shared" si="0"/>
        <v>-55.421978888888887</v>
      </c>
      <c r="M18" s="21">
        <f t="shared" si="1"/>
        <v>0.29218622830290075</v>
      </c>
      <c r="W18" s="56"/>
      <c r="X18" s="56"/>
    </row>
    <row r="19" spans="2:24" x14ac:dyDescent="0.2">
      <c r="B19" s="96">
        <v>17</v>
      </c>
      <c r="C19" s="18">
        <v>-54.862030000000004</v>
      </c>
      <c r="D19" s="19">
        <v>-55.709209999999999</v>
      </c>
      <c r="E19" s="19">
        <v>-55.071309999999997</v>
      </c>
      <c r="F19" s="19">
        <v>-55.693619999999996</v>
      </c>
      <c r="G19" s="23">
        <v>-55.284930000000003</v>
      </c>
      <c r="H19" s="19">
        <v>-55.762590000000003</v>
      </c>
      <c r="I19" s="19">
        <v>-55.470209999999994</v>
      </c>
      <c r="J19" s="19">
        <v>-55.330290000000005</v>
      </c>
      <c r="K19" s="19">
        <v>-55.572220000000002</v>
      </c>
      <c r="L19" s="9">
        <f t="shared" si="0"/>
        <v>-55.417378888888884</v>
      </c>
      <c r="M19" s="21">
        <f t="shared" si="1"/>
        <v>0.29073000133550481</v>
      </c>
      <c r="O19" s="292" t="s">
        <v>36</v>
      </c>
      <c r="W19" s="56"/>
      <c r="X19" s="56"/>
    </row>
    <row r="20" spans="2:24" ht="15" thickBot="1" x14ac:dyDescent="0.25">
      <c r="B20" s="97">
        <v>18</v>
      </c>
      <c r="C20" s="18">
        <v>-54.867199999999997</v>
      </c>
      <c r="D20" s="19">
        <v>-55.715710000000001</v>
      </c>
      <c r="E20" s="19">
        <v>-55.072109999999995</v>
      </c>
      <c r="F20" s="19">
        <v>-55.696179999999998</v>
      </c>
      <c r="G20" s="23">
        <v>-55.286869999999993</v>
      </c>
      <c r="H20" s="19">
        <v>-55.766970000000001</v>
      </c>
      <c r="I20" s="19">
        <v>-55.487049999999996</v>
      </c>
      <c r="J20" s="19">
        <v>-55.338610000000003</v>
      </c>
      <c r="K20" s="19">
        <v>-55.578810000000004</v>
      </c>
      <c r="L20" s="9">
        <f t="shared" si="0"/>
        <v>-55.423278888888895</v>
      </c>
      <c r="M20" s="21">
        <f t="shared" si="1"/>
        <v>0.2914886613172874</v>
      </c>
      <c r="W20" s="56"/>
      <c r="X20" s="56"/>
    </row>
    <row r="21" spans="2:24" x14ac:dyDescent="0.2">
      <c r="B21" s="96">
        <v>19</v>
      </c>
      <c r="C21" s="18">
        <v>-54.885850000000005</v>
      </c>
      <c r="D21" s="19">
        <v>-55.731260000000006</v>
      </c>
      <c r="E21" s="19">
        <v>-55.077309999999997</v>
      </c>
      <c r="F21" s="19">
        <v>-55.702100000000002</v>
      </c>
      <c r="G21" s="23">
        <v>-55.288650000000004</v>
      </c>
      <c r="H21" s="19">
        <v>-55.769779999999997</v>
      </c>
      <c r="I21" s="19">
        <v>-55.496600000000001</v>
      </c>
      <c r="J21" s="19">
        <v>-55.343770000000006</v>
      </c>
      <c r="K21" s="19">
        <v>-55.586929999999995</v>
      </c>
      <c r="L21" s="9">
        <f t="shared" si="0"/>
        <v>-55.431361111111116</v>
      </c>
      <c r="M21" s="21">
        <f t="shared" si="1"/>
        <v>0.2900569391015963</v>
      </c>
      <c r="O21" s="63" t="s">
        <v>23</v>
      </c>
      <c r="S21" s="2" t="s">
        <v>7</v>
      </c>
      <c r="T21" s="2" t="s">
        <v>8</v>
      </c>
      <c r="U21" s="2" t="s">
        <v>9</v>
      </c>
      <c r="V21" s="2" t="s">
        <v>10</v>
      </c>
      <c r="W21" s="57" t="s">
        <v>11</v>
      </c>
      <c r="X21" s="58" t="s">
        <v>12</v>
      </c>
    </row>
    <row r="22" spans="2:24" ht="15" thickBot="1" x14ac:dyDescent="0.25">
      <c r="B22" s="97">
        <v>20</v>
      </c>
      <c r="C22" s="18">
        <v>-54.900530000000003</v>
      </c>
      <c r="D22" s="19">
        <v>-55.739360000000005</v>
      </c>
      <c r="E22" s="19">
        <v>-55.090500000000006</v>
      </c>
      <c r="F22" s="19">
        <v>-55.716679999999997</v>
      </c>
      <c r="G22" s="23">
        <v>-55.308890000000005</v>
      </c>
      <c r="H22" s="19">
        <v>-55.787199999999999</v>
      </c>
      <c r="I22" s="19">
        <v>-55.514009999999999</v>
      </c>
      <c r="J22" s="19">
        <v>-55.351500000000001</v>
      </c>
      <c r="K22" s="19">
        <v>-55.597520000000003</v>
      </c>
      <c r="L22" s="9">
        <f t="shared" si="0"/>
        <v>-55.445132222222213</v>
      </c>
      <c r="M22" s="21">
        <f t="shared" si="1"/>
        <v>0.28962988990847288</v>
      </c>
      <c r="O22" s="64">
        <f>MAX(C34:K34)</f>
        <v>1.6305740366168459E-2</v>
      </c>
      <c r="S22" s="2" t="str">
        <f>indeter_MI!B16</f>
        <v>Поверка</v>
      </c>
      <c r="T22" s="2">
        <f>indeter_MI!C16</f>
        <v>0.1</v>
      </c>
      <c r="U22" s="2" t="str">
        <f>indeter_MI!D16</f>
        <v>Нормальное</v>
      </c>
      <c r="V22" s="2">
        <f>indeter_MI!E16</f>
        <v>2</v>
      </c>
      <c r="W22" s="59">
        <f>T22/V22</f>
        <v>0.05</v>
      </c>
      <c r="X22" s="59">
        <f t="shared" ref="X22:X29" si="4">W22*W22</f>
        <v>2.5000000000000005E-3</v>
      </c>
    </row>
    <row r="23" spans="2:24" x14ac:dyDescent="0.2">
      <c r="B23" s="96">
        <v>21</v>
      </c>
      <c r="C23" s="18">
        <v>-54.90558</v>
      </c>
      <c r="D23" s="19">
        <v>-55.737260000000006</v>
      </c>
      <c r="E23" s="19">
        <v>-55.098370000000003</v>
      </c>
      <c r="F23" s="19">
        <v>-55.719130000000007</v>
      </c>
      <c r="G23" s="23">
        <v>-55.310760000000002</v>
      </c>
      <c r="H23" s="19">
        <v>-55.788979999999995</v>
      </c>
      <c r="I23" s="19">
        <v>-55.519670000000005</v>
      </c>
      <c r="J23" s="19">
        <v>-55.353989999999996</v>
      </c>
      <c r="K23" s="19">
        <v>-55.59939</v>
      </c>
      <c r="L23" s="9">
        <f t="shared" si="0"/>
        <v>-55.448125555555556</v>
      </c>
      <c r="M23" s="21">
        <f t="shared" si="1"/>
        <v>0.28783460818521472</v>
      </c>
      <c r="S23" s="2" t="str">
        <f>indeter_MI!B17</f>
        <v>Повторяемость*</v>
      </c>
      <c r="T23" s="2">
        <f>indeter_MI!C17</f>
        <v>0.01</v>
      </c>
      <c r="U23" s="2" t="str">
        <f>indeter_MI!D17</f>
        <v>Нормальное</v>
      </c>
      <c r="V23" s="2">
        <f>indeter_MI!E17</f>
        <v>1</v>
      </c>
      <c r="W23" s="59">
        <f t="shared" ref="W23:W28" si="5">T23/V23</f>
        <v>0.01</v>
      </c>
      <c r="X23" s="59">
        <f t="shared" si="4"/>
        <v>1E-4</v>
      </c>
    </row>
    <row r="24" spans="2:24" ht="15" thickBot="1" x14ac:dyDescent="0.25">
      <c r="B24" s="97">
        <v>22</v>
      </c>
      <c r="C24" s="18">
        <v>-54.885409999999993</v>
      </c>
      <c r="D24" s="19">
        <v>-55.717709999999997</v>
      </c>
      <c r="E24" s="19">
        <v>-55.096329999999995</v>
      </c>
      <c r="F24" s="19">
        <v>-55.714519999999993</v>
      </c>
      <c r="G24" s="23">
        <v>-55.296539999999993</v>
      </c>
      <c r="H24" s="19">
        <v>-55.777479999999997</v>
      </c>
      <c r="I24" s="19">
        <v>-55.491579999999999</v>
      </c>
      <c r="J24" s="19">
        <v>-55.341719999999995</v>
      </c>
      <c r="K24" s="19">
        <v>-55.587569999999999</v>
      </c>
      <c r="L24" s="9">
        <f t="shared" si="0"/>
        <v>-55.434317777777778</v>
      </c>
      <c r="M24" s="21">
        <f t="shared" si="1"/>
        <v>0.28798968043925949</v>
      </c>
      <c r="S24" s="2" t="str">
        <f>indeter_MI!B18</f>
        <v>Гистерезис</v>
      </c>
      <c r="T24" s="2">
        <f>indeter_MI!C18</f>
        <v>0.01</v>
      </c>
      <c r="U24" s="2" t="str">
        <f>indeter_MI!D18</f>
        <v>Прямоугольное</v>
      </c>
      <c r="V24" s="2">
        <f>indeter_MI!E18</f>
        <v>1.73</v>
      </c>
      <c r="W24" s="59">
        <f t="shared" si="5"/>
        <v>5.7803468208092491E-3</v>
      </c>
      <c r="X24" s="59">
        <f t="shared" si="4"/>
        <v>3.3412409368839592E-5</v>
      </c>
    </row>
    <row r="25" spans="2:24" x14ac:dyDescent="0.2">
      <c r="B25" s="96">
        <v>23</v>
      </c>
      <c r="C25" s="18">
        <v>-54.868480000000005</v>
      </c>
      <c r="D25" s="19">
        <v>-55.699539999999999</v>
      </c>
      <c r="E25" s="19">
        <v>-55.082260000000005</v>
      </c>
      <c r="F25" s="19">
        <v>-55.700530000000001</v>
      </c>
      <c r="G25" s="23">
        <v>-55.271699999999996</v>
      </c>
      <c r="H25" s="19">
        <v>-55.754909999999995</v>
      </c>
      <c r="I25" s="19">
        <v>-55.476849999999999</v>
      </c>
      <c r="J25" s="19">
        <v>-55.328969999999998</v>
      </c>
      <c r="K25" s="19">
        <v>-55.573359999999994</v>
      </c>
      <c r="L25" s="9">
        <f t="shared" si="0"/>
        <v>-55.417400000000008</v>
      </c>
      <c r="M25" s="21">
        <f t="shared" si="1"/>
        <v>0.28755999211758443</v>
      </c>
      <c r="S25" s="2" t="str">
        <f>indeter_MI!B19</f>
        <v>Влияние температуры</v>
      </c>
      <c r="T25" s="2">
        <f>indeter_MI!C19</f>
        <v>0.01</v>
      </c>
      <c r="U25" s="2" t="str">
        <f>indeter_MI!D19</f>
        <v>Прямоугольное</v>
      </c>
      <c r="V25" s="2">
        <f>indeter_MI!E19</f>
        <v>1.73</v>
      </c>
      <c r="W25" s="59">
        <f t="shared" si="5"/>
        <v>5.7803468208092491E-3</v>
      </c>
      <c r="X25" s="59">
        <f t="shared" si="4"/>
        <v>3.3412409368839592E-5</v>
      </c>
    </row>
    <row r="26" spans="2:24" ht="15" thickBot="1" x14ac:dyDescent="0.25">
      <c r="B26" s="97">
        <v>24</v>
      </c>
      <c r="C26" s="18">
        <v>-54.858699999999999</v>
      </c>
      <c r="D26" s="19">
        <v>-55.692490000000006</v>
      </c>
      <c r="E26" s="19">
        <v>-55.065430000000006</v>
      </c>
      <c r="F26" s="19">
        <v>-55.682400000000001</v>
      </c>
      <c r="G26" s="23">
        <v>-55.251649999999998</v>
      </c>
      <c r="H26" s="19">
        <v>-55.738039999999998</v>
      </c>
      <c r="I26" s="19">
        <v>-55.465360000000004</v>
      </c>
      <c r="J26" s="19">
        <v>-55.312939999999998</v>
      </c>
      <c r="K26" s="19">
        <v>-55.562929999999994</v>
      </c>
      <c r="L26" s="9">
        <f t="shared" si="0"/>
        <v>-55.403326666666679</v>
      </c>
      <c r="M26" s="21">
        <f t="shared" si="1"/>
        <v>0.28767644958258998</v>
      </c>
      <c r="S26" s="2" t="str">
        <f>indeter_MI!B20</f>
        <v>Дрейф*</v>
      </c>
      <c r="T26" s="2">
        <f>indeter_MI!C20</f>
        <v>0.1</v>
      </c>
      <c r="U26" s="2" t="str">
        <f>indeter_MI!D20</f>
        <v>Прямоугольное</v>
      </c>
      <c r="V26" s="2">
        <f>indeter_MI!E20</f>
        <v>1.73</v>
      </c>
      <c r="W26" s="59">
        <f t="shared" si="5"/>
        <v>5.7803468208092491E-2</v>
      </c>
      <c r="X26" s="59">
        <f t="shared" si="4"/>
        <v>3.3412409368839594E-3</v>
      </c>
    </row>
    <row r="27" spans="2:24" x14ac:dyDescent="0.2">
      <c r="B27" s="96">
        <v>25</v>
      </c>
      <c r="C27" s="18">
        <v>-54.866789999999995</v>
      </c>
      <c r="D27" s="19">
        <v>-55.710710000000006</v>
      </c>
      <c r="E27" s="19">
        <v>-55.058700000000002</v>
      </c>
      <c r="F27" s="19">
        <v>-55.682159999999996</v>
      </c>
      <c r="G27" s="23">
        <v>-55.266570000000002</v>
      </c>
      <c r="H27" s="19">
        <v>-55.748900000000006</v>
      </c>
      <c r="I27" s="19">
        <v>-55.47148</v>
      </c>
      <c r="J27" s="19">
        <v>-55.323130000000006</v>
      </c>
      <c r="K27" s="19">
        <v>-55.571899999999999</v>
      </c>
      <c r="L27" s="9">
        <f t="shared" si="0"/>
        <v>-55.411148888888889</v>
      </c>
      <c r="M27" s="21">
        <f t="shared" si="1"/>
        <v>0.28981558436911364</v>
      </c>
      <c r="S27" s="2" t="str">
        <f>indeter_MI!B21</f>
        <v>Линейность</v>
      </c>
      <c r="T27" s="2">
        <f>indeter_MI!C21</f>
        <v>0.02</v>
      </c>
      <c r="U27" s="2" t="str">
        <f>indeter_MI!D21</f>
        <v>Прямоугольное</v>
      </c>
      <c r="V27" s="2">
        <f>indeter_MI!E21</f>
        <v>1.73</v>
      </c>
      <c r="W27" s="59">
        <f t="shared" si="5"/>
        <v>1.1560693641618498E-2</v>
      </c>
      <c r="X27" s="59">
        <f t="shared" si="4"/>
        <v>1.3364963747535837E-4</v>
      </c>
    </row>
    <row r="28" spans="2:24" ht="15" thickBot="1" x14ac:dyDescent="0.25">
      <c r="B28" s="97">
        <v>26</v>
      </c>
      <c r="C28" s="18">
        <v>-54.873500000000007</v>
      </c>
      <c r="D28" s="19">
        <v>-55.73151</v>
      </c>
      <c r="E28" s="19">
        <v>-55.072599999999994</v>
      </c>
      <c r="F28" s="19">
        <v>-55.69932</v>
      </c>
      <c r="G28" s="23">
        <v>-55.290080000000003</v>
      </c>
      <c r="H28" s="19">
        <v>-55.769779999999997</v>
      </c>
      <c r="I28" s="19">
        <v>-55.487899999999996</v>
      </c>
      <c r="J28" s="19">
        <v>-55.339219999999997</v>
      </c>
      <c r="K28" s="19">
        <v>-55.581940000000003</v>
      </c>
      <c r="L28" s="9">
        <f t="shared" si="0"/>
        <v>-55.427316666666655</v>
      </c>
      <c r="M28" s="21">
        <f t="shared" si="1"/>
        <v>0.29259585073385108</v>
      </c>
      <c r="S28" s="2" t="str">
        <f>indeter_MI!B22</f>
        <v>Разрешающая способность</v>
      </c>
      <c r="T28" s="2">
        <f>indeter_MI!C22</f>
        <v>0.01</v>
      </c>
      <c r="U28" s="2" t="str">
        <f>indeter_MI!D22</f>
        <v>Прямоугольное</v>
      </c>
      <c r="V28" s="2">
        <f>indeter_MI!E22</f>
        <v>1.73</v>
      </c>
      <c r="W28" s="59">
        <f t="shared" si="5"/>
        <v>5.7803468208092491E-3</v>
      </c>
      <c r="X28" s="59">
        <f t="shared" si="4"/>
        <v>3.3412409368839592E-5</v>
      </c>
    </row>
    <row r="29" spans="2:24" x14ac:dyDescent="0.2">
      <c r="B29" s="96">
        <v>27</v>
      </c>
      <c r="C29" s="18">
        <v>-54.891180000000006</v>
      </c>
      <c r="D29" s="19">
        <v>-55.739660000000001</v>
      </c>
      <c r="E29" s="19">
        <v>-55.083280000000002</v>
      </c>
      <c r="F29" s="19">
        <v>-55.713440000000006</v>
      </c>
      <c r="G29" s="23">
        <v>-55.306550000000001</v>
      </c>
      <c r="H29" s="19">
        <v>-55.78313</v>
      </c>
      <c r="I29" s="19">
        <v>-55.502880000000005</v>
      </c>
      <c r="J29" s="19">
        <v>-55.349000000000004</v>
      </c>
      <c r="K29" s="19">
        <v>-55.589489999999998</v>
      </c>
      <c r="L29" s="9">
        <f t="shared" si="0"/>
        <v>-55.439845555555557</v>
      </c>
      <c r="M29" s="21">
        <f t="shared" si="1"/>
        <v>0.29119431069347201</v>
      </c>
      <c r="S29" s="48" t="s">
        <v>21</v>
      </c>
      <c r="T29" s="49">
        <f>O22</f>
        <v>1.6305740366168459E-2</v>
      </c>
      <c r="U29" s="49" t="s">
        <v>13</v>
      </c>
      <c r="V29" s="16">
        <v>1</v>
      </c>
      <c r="W29" s="60">
        <f>T29/V29</f>
        <v>1.6305740366168459E-2</v>
      </c>
      <c r="X29" s="60">
        <f t="shared" si="4"/>
        <v>2.6587716888889552E-4</v>
      </c>
    </row>
    <row r="30" spans="2:24" ht="15" thickBot="1" x14ac:dyDescent="0.25">
      <c r="B30" s="97">
        <v>28</v>
      </c>
      <c r="C30" s="18">
        <v>-54.895510000000002</v>
      </c>
      <c r="D30" s="19">
        <v>-55.731030000000004</v>
      </c>
      <c r="E30" s="19">
        <v>-55.088610000000003</v>
      </c>
      <c r="F30" s="19">
        <v>-55.716769999999997</v>
      </c>
      <c r="G30" s="23">
        <v>-55.304839999999999</v>
      </c>
      <c r="H30" s="19">
        <v>-55.782560000000004</v>
      </c>
      <c r="I30" s="19">
        <v>-55.495180000000005</v>
      </c>
      <c r="J30" s="19">
        <v>-55.346350000000001</v>
      </c>
      <c r="K30" s="19">
        <v>-55.586100000000002</v>
      </c>
      <c r="L30" s="9">
        <f t="shared" si="0"/>
        <v>-55.438549999999999</v>
      </c>
      <c r="M30" s="21">
        <f t="shared" si="1"/>
        <v>0.28867540548743226</v>
      </c>
      <c r="X30" s="56"/>
    </row>
    <row r="31" spans="2:24" ht="15" thickBot="1" x14ac:dyDescent="0.25">
      <c r="B31" s="98">
        <v>29</v>
      </c>
      <c r="C31" s="18">
        <v>-54.905010000000004</v>
      </c>
      <c r="D31" s="19">
        <v>-55.73433</v>
      </c>
      <c r="E31" s="19">
        <v>-55.090410000000006</v>
      </c>
      <c r="F31" s="19">
        <v>-55.712050000000005</v>
      </c>
      <c r="G31" s="23">
        <v>-55.296310000000005</v>
      </c>
      <c r="H31" s="19">
        <v>-55.776409999999998</v>
      </c>
      <c r="I31" s="19">
        <v>-55.496380000000002</v>
      </c>
      <c r="J31" s="19">
        <v>-55.343980000000002</v>
      </c>
      <c r="K31" s="19">
        <v>-55.583039999999997</v>
      </c>
      <c r="L31" s="9">
        <f t="shared" si="0"/>
        <v>-55.437546666666663</v>
      </c>
      <c r="M31" s="21">
        <f t="shared" si="1"/>
        <v>0.285908326527537</v>
      </c>
      <c r="S31" s="35" t="s">
        <v>22</v>
      </c>
      <c r="U31" s="41" t="s">
        <v>82</v>
      </c>
      <c r="V31" s="41"/>
      <c r="W31" s="41" t="s">
        <v>83</v>
      </c>
      <c r="X31" s="57"/>
    </row>
    <row r="32" spans="2:24" ht="15" thickBot="1" x14ac:dyDescent="0.25">
      <c r="B32" s="98">
        <v>30</v>
      </c>
      <c r="C32" s="18">
        <v>-54.896820000000005</v>
      </c>
      <c r="D32" s="19">
        <v>-55.721850000000003</v>
      </c>
      <c r="E32" s="19">
        <v>-55.095510000000004</v>
      </c>
      <c r="F32" s="19">
        <v>-55.712159999999997</v>
      </c>
      <c r="G32" s="23">
        <v>-55.295400000000001</v>
      </c>
      <c r="H32" s="19">
        <v>-55.774019999999993</v>
      </c>
      <c r="I32" s="19">
        <v>-55.491500000000002</v>
      </c>
      <c r="J32" s="19">
        <v>-55.347369999999998</v>
      </c>
      <c r="K32" s="19">
        <v>-55.579560000000001</v>
      </c>
      <c r="L32" s="9">
        <f t="shared" si="0"/>
        <v>-55.434910000000002</v>
      </c>
      <c r="M32" s="21">
        <f>_xlfn.STDEV.P(C32:K32)</f>
        <v>0.28483587254573028</v>
      </c>
      <c r="S32" s="42">
        <f>SUM(X22:X29)</f>
        <v>6.4410049713547321E-3</v>
      </c>
      <c r="V32" s="72">
        <f>SQRT(S32)</f>
        <v>8.0255871880845778E-2</v>
      </c>
      <c r="X32" s="72">
        <f>V32*2</f>
        <v>0.16051174376169156</v>
      </c>
    </row>
    <row r="33" spans="2:24" ht="19.5" thickBot="1" x14ac:dyDescent="0.4">
      <c r="B33" s="93" t="s">
        <v>40</v>
      </c>
      <c r="C33" s="30">
        <f>AVERAGE(C3:C32)</f>
        <v>-54.874226666666679</v>
      </c>
      <c r="D33" s="31">
        <f t="shared" ref="D33:K33" si="6">AVERAGE(D3:D32)</f>
        <v>-55.727653000000004</v>
      </c>
      <c r="E33" s="31">
        <f t="shared" si="6"/>
        <v>-55.083056666666678</v>
      </c>
      <c r="F33" s="31">
        <f t="shared" si="6"/>
        <v>-55.709283000000006</v>
      </c>
      <c r="G33" s="31">
        <f t="shared" si="6"/>
        <v>-55.29475333333334</v>
      </c>
      <c r="H33" s="31">
        <f t="shared" si="6"/>
        <v>-55.776009666666681</v>
      </c>
      <c r="I33" s="31">
        <f t="shared" si="6"/>
        <v>-55.490697666666662</v>
      </c>
      <c r="J33" s="31">
        <f t="shared" si="6"/>
        <v>-55.342177333333332</v>
      </c>
      <c r="K33" s="31">
        <f t="shared" si="6"/>
        <v>-55.585693666666664</v>
      </c>
      <c r="M33" s="177"/>
      <c r="S33" s="42">
        <f>ROUND(S32,8)</f>
        <v>6.4409999999999997E-3</v>
      </c>
      <c r="V33" s="72">
        <f>ROUND(V32,3)</f>
        <v>0.08</v>
      </c>
      <c r="X33" s="72">
        <f>ROUND(X32,3)</f>
        <v>0.161</v>
      </c>
    </row>
    <row r="34" spans="2:24" ht="19.5" thickBot="1" x14ac:dyDescent="0.4">
      <c r="B34" s="93" t="s">
        <v>39</v>
      </c>
      <c r="C34" s="27">
        <f>_xlfn.STDEV.P(C3:C32)</f>
        <v>1.5860574040333721E-2</v>
      </c>
      <c r="D34" s="22">
        <f t="shared" ref="D34:K34" si="7">_xlfn.STDEV.P(D3:D32)</f>
        <v>1.5170173180729326E-2</v>
      </c>
      <c r="E34" s="22">
        <f t="shared" si="7"/>
        <v>1.1131499250126643E-2</v>
      </c>
      <c r="F34" s="22">
        <f t="shared" si="7"/>
        <v>1.4553187543169914E-2</v>
      </c>
      <c r="G34" s="22">
        <f t="shared" si="7"/>
        <v>1.6305740366168459E-2</v>
      </c>
      <c r="H34" s="22">
        <f t="shared" si="7"/>
        <v>1.5348389379852499E-2</v>
      </c>
      <c r="I34" s="22">
        <f t="shared" si="7"/>
        <v>1.3215685045514E-2</v>
      </c>
      <c r="J34" s="22">
        <f t="shared" si="7"/>
        <v>1.1730107681612445E-2</v>
      </c>
      <c r="K34" s="22">
        <f t="shared" si="7"/>
        <v>1.0379625068160073E-2</v>
      </c>
      <c r="L34" s="65"/>
    </row>
    <row r="35" spans="2:24" ht="19.5" thickBot="1" x14ac:dyDescent="0.4">
      <c r="B35" s="93" t="s">
        <v>52</v>
      </c>
      <c r="C35" s="11">
        <f>MAX(C3:C32)-C33</f>
        <v>2.9456666666682452E-2</v>
      </c>
      <c r="D35" s="12">
        <f t="shared" ref="D35:K35" si="8">MAX(D3:D32)-D33</f>
        <v>3.5162999999997169E-2</v>
      </c>
      <c r="E35" s="12">
        <f t="shared" si="8"/>
        <v>2.4356666666676574E-2</v>
      </c>
      <c r="F35" s="12">
        <f t="shared" si="8"/>
        <v>2.7123000000010222E-2</v>
      </c>
      <c r="G35" s="24">
        <f t="shared" si="8"/>
        <v>4.3103333333341709E-2</v>
      </c>
      <c r="H35" s="12">
        <f t="shared" si="8"/>
        <v>3.7969666666683111E-2</v>
      </c>
      <c r="I35" s="12">
        <f t="shared" si="8"/>
        <v>2.5337666666658265E-2</v>
      </c>
      <c r="J35" s="12">
        <f t="shared" si="8"/>
        <v>2.9237333333334448E-2</v>
      </c>
      <c r="K35" s="12">
        <f t="shared" si="8"/>
        <v>2.2763666666669735E-2</v>
      </c>
    </row>
    <row r="36" spans="2:24" ht="19.5" thickBot="1" x14ac:dyDescent="0.4">
      <c r="B36" s="93" t="s">
        <v>51</v>
      </c>
      <c r="C36" s="11">
        <f>C33-MIN(C3:C32)</f>
        <v>3.1353333333321132E-2</v>
      </c>
      <c r="D36" s="12">
        <f t="shared" ref="D36:K36" si="9">D33-MIN(D3:D32)</f>
        <v>2.568699999999069E-2</v>
      </c>
      <c r="E36" s="12">
        <f t="shared" si="9"/>
        <v>2.2153333333321257E-2</v>
      </c>
      <c r="F36" s="12">
        <f t="shared" si="9"/>
        <v>3.3746999999998195E-2</v>
      </c>
      <c r="G36" s="24">
        <f t="shared" si="9"/>
        <v>2.9876666666659446E-2</v>
      </c>
      <c r="H36" s="12">
        <f t="shared" si="9"/>
        <v>2.4490333333318404E-2</v>
      </c>
      <c r="I36" s="12">
        <f t="shared" si="9"/>
        <v>2.8972333333342704E-2</v>
      </c>
      <c r="J36" s="12">
        <f t="shared" si="9"/>
        <v>2.228266666666201E-2</v>
      </c>
      <c r="K36" s="12">
        <f t="shared" si="9"/>
        <v>1.693633333334077E-2</v>
      </c>
    </row>
    <row r="37" spans="2:24" ht="20.25" thickBot="1" x14ac:dyDescent="0.4">
      <c r="B37" s="94" t="s">
        <v>44</v>
      </c>
      <c r="C37" s="14">
        <f>(C35+C36)/2</f>
        <v>3.0405000000001792E-2</v>
      </c>
      <c r="D37" s="15">
        <f t="shared" ref="D37:K37" si="10">(D35+D36)/2</f>
        <v>3.0424999999993929E-2</v>
      </c>
      <c r="E37" s="15">
        <f t="shared" si="10"/>
        <v>2.3254999999998915E-2</v>
      </c>
      <c r="F37" s="15">
        <f t="shared" si="10"/>
        <v>3.0435000000004209E-2</v>
      </c>
      <c r="G37" s="15">
        <f t="shared" si="10"/>
        <v>3.6490000000000578E-2</v>
      </c>
      <c r="H37" s="15">
        <f t="shared" si="10"/>
        <v>3.1230000000000757E-2</v>
      </c>
      <c r="I37" s="15">
        <f t="shared" si="10"/>
        <v>2.7155000000000484E-2</v>
      </c>
      <c r="J37" s="15">
        <f t="shared" si="10"/>
        <v>2.5759999999998229E-2</v>
      </c>
      <c r="K37" s="15">
        <f t="shared" si="10"/>
        <v>1.9850000000005252E-2</v>
      </c>
    </row>
    <row r="38" spans="2:24" ht="19.5" thickBot="1" x14ac:dyDescent="0.4">
      <c r="B38" s="95" t="s">
        <v>43</v>
      </c>
      <c r="C38" s="43">
        <f>C33-$G33</f>
        <v>0.42052666666666028</v>
      </c>
      <c r="D38" s="13">
        <f t="shared" ref="D38:K38" si="11">D33-$G33</f>
        <v>-0.43289966666666402</v>
      </c>
      <c r="E38" s="13">
        <f t="shared" si="11"/>
        <v>0.21169666666666132</v>
      </c>
      <c r="F38" s="13">
        <f t="shared" si="11"/>
        <v>-0.41452966666666669</v>
      </c>
      <c r="G38" s="13">
        <f>G33-$G33</f>
        <v>0</v>
      </c>
      <c r="H38" s="13">
        <f t="shared" si="11"/>
        <v>-0.4812563333333415</v>
      </c>
      <c r="I38" s="13">
        <f t="shared" si="11"/>
        <v>-0.19594433333332262</v>
      </c>
      <c r="J38" s="13">
        <f t="shared" si="11"/>
        <v>-4.7423999999992361E-2</v>
      </c>
      <c r="K38" s="13">
        <f t="shared" si="11"/>
        <v>-0.29094033333332447</v>
      </c>
    </row>
    <row r="39" spans="2:24" ht="18.75" x14ac:dyDescent="0.35">
      <c r="B39" s="99" t="s">
        <v>45</v>
      </c>
      <c r="C39" s="45">
        <v>-55</v>
      </c>
    </row>
    <row r="40" spans="2:24" ht="18.75" x14ac:dyDescent="0.2">
      <c r="B40" s="100" t="s">
        <v>46</v>
      </c>
      <c r="C40" s="44">
        <f>AVERAGE(C3:K32)</f>
        <v>-55.431505666666681</v>
      </c>
    </row>
    <row r="41" spans="2:24" ht="18.75" x14ac:dyDescent="0.2">
      <c r="B41" s="101" t="s">
        <v>47</v>
      </c>
      <c r="C41" s="28">
        <f>C40-C39</f>
        <v>-0.43150566666668055</v>
      </c>
    </row>
    <row r="42" spans="2:24" ht="18.75" x14ac:dyDescent="0.2">
      <c r="B42" s="102" t="s">
        <v>48</v>
      </c>
      <c r="C42" s="29">
        <f>MAX(C33:K33)-MIN(C33:K33)</f>
        <v>0.90178300000000178</v>
      </c>
      <c r="D42" s="65"/>
    </row>
    <row r="43" spans="2:24" ht="18.75" x14ac:dyDescent="0.2">
      <c r="B43" s="103" t="s">
        <v>49</v>
      </c>
      <c r="C43" s="32">
        <f>MAX(C38:K38)</f>
        <v>0.42052666666666028</v>
      </c>
    </row>
    <row r="44" spans="2:24" x14ac:dyDescent="0.2">
      <c r="B44" s="104"/>
      <c r="C44" s="32">
        <f>MIN(C38:K38)</f>
        <v>-0.4812563333333415</v>
      </c>
    </row>
    <row r="45" spans="2:24" ht="18.75" x14ac:dyDescent="0.2">
      <c r="B45" s="105" t="s">
        <v>50</v>
      </c>
      <c r="C45" s="182">
        <f>AVERAGE(C37:K37)</f>
        <v>2.8333888888889349E-2</v>
      </c>
      <c r="D45" s="178"/>
      <c r="E45" s="178"/>
      <c r="F45" s="178"/>
      <c r="G45" s="178"/>
      <c r="H45" s="178"/>
      <c r="I45" s="178"/>
      <c r="J45" s="178"/>
      <c r="K45" s="178"/>
    </row>
    <row r="46" spans="2:24" ht="18.75" x14ac:dyDescent="0.35">
      <c r="B46" s="180" t="s">
        <v>259</v>
      </c>
      <c r="C46" s="181">
        <f>_xlfn.STDEV.P(C3:K32)</f>
        <v>0.29273049864533746</v>
      </c>
    </row>
    <row r="47" spans="2:24" x14ac:dyDescent="0.2">
      <c r="C47" s="179"/>
      <c r="D47" s="179"/>
      <c r="E47" s="179"/>
      <c r="F47" s="179"/>
      <c r="G47" s="179"/>
      <c r="H47" s="179"/>
      <c r="I47" s="179"/>
      <c r="J47" s="179"/>
      <c r="K47" s="179"/>
    </row>
  </sheetData>
  <pageMargins left="0.7" right="0.7" top="0.75" bottom="0.75" header="0.3" footer="0.3"/>
  <pageSetup paperSize="9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Лист21"/>
  <dimension ref="B1:X47"/>
  <sheetViews>
    <sheetView zoomScale="55" zoomScaleNormal="55" workbookViewId="0">
      <selection activeCell="H46" sqref="H46"/>
    </sheetView>
  </sheetViews>
  <sheetFormatPr defaultRowHeight="14.25" x14ac:dyDescent="0.2"/>
  <cols>
    <col min="1" max="1" width="10.75" style="292" customWidth="1"/>
    <col min="2" max="2" width="6.25" style="292" customWidth="1"/>
    <col min="3" max="11" width="6" style="292" customWidth="1"/>
    <col min="12" max="12" width="8.875" style="292" customWidth="1"/>
    <col min="13" max="13" width="10" style="292" customWidth="1"/>
    <col min="14" max="14" width="4.875" style="292" customWidth="1"/>
    <col min="15" max="15" width="11.375" style="292" customWidth="1"/>
    <col min="16" max="16" width="11" style="292" customWidth="1"/>
    <col min="17" max="17" width="14.875" style="292" customWidth="1"/>
    <col min="18" max="18" width="5.5" style="292" customWidth="1"/>
    <col min="19" max="19" width="25.375" style="292" customWidth="1"/>
    <col min="20" max="20" width="12.375" style="292" customWidth="1"/>
    <col min="21" max="21" width="14.75" style="292" customWidth="1"/>
    <col min="22" max="22" width="9.75" style="292" customWidth="1"/>
    <col min="23" max="23" width="14.375" style="292" customWidth="1"/>
    <col min="24" max="24" width="28.25" style="292" customWidth="1"/>
    <col min="25" max="16384" width="9" style="292"/>
  </cols>
  <sheetData>
    <row r="1" spans="2:24" ht="15" thickBot="1" x14ac:dyDescent="0.25">
      <c r="O1" s="292" t="s">
        <v>6</v>
      </c>
    </row>
    <row r="2" spans="2:24" ht="19.5" thickBot="1" x14ac:dyDescent="0.4">
      <c r="B2" s="292" t="s">
        <v>29</v>
      </c>
      <c r="C2" s="3">
        <v>1</v>
      </c>
      <c r="D2" s="3">
        <v>2</v>
      </c>
      <c r="E2" s="3">
        <v>3</v>
      </c>
      <c r="F2" s="3">
        <v>4</v>
      </c>
      <c r="G2" s="4">
        <v>5</v>
      </c>
      <c r="H2" s="3">
        <v>6</v>
      </c>
      <c r="I2" s="3">
        <v>7</v>
      </c>
      <c r="J2" s="3">
        <v>8</v>
      </c>
      <c r="K2" s="5">
        <v>9</v>
      </c>
      <c r="L2" s="93" t="s">
        <v>41</v>
      </c>
      <c r="M2" s="8" t="s">
        <v>42</v>
      </c>
      <c r="O2" s="293" t="s">
        <v>24</v>
      </c>
    </row>
    <row r="3" spans="2:24" x14ac:dyDescent="0.2">
      <c r="B3" s="96">
        <v>1</v>
      </c>
      <c r="C3" s="18">
        <v>-34.86842</v>
      </c>
      <c r="D3" s="19">
        <v>-35.746399999999994</v>
      </c>
      <c r="E3" s="19">
        <v>-35.10521</v>
      </c>
      <c r="F3" s="20">
        <v>-35.743030000000005</v>
      </c>
      <c r="G3" s="23">
        <v>-35.322199999999995</v>
      </c>
      <c r="H3" s="19">
        <v>-35.8005</v>
      </c>
      <c r="I3" s="19">
        <v>-35.500879999999995</v>
      </c>
      <c r="J3" s="19">
        <v>-35.364459999999994</v>
      </c>
      <c r="K3" s="19">
        <v>-35.597840000000005</v>
      </c>
      <c r="L3" s="9">
        <f>AVERAGE(C3:K3)</f>
        <v>-35.449882222222222</v>
      </c>
      <c r="M3" s="21">
        <f>_xlfn.STDEV.P(C3:K3)</f>
        <v>0.29847398512276063</v>
      </c>
      <c r="O3" s="292" t="s">
        <v>4</v>
      </c>
      <c r="S3" s="2" t="s">
        <v>7</v>
      </c>
      <c r="T3" s="2" t="s">
        <v>8</v>
      </c>
      <c r="U3" s="2" t="s">
        <v>9</v>
      </c>
      <c r="V3" s="2" t="s">
        <v>10</v>
      </c>
      <c r="W3" s="41" t="s">
        <v>11</v>
      </c>
      <c r="X3" s="46" t="s">
        <v>12</v>
      </c>
    </row>
    <row r="4" spans="2:24" ht="15" thickBot="1" x14ac:dyDescent="0.25">
      <c r="B4" s="97">
        <v>2</v>
      </c>
      <c r="C4" s="18">
        <v>-34.860690000000005</v>
      </c>
      <c r="D4" s="19">
        <v>-35.72927</v>
      </c>
      <c r="E4" s="19">
        <v>-35.09572</v>
      </c>
      <c r="F4" s="19">
        <v>-35.727279999999993</v>
      </c>
      <c r="G4" s="23">
        <v>-35.300110000000004</v>
      </c>
      <c r="H4" s="19">
        <v>-35.782669999999996</v>
      </c>
      <c r="I4" s="19">
        <v>-35.486540000000005</v>
      </c>
      <c r="J4" s="19">
        <v>-35.348920000000007</v>
      </c>
      <c r="K4" s="19">
        <v>-35.589550000000003</v>
      </c>
      <c r="L4" s="9">
        <f t="shared" ref="L4:L32" si="0">AVERAGE(C4:K4)</f>
        <v>-35.435638888888889</v>
      </c>
      <c r="M4" s="21">
        <f t="shared" ref="M4:M31" si="1">_xlfn.STDEV.P(C4:K4)</f>
        <v>0.2962700032982068</v>
      </c>
      <c r="O4" s="17">
        <f>AVERAGE(C34:K34)</f>
        <v>1.3743886839518566E-2</v>
      </c>
      <c r="S4" s="2" t="str">
        <f>indeter_MI!B5</f>
        <v>Поверка</v>
      </c>
      <c r="T4" s="2">
        <f>indeter_MI!C5</f>
        <v>0.1</v>
      </c>
      <c r="U4" s="2" t="str">
        <f>indeter_MI!D5</f>
        <v>Нормальное</v>
      </c>
      <c r="V4" s="2">
        <f>indeter_MI!E5</f>
        <v>2</v>
      </c>
      <c r="W4" s="59">
        <f>T4/V4</f>
        <v>0.05</v>
      </c>
      <c r="X4" s="52">
        <f t="shared" ref="X4:X9" si="2">W4*W4</f>
        <v>2.5000000000000005E-3</v>
      </c>
    </row>
    <row r="5" spans="2:24" x14ac:dyDescent="0.2">
      <c r="B5" s="96">
        <v>3</v>
      </c>
      <c r="C5" s="18">
        <v>-34.867170000000002</v>
      </c>
      <c r="D5" s="19">
        <v>-35.735560000000007</v>
      </c>
      <c r="E5" s="19">
        <v>-35.081969999999998</v>
      </c>
      <c r="F5" s="19">
        <v>-35.713849999999994</v>
      </c>
      <c r="G5" s="23">
        <v>-35.290279999999996</v>
      </c>
      <c r="H5" s="19">
        <v>-35.780379999999994</v>
      </c>
      <c r="I5" s="19">
        <v>-35.481250000000003</v>
      </c>
      <c r="J5" s="19">
        <v>-35.340599999999995</v>
      </c>
      <c r="K5" s="19">
        <v>-35.592209999999994</v>
      </c>
      <c r="L5" s="9">
        <f t="shared" si="0"/>
        <v>-35.431474444444433</v>
      </c>
      <c r="M5" s="21">
        <f t="shared" si="1"/>
        <v>0.29646800266212325</v>
      </c>
      <c r="O5" s="292" t="s">
        <v>5</v>
      </c>
      <c r="S5" s="2" t="str">
        <f>indeter_MI!B6</f>
        <v>Повторяемость*</v>
      </c>
      <c r="T5" s="2">
        <f>indeter_MI!C6</f>
        <v>0.01</v>
      </c>
      <c r="U5" s="2" t="str">
        <f>indeter_MI!D6</f>
        <v>Нормальное</v>
      </c>
      <c r="V5" s="2">
        <f>indeter_MI!E6</f>
        <v>1</v>
      </c>
      <c r="W5" s="59">
        <f t="shared" ref="W5:W13" si="3">T5/V5</f>
        <v>0.01</v>
      </c>
      <c r="X5" s="52">
        <f t="shared" si="2"/>
        <v>1E-4</v>
      </c>
    </row>
    <row r="6" spans="2:24" ht="15" thickBot="1" x14ac:dyDescent="0.25">
      <c r="B6" s="97">
        <v>4</v>
      </c>
      <c r="C6" s="18">
        <v>-34.875309999999999</v>
      </c>
      <c r="D6" s="19">
        <v>-35.747420000000005</v>
      </c>
      <c r="E6" s="19">
        <v>-35.083539999999999</v>
      </c>
      <c r="F6" s="19">
        <v>-35.71875</v>
      </c>
      <c r="G6" s="23">
        <v>-35.308260000000004</v>
      </c>
      <c r="H6" s="19">
        <v>-35.793350000000004</v>
      </c>
      <c r="I6" s="19">
        <v>-35.499009999999998</v>
      </c>
      <c r="J6" s="19">
        <v>-35.346850000000003</v>
      </c>
      <c r="K6" s="19">
        <v>-35.596599999999995</v>
      </c>
      <c r="L6" s="9">
        <f t="shared" si="0"/>
        <v>-35.441010000000006</v>
      </c>
      <c r="M6" s="21">
        <f t="shared" si="1"/>
        <v>0.29758888091534086</v>
      </c>
      <c r="O6" s="17">
        <f>O4/(SQRT(270))</f>
        <v>8.3642631664474485E-4</v>
      </c>
      <c r="S6" s="2" t="str">
        <f>indeter_MI!B7</f>
        <v>Гистерезис</v>
      </c>
      <c r="T6" s="2">
        <f>indeter_MI!C7</f>
        <v>0.01</v>
      </c>
      <c r="U6" s="2" t="str">
        <f>indeter_MI!D7</f>
        <v>Прямоугольное</v>
      </c>
      <c r="V6" s="2">
        <f>indeter_MI!E7</f>
        <v>1.73</v>
      </c>
      <c r="W6" s="59">
        <f t="shared" si="3"/>
        <v>5.7803468208092491E-3</v>
      </c>
      <c r="X6" s="52">
        <f t="shared" si="2"/>
        <v>3.3412409368839592E-5</v>
      </c>
    </row>
    <row r="7" spans="2:24" x14ac:dyDescent="0.2">
      <c r="B7" s="96">
        <v>5</v>
      </c>
      <c r="C7" s="18">
        <v>-34.875500000000002</v>
      </c>
      <c r="D7" s="19">
        <v>-35.753339999999994</v>
      </c>
      <c r="E7" s="19">
        <v>-35.090209999999999</v>
      </c>
      <c r="F7" s="19">
        <v>-35.725390000000004</v>
      </c>
      <c r="G7" s="23">
        <v>-35.324629999999999</v>
      </c>
      <c r="H7" s="19">
        <v>-35.799930000000003</v>
      </c>
      <c r="I7" s="19">
        <v>-35.513109999999998</v>
      </c>
      <c r="J7" s="19">
        <v>-35.359650000000002</v>
      </c>
      <c r="K7" s="19">
        <v>-35.602630000000005</v>
      </c>
      <c r="L7" s="9">
        <f t="shared" si="0"/>
        <v>-35.449376666666666</v>
      </c>
      <c r="M7" s="21">
        <f t="shared" si="1"/>
        <v>0.29832140724765671</v>
      </c>
      <c r="S7" s="2" t="str">
        <f>indeter_MI!B8</f>
        <v>Влияние температуры</v>
      </c>
      <c r="T7" s="2">
        <f>indeter_MI!C8</f>
        <v>0.01</v>
      </c>
      <c r="U7" s="2" t="str">
        <f>indeter_MI!D8</f>
        <v>Прямоугольное</v>
      </c>
      <c r="V7" s="2">
        <f>indeter_MI!E8</f>
        <v>1.73</v>
      </c>
      <c r="W7" s="59">
        <f t="shared" si="3"/>
        <v>5.7803468208092491E-3</v>
      </c>
      <c r="X7" s="52">
        <f t="shared" si="2"/>
        <v>3.3412409368839592E-5</v>
      </c>
    </row>
    <row r="8" spans="2:24" ht="15" thickBot="1" x14ac:dyDescent="0.25">
      <c r="B8" s="97">
        <v>6</v>
      </c>
      <c r="C8" s="18">
        <v>-34.872969999999995</v>
      </c>
      <c r="D8" s="19">
        <v>-35.748230000000007</v>
      </c>
      <c r="E8" s="19">
        <v>-35.094290000000001</v>
      </c>
      <c r="F8" s="19">
        <v>-35.72833</v>
      </c>
      <c r="G8" s="23">
        <v>-35.317899999999995</v>
      </c>
      <c r="H8" s="19">
        <v>-35.796099999999996</v>
      </c>
      <c r="I8" s="19">
        <v>-35.508219999999994</v>
      </c>
      <c r="J8" s="19">
        <v>-35.358670000000004</v>
      </c>
      <c r="K8" s="19">
        <v>-35.599930000000001</v>
      </c>
      <c r="L8" s="9">
        <f t="shared" si="0"/>
        <v>-35.447182222222217</v>
      </c>
      <c r="M8" s="21">
        <f t="shared" si="1"/>
        <v>0.29763434877856448</v>
      </c>
      <c r="S8" s="2" t="str">
        <f>indeter_MI!B9</f>
        <v>Дрейф*</v>
      </c>
      <c r="T8" s="2">
        <f>indeter_MI!C9</f>
        <v>0.1</v>
      </c>
      <c r="U8" s="2" t="str">
        <f>indeter_MI!D9</f>
        <v>Прямоугольное</v>
      </c>
      <c r="V8" s="2">
        <f>indeter_MI!E9</f>
        <v>1.73</v>
      </c>
      <c r="W8" s="59">
        <f t="shared" si="3"/>
        <v>5.7803468208092491E-2</v>
      </c>
      <c r="X8" s="52">
        <f t="shared" si="2"/>
        <v>3.3412409368839594E-3</v>
      </c>
    </row>
    <row r="9" spans="2:24" x14ac:dyDescent="0.2">
      <c r="B9" s="96">
        <v>7</v>
      </c>
      <c r="C9" s="18">
        <v>-34.880629999999996</v>
      </c>
      <c r="D9" s="19">
        <v>-35.75027</v>
      </c>
      <c r="E9" s="19">
        <v>-35.090040000000002</v>
      </c>
      <c r="F9" s="19">
        <v>-35.725890000000007</v>
      </c>
      <c r="G9" s="23">
        <v>-35.309539999999998</v>
      </c>
      <c r="H9" s="19">
        <v>-35.793670000000006</v>
      </c>
      <c r="I9" s="19">
        <v>-35.499709999999993</v>
      </c>
      <c r="J9" s="19">
        <v>-35.357529999999997</v>
      </c>
      <c r="K9" s="19">
        <v>-35.59778</v>
      </c>
      <c r="L9" s="9">
        <f t="shared" si="0"/>
        <v>-35.445006666666671</v>
      </c>
      <c r="M9" s="21">
        <f t="shared" si="1"/>
        <v>0.29636785644420782</v>
      </c>
      <c r="O9" s="2" t="s">
        <v>0</v>
      </c>
      <c r="P9" s="2" t="s">
        <v>2</v>
      </c>
      <c r="Q9" s="2" t="s">
        <v>3</v>
      </c>
      <c r="S9" s="2" t="str">
        <f>indeter_MI!B10</f>
        <v>Линейность</v>
      </c>
      <c r="T9" s="2">
        <f>indeter_MI!C10</f>
        <v>0.02</v>
      </c>
      <c r="U9" s="2" t="str">
        <f>indeter_MI!D10</f>
        <v>Прямоугольное</v>
      </c>
      <c r="V9" s="2">
        <f>indeter_MI!E10</f>
        <v>1.73</v>
      </c>
      <c r="W9" s="59">
        <f t="shared" si="3"/>
        <v>1.1560693641618498E-2</v>
      </c>
      <c r="X9" s="52">
        <f t="shared" si="2"/>
        <v>1.3364963747535837E-4</v>
      </c>
    </row>
    <row r="10" spans="2:24" ht="15" thickBot="1" x14ac:dyDescent="0.25">
      <c r="B10" s="97">
        <v>8</v>
      </c>
      <c r="C10" s="18">
        <v>-34.881209999999996</v>
      </c>
      <c r="D10" s="19">
        <v>-35.742109999999997</v>
      </c>
      <c r="E10" s="19">
        <v>-35.091120000000004</v>
      </c>
      <c r="F10" s="19">
        <v>-35.724689999999995</v>
      </c>
      <c r="G10" s="23">
        <v>-35.303880000000007</v>
      </c>
      <c r="H10" s="19">
        <v>-35.792879999999997</v>
      </c>
      <c r="I10" s="19">
        <v>-35.493120000000005</v>
      </c>
      <c r="J10" s="19">
        <v>-35.352710000000002</v>
      </c>
      <c r="K10" s="19">
        <v>-35.598600000000005</v>
      </c>
      <c r="L10" s="9">
        <f t="shared" si="0"/>
        <v>-35.442257777777776</v>
      </c>
      <c r="M10" s="21">
        <f t="shared" si="1"/>
        <v>0.29531239127321701</v>
      </c>
      <c r="O10" s="38">
        <f>MAX(M3:M32)</f>
        <v>0.29847398512276063</v>
      </c>
      <c r="P10" s="51">
        <f>MAX(C34:K34)</f>
        <v>1.6305740366168459E-2</v>
      </c>
      <c r="Q10" s="50">
        <f>O6</f>
        <v>8.3642631664474485E-4</v>
      </c>
      <c r="S10" s="2" t="str">
        <f>indeter_MI!B11</f>
        <v>Разрешающая способность</v>
      </c>
      <c r="T10" s="2">
        <f>indeter_MI!C11</f>
        <v>0.01</v>
      </c>
      <c r="U10" s="2" t="str">
        <f>indeter_MI!D11</f>
        <v>Прямоугольное</v>
      </c>
      <c r="V10" s="2">
        <f>indeter_MI!E11</f>
        <v>1.73</v>
      </c>
      <c r="W10" s="59">
        <f t="shared" si="3"/>
        <v>5.7803468208092491E-3</v>
      </c>
      <c r="X10" s="52">
        <f>W10*W10</f>
        <v>3.3412409368839592E-5</v>
      </c>
    </row>
    <row r="11" spans="2:24" x14ac:dyDescent="0.2">
      <c r="B11" s="96">
        <v>9</v>
      </c>
      <c r="C11" s="18">
        <v>-34.883170000000007</v>
      </c>
      <c r="D11" s="19">
        <v>-35.735399999999998</v>
      </c>
      <c r="E11" s="19">
        <v>-35.089370000000002</v>
      </c>
      <c r="F11" s="19">
        <v>-35.721270000000004</v>
      </c>
      <c r="G11" s="23">
        <v>-35.306079999999994</v>
      </c>
      <c r="H11" s="19">
        <v>-35.794970000000006</v>
      </c>
      <c r="I11" s="19">
        <v>-35.499409999999997</v>
      </c>
      <c r="J11" s="19">
        <v>-35.350239999999999</v>
      </c>
      <c r="K11" s="19">
        <v>-35.595500000000001</v>
      </c>
      <c r="L11" s="9">
        <f t="shared" si="0"/>
        <v>-35.441712222222222</v>
      </c>
      <c r="M11" s="21">
        <f t="shared" si="1"/>
        <v>0.29421336859790753</v>
      </c>
      <c r="S11" s="36" t="s">
        <v>0</v>
      </c>
      <c r="T11" s="37">
        <f>O10</f>
        <v>0.29847398512276063</v>
      </c>
      <c r="U11" s="36" t="s">
        <v>13</v>
      </c>
      <c r="V11" s="21">
        <v>1</v>
      </c>
      <c r="W11" s="61">
        <f t="shared" si="3"/>
        <v>0.29847398512276063</v>
      </c>
      <c r="X11" s="53">
        <f>W11*W11</f>
        <v>8.9086719795061942E-2</v>
      </c>
    </row>
    <row r="12" spans="2:24" ht="15" thickBot="1" x14ac:dyDescent="0.25">
      <c r="B12" s="97">
        <v>10</v>
      </c>
      <c r="C12" s="18">
        <v>-34.869870000000006</v>
      </c>
      <c r="D12" s="19">
        <v>-35.725390000000004</v>
      </c>
      <c r="E12" s="19">
        <v>-35.088610000000003</v>
      </c>
      <c r="F12" s="19">
        <v>-35.708789999999993</v>
      </c>
      <c r="G12" s="23">
        <v>-35.289779999999993</v>
      </c>
      <c r="H12" s="19">
        <v>-35.771259999999998</v>
      </c>
      <c r="I12" s="19">
        <v>-35.480099999999993</v>
      </c>
      <c r="J12" s="19">
        <v>-35.341139999999996</v>
      </c>
      <c r="K12" s="19">
        <v>-35.5822</v>
      </c>
      <c r="L12" s="9">
        <f t="shared" si="0"/>
        <v>-35.428571111111104</v>
      </c>
      <c r="M12" s="21">
        <f t="shared" si="1"/>
        <v>0.29153701409538607</v>
      </c>
      <c r="S12" s="26" t="s">
        <v>21</v>
      </c>
      <c r="T12" s="39">
        <f>P10</f>
        <v>1.6305740366168459E-2</v>
      </c>
      <c r="U12" s="26" t="s">
        <v>13</v>
      </c>
      <c r="V12" s="22">
        <v>1</v>
      </c>
      <c r="W12" s="60">
        <f t="shared" si="3"/>
        <v>1.6305740366168459E-2</v>
      </c>
      <c r="X12" s="54">
        <f>W12*W12</f>
        <v>2.6587716888889552E-4</v>
      </c>
    </row>
    <row r="13" spans="2:24" x14ac:dyDescent="0.2">
      <c r="B13" s="96">
        <v>11</v>
      </c>
      <c r="C13" s="18">
        <v>-34.853650000000002</v>
      </c>
      <c r="D13" s="19">
        <v>-35.721969999999999</v>
      </c>
      <c r="E13" s="19">
        <v>-35.076719999999995</v>
      </c>
      <c r="F13" s="19">
        <v>-35.69708</v>
      </c>
      <c r="G13" s="23">
        <v>-35.282030000000006</v>
      </c>
      <c r="H13" s="19">
        <v>-35.764470000000003</v>
      </c>
      <c r="I13" s="19">
        <v>-35.481859999999998</v>
      </c>
      <c r="J13" s="19">
        <v>-35.332819999999998</v>
      </c>
      <c r="K13" s="19">
        <v>-35.579679999999996</v>
      </c>
      <c r="L13" s="9">
        <f t="shared" si="0"/>
        <v>-35.421142222222223</v>
      </c>
      <c r="M13" s="21">
        <f t="shared" si="1"/>
        <v>0.29461103591676707</v>
      </c>
      <c r="S13" s="25" t="s">
        <v>3</v>
      </c>
      <c r="T13" s="40">
        <f>Q10</f>
        <v>8.3642631664474485E-4</v>
      </c>
      <c r="U13" s="25" t="s">
        <v>13</v>
      </c>
      <c r="V13" s="17">
        <v>1</v>
      </c>
      <c r="W13" s="62">
        <f t="shared" si="3"/>
        <v>8.3642631664474485E-4</v>
      </c>
      <c r="X13" s="55">
        <f>W13*W13</f>
        <v>6.9960898317589499E-7</v>
      </c>
    </row>
    <row r="14" spans="2:24" ht="15" thickBot="1" x14ac:dyDescent="0.25">
      <c r="B14" s="97">
        <v>12</v>
      </c>
      <c r="C14" s="18">
        <v>-34.856020000000001</v>
      </c>
      <c r="D14" s="19">
        <v>-35.725719999999995</v>
      </c>
      <c r="E14" s="19">
        <v>-35.071719999999999</v>
      </c>
      <c r="F14" s="19">
        <v>-35.697450000000003</v>
      </c>
      <c r="G14" s="23">
        <v>-35.288219999999995</v>
      </c>
      <c r="H14" s="19">
        <v>-35.76764</v>
      </c>
      <c r="I14" s="19">
        <v>-35.47739</v>
      </c>
      <c r="J14" s="19">
        <v>-35.335300000000004</v>
      </c>
      <c r="K14" s="19">
        <v>-35.58417</v>
      </c>
      <c r="L14" s="9">
        <f t="shared" si="0"/>
        <v>-35.422625555555555</v>
      </c>
      <c r="M14" s="21">
        <f t="shared" si="1"/>
        <v>0.29540793016178335</v>
      </c>
      <c r="W14" s="56"/>
      <c r="X14" s="56"/>
    </row>
    <row r="15" spans="2:24" x14ac:dyDescent="0.2">
      <c r="B15" s="96">
        <v>13</v>
      </c>
      <c r="C15" s="18">
        <v>-34.861509999999996</v>
      </c>
      <c r="D15" s="19">
        <v>-35.717950000000002</v>
      </c>
      <c r="E15" s="19">
        <v>-35.077650000000006</v>
      </c>
      <c r="F15" s="19">
        <v>-35.704980000000006</v>
      </c>
      <c r="G15" s="23">
        <v>-35.297210000000007</v>
      </c>
      <c r="H15" s="19">
        <v>-35.773520000000005</v>
      </c>
      <c r="I15" s="19">
        <v>-35.493570000000005</v>
      </c>
      <c r="J15" s="19">
        <v>-35.337980000000002</v>
      </c>
      <c r="K15" s="19">
        <v>-35.581909999999993</v>
      </c>
      <c r="L15" s="9">
        <f t="shared" si="0"/>
        <v>-35.42736444444445</v>
      </c>
      <c r="M15" s="21">
        <f t="shared" si="1"/>
        <v>0.29382964414818247</v>
      </c>
      <c r="S15" s="35" t="s">
        <v>22</v>
      </c>
      <c r="U15" s="41" t="s">
        <v>82</v>
      </c>
      <c r="V15" s="41"/>
      <c r="W15" s="57" t="s">
        <v>83</v>
      </c>
      <c r="X15" s="57"/>
    </row>
    <row r="16" spans="2:24" ht="15" thickBot="1" x14ac:dyDescent="0.25">
      <c r="B16" s="97">
        <v>14</v>
      </c>
      <c r="C16" s="18">
        <v>-34.844769999999997</v>
      </c>
      <c r="D16" s="19">
        <v>-35.706680000000006</v>
      </c>
      <c r="E16" s="19">
        <v>-35.072299999999998</v>
      </c>
      <c r="F16" s="19">
        <v>-35.698930000000004</v>
      </c>
      <c r="G16" s="23">
        <v>-35.276060000000001</v>
      </c>
      <c r="H16" s="19">
        <v>-35.760120000000001</v>
      </c>
      <c r="I16" s="19">
        <v>-35.482100000000003</v>
      </c>
      <c r="J16" s="19">
        <v>-35.32544</v>
      </c>
      <c r="K16" s="19">
        <v>-35.570300000000003</v>
      </c>
      <c r="L16" s="9">
        <f t="shared" si="0"/>
        <v>-35.415188888888892</v>
      </c>
      <c r="M16" s="21">
        <f t="shared" si="1"/>
        <v>0.29502397655650153</v>
      </c>
      <c r="S16" s="42">
        <f>SUM(X4:X13)</f>
        <v>9.5528424375399851E-2</v>
      </c>
      <c r="V16" s="72">
        <f>SQRT(S17)</f>
        <v>0.3090767218669177</v>
      </c>
      <c r="W16" s="65"/>
      <c r="X16" s="72">
        <f>V16*2</f>
        <v>0.61815344373383541</v>
      </c>
    </row>
    <row r="17" spans="2:24" x14ac:dyDescent="0.2">
      <c r="B17" s="96">
        <v>15</v>
      </c>
      <c r="C17" s="18">
        <v>-34.853210000000004</v>
      </c>
      <c r="D17" s="19">
        <v>-35.717770000000002</v>
      </c>
      <c r="E17" s="19">
        <v>-35.06523</v>
      </c>
      <c r="F17" s="19">
        <v>-35.686580000000006</v>
      </c>
      <c r="G17" s="23">
        <v>-35.273759999999996</v>
      </c>
      <c r="H17" s="19">
        <v>-35.759249999999994</v>
      </c>
      <c r="I17" s="19">
        <v>-35.478300000000004</v>
      </c>
      <c r="J17" s="19">
        <v>-35.328379999999996</v>
      </c>
      <c r="K17" s="19">
        <v>-35.573589999999996</v>
      </c>
      <c r="L17" s="9">
        <f t="shared" si="0"/>
        <v>-35.415118888888884</v>
      </c>
      <c r="M17" s="21">
        <f t="shared" si="1"/>
        <v>0.29410689698529796</v>
      </c>
      <c r="S17" s="42">
        <f>ROUND(S16,8)</f>
        <v>9.5528420000000003E-2</v>
      </c>
      <c r="V17" s="72">
        <f>ROUND(V16,3)</f>
        <v>0.309</v>
      </c>
      <c r="W17" s="65"/>
      <c r="X17" s="72">
        <f>ROUND(X16,3)</f>
        <v>0.61799999999999999</v>
      </c>
    </row>
    <row r="18" spans="2:24" ht="15" thickBot="1" x14ac:dyDescent="0.25">
      <c r="B18" s="97">
        <v>16</v>
      </c>
      <c r="C18" s="18">
        <v>-34.860110000000006</v>
      </c>
      <c r="D18" s="19">
        <v>-35.714479999999995</v>
      </c>
      <c r="E18" s="19">
        <v>-35.075270000000003</v>
      </c>
      <c r="F18" s="19">
        <v>-35.695139999999995</v>
      </c>
      <c r="G18" s="23">
        <v>-35.292919999999995</v>
      </c>
      <c r="H18" s="19">
        <v>-35.768829999999994</v>
      </c>
      <c r="I18" s="19">
        <v>-35.479709999999997</v>
      </c>
      <c r="J18" s="19">
        <v>-35.333789999999993</v>
      </c>
      <c r="K18" s="19">
        <v>-35.577560000000005</v>
      </c>
      <c r="L18" s="9">
        <f t="shared" si="0"/>
        <v>-35.421978888888887</v>
      </c>
      <c r="M18" s="21">
        <f t="shared" si="1"/>
        <v>0.29218622830290075</v>
      </c>
      <c r="W18" s="56"/>
      <c r="X18" s="56"/>
    </row>
    <row r="19" spans="2:24" x14ac:dyDescent="0.2">
      <c r="B19" s="96">
        <v>17</v>
      </c>
      <c r="C19" s="18">
        <v>-34.862030000000004</v>
      </c>
      <c r="D19" s="19">
        <v>-35.709209999999999</v>
      </c>
      <c r="E19" s="19">
        <v>-35.071309999999997</v>
      </c>
      <c r="F19" s="19">
        <v>-35.693619999999996</v>
      </c>
      <c r="G19" s="23">
        <v>-35.284930000000003</v>
      </c>
      <c r="H19" s="19">
        <v>-35.762590000000003</v>
      </c>
      <c r="I19" s="19">
        <v>-35.470209999999994</v>
      </c>
      <c r="J19" s="19">
        <v>-35.330290000000005</v>
      </c>
      <c r="K19" s="19">
        <v>-35.572220000000002</v>
      </c>
      <c r="L19" s="9">
        <f t="shared" si="0"/>
        <v>-35.417378888888891</v>
      </c>
      <c r="M19" s="21">
        <f t="shared" si="1"/>
        <v>0.29073000133550475</v>
      </c>
      <c r="O19" s="292" t="s">
        <v>36</v>
      </c>
      <c r="W19" s="56"/>
      <c r="X19" s="56"/>
    </row>
    <row r="20" spans="2:24" ht="15" thickBot="1" x14ac:dyDescent="0.25">
      <c r="B20" s="97">
        <v>18</v>
      </c>
      <c r="C20" s="18">
        <v>-34.867199999999997</v>
      </c>
      <c r="D20" s="19">
        <v>-35.715710000000001</v>
      </c>
      <c r="E20" s="19">
        <v>-35.072109999999995</v>
      </c>
      <c r="F20" s="19">
        <v>-35.696179999999998</v>
      </c>
      <c r="G20" s="23">
        <v>-35.286869999999993</v>
      </c>
      <c r="H20" s="19">
        <v>-35.766970000000001</v>
      </c>
      <c r="I20" s="19">
        <v>-35.487049999999996</v>
      </c>
      <c r="J20" s="19">
        <v>-35.338610000000003</v>
      </c>
      <c r="K20" s="19">
        <v>-35.578810000000004</v>
      </c>
      <c r="L20" s="9">
        <f t="shared" si="0"/>
        <v>-35.423278888888895</v>
      </c>
      <c r="M20" s="21">
        <f t="shared" si="1"/>
        <v>0.2914886613172874</v>
      </c>
      <c r="W20" s="56"/>
      <c r="X20" s="56"/>
    </row>
    <row r="21" spans="2:24" x14ac:dyDescent="0.2">
      <c r="B21" s="96">
        <v>19</v>
      </c>
      <c r="C21" s="18">
        <v>-34.885850000000005</v>
      </c>
      <c r="D21" s="19">
        <v>-35.731260000000006</v>
      </c>
      <c r="E21" s="19">
        <v>-35.077309999999997</v>
      </c>
      <c r="F21" s="19">
        <v>-35.702100000000002</v>
      </c>
      <c r="G21" s="23">
        <v>-35.288650000000004</v>
      </c>
      <c r="H21" s="19">
        <v>-35.769779999999997</v>
      </c>
      <c r="I21" s="19">
        <v>-35.496600000000001</v>
      </c>
      <c r="J21" s="19">
        <v>-35.343770000000006</v>
      </c>
      <c r="K21" s="19">
        <v>-35.586929999999995</v>
      </c>
      <c r="L21" s="9">
        <f t="shared" si="0"/>
        <v>-35.431361111111116</v>
      </c>
      <c r="M21" s="21">
        <f t="shared" si="1"/>
        <v>0.2900569391015963</v>
      </c>
      <c r="O21" s="63" t="s">
        <v>23</v>
      </c>
      <c r="S21" s="2" t="s">
        <v>7</v>
      </c>
      <c r="T21" s="2" t="s">
        <v>8</v>
      </c>
      <c r="U21" s="2" t="s">
        <v>9</v>
      </c>
      <c r="V21" s="2" t="s">
        <v>10</v>
      </c>
      <c r="W21" s="57" t="s">
        <v>11</v>
      </c>
      <c r="X21" s="58" t="s">
        <v>12</v>
      </c>
    </row>
    <row r="22" spans="2:24" ht="15" thickBot="1" x14ac:dyDescent="0.25">
      <c r="B22" s="97">
        <v>20</v>
      </c>
      <c r="C22" s="18">
        <v>-34.900530000000003</v>
      </c>
      <c r="D22" s="19">
        <v>-35.739360000000005</v>
      </c>
      <c r="E22" s="19">
        <v>-35.090500000000006</v>
      </c>
      <c r="F22" s="19">
        <v>-35.716679999999997</v>
      </c>
      <c r="G22" s="23">
        <v>-35.308890000000005</v>
      </c>
      <c r="H22" s="19">
        <v>-35.787199999999999</v>
      </c>
      <c r="I22" s="19">
        <v>-35.514009999999999</v>
      </c>
      <c r="J22" s="19">
        <v>-35.351500000000001</v>
      </c>
      <c r="K22" s="19">
        <v>-35.597520000000003</v>
      </c>
      <c r="L22" s="9">
        <f t="shared" si="0"/>
        <v>-35.445132222222213</v>
      </c>
      <c r="M22" s="21">
        <f t="shared" si="1"/>
        <v>0.28962988990847288</v>
      </c>
      <c r="O22" s="64">
        <f>MAX(C34:K34)</f>
        <v>1.6305740366168459E-2</v>
      </c>
      <c r="S22" s="2" t="str">
        <f>indeter_MI!B16</f>
        <v>Поверка</v>
      </c>
      <c r="T22" s="2">
        <f>indeter_MI!C16</f>
        <v>0.1</v>
      </c>
      <c r="U22" s="2" t="str">
        <f>indeter_MI!D16</f>
        <v>Нормальное</v>
      </c>
      <c r="V22" s="2">
        <f>indeter_MI!E16</f>
        <v>2</v>
      </c>
      <c r="W22" s="59">
        <f>T22/V22</f>
        <v>0.05</v>
      </c>
      <c r="X22" s="59">
        <f t="shared" ref="X22:X29" si="4">W22*W22</f>
        <v>2.5000000000000005E-3</v>
      </c>
    </row>
    <row r="23" spans="2:24" x14ac:dyDescent="0.2">
      <c r="B23" s="96">
        <v>21</v>
      </c>
      <c r="C23" s="18">
        <v>-34.90558</v>
      </c>
      <c r="D23" s="19">
        <v>-35.737260000000006</v>
      </c>
      <c r="E23" s="19">
        <v>-35.098370000000003</v>
      </c>
      <c r="F23" s="19">
        <v>-35.719130000000007</v>
      </c>
      <c r="G23" s="23">
        <v>-35.310760000000002</v>
      </c>
      <c r="H23" s="19">
        <v>-35.788979999999995</v>
      </c>
      <c r="I23" s="19">
        <v>-35.519670000000005</v>
      </c>
      <c r="J23" s="19">
        <v>-35.353989999999996</v>
      </c>
      <c r="K23" s="19">
        <v>-35.59939</v>
      </c>
      <c r="L23" s="9">
        <f t="shared" si="0"/>
        <v>-35.448125555555556</v>
      </c>
      <c r="M23" s="21">
        <f t="shared" si="1"/>
        <v>0.28783460818521472</v>
      </c>
      <c r="S23" s="2" t="str">
        <f>indeter_MI!B17</f>
        <v>Повторяемость*</v>
      </c>
      <c r="T23" s="2">
        <f>indeter_MI!C17</f>
        <v>0.01</v>
      </c>
      <c r="U23" s="2" t="str">
        <f>indeter_MI!D17</f>
        <v>Нормальное</v>
      </c>
      <c r="V23" s="2">
        <f>indeter_MI!E17</f>
        <v>1</v>
      </c>
      <c r="W23" s="59">
        <f t="shared" ref="W23:W28" si="5">T23/V23</f>
        <v>0.01</v>
      </c>
      <c r="X23" s="59">
        <f t="shared" si="4"/>
        <v>1E-4</v>
      </c>
    </row>
    <row r="24" spans="2:24" ht="15" thickBot="1" x14ac:dyDescent="0.25">
      <c r="B24" s="97">
        <v>22</v>
      </c>
      <c r="C24" s="18">
        <v>-34.885409999999993</v>
      </c>
      <c r="D24" s="19">
        <v>-35.717709999999997</v>
      </c>
      <c r="E24" s="19">
        <v>-35.096329999999995</v>
      </c>
      <c r="F24" s="19">
        <v>-35.714519999999993</v>
      </c>
      <c r="G24" s="23">
        <v>-35.296539999999993</v>
      </c>
      <c r="H24" s="19">
        <v>-35.777479999999997</v>
      </c>
      <c r="I24" s="19">
        <v>-35.491579999999999</v>
      </c>
      <c r="J24" s="19">
        <v>-35.341719999999995</v>
      </c>
      <c r="K24" s="19">
        <v>-35.587569999999999</v>
      </c>
      <c r="L24" s="9">
        <f t="shared" si="0"/>
        <v>-35.434317777777778</v>
      </c>
      <c r="M24" s="21">
        <f t="shared" si="1"/>
        <v>0.28798968043925949</v>
      </c>
      <c r="S24" s="2" t="str">
        <f>indeter_MI!B18</f>
        <v>Гистерезис</v>
      </c>
      <c r="T24" s="2">
        <f>indeter_MI!C18</f>
        <v>0.01</v>
      </c>
      <c r="U24" s="2" t="str">
        <f>indeter_MI!D18</f>
        <v>Прямоугольное</v>
      </c>
      <c r="V24" s="2">
        <f>indeter_MI!E18</f>
        <v>1.73</v>
      </c>
      <c r="W24" s="59">
        <f t="shared" si="5"/>
        <v>5.7803468208092491E-3</v>
      </c>
      <c r="X24" s="59">
        <f t="shared" si="4"/>
        <v>3.3412409368839592E-5</v>
      </c>
    </row>
    <row r="25" spans="2:24" x14ac:dyDescent="0.2">
      <c r="B25" s="96">
        <v>23</v>
      </c>
      <c r="C25" s="18">
        <v>-34.868480000000005</v>
      </c>
      <c r="D25" s="19">
        <v>-35.699539999999999</v>
      </c>
      <c r="E25" s="19">
        <v>-35.082260000000005</v>
      </c>
      <c r="F25" s="19">
        <v>-35.700530000000001</v>
      </c>
      <c r="G25" s="23">
        <v>-35.271699999999996</v>
      </c>
      <c r="H25" s="19">
        <v>-35.754909999999995</v>
      </c>
      <c r="I25" s="19">
        <v>-35.476849999999999</v>
      </c>
      <c r="J25" s="19">
        <v>-35.328969999999998</v>
      </c>
      <c r="K25" s="19">
        <v>-35.573359999999994</v>
      </c>
      <c r="L25" s="9">
        <f t="shared" si="0"/>
        <v>-35.417400000000008</v>
      </c>
      <c r="M25" s="21">
        <f t="shared" si="1"/>
        <v>0.28755999211758443</v>
      </c>
      <c r="S25" s="2" t="str">
        <f>indeter_MI!B19</f>
        <v>Влияние температуры</v>
      </c>
      <c r="T25" s="2">
        <f>indeter_MI!C19</f>
        <v>0.01</v>
      </c>
      <c r="U25" s="2" t="str">
        <f>indeter_MI!D19</f>
        <v>Прямоугольное</v>
      </c>
      <c r="V25" s="2">
        <f>indeter_MI!E19</f>
        <v>1.73</v>
      </c>
      <c r="W25" s="59">
        <f t="shared" si="5"/>
        <v>5.7803468208092491E-3</v>
      </c>
      <c r="X25" s="59">
        <f t="shared" si="4"/>
        <v>3.3412409368839592E-5</v>
      </c>
    </row>
    <row r="26" spans="2:24" ht="15" thickBot="1" x14ac:dyDescent="0.25">
      <c r="B26" s="97">
        <v>24</v>
      </c>
      <c r="C26" s="18">
        <v>-34.858699999999999</v>
      </c>
      <c r="D26" s="19">
        <v>-35.692490000000006</v>
      </c>
      <c r="E26" s="19">
        <v>-35.065430000000006</v>
      </c>
      <c r="F26" s="19">
        <v>-35.682400000000001</v>
      </c>
      <c r="G26" s="23">
        <v>-35.251649999999998</v>
      </c>
      <c r="H26" s="19">
        <v>-35.738039999999998</v>
      </c>
      <c r="I26" s="19">
        <v>-35.465360000000004</v>
      </c>
      <c r="J26" s="19">
        <v>-35.312939999999998</v>
      </c>
      <c r="K26" s="19">
        <v>-35.562929999999994</v>
      </c>
      <c r="L26" s="9">
        <f t="shared" si="0"/>
        <v>-35.403326666666672</v>
      </c>
      <c r="M26" s="21">
        <f t="shared" si="1"/>
        <v>0.28767644958258998</v>
      </c>
      <c r="S26" s="2" t="str">
        <f>indeter_MI!B20</f>
        <v>Дрейф*</v>
      </c>
      <c r="T26" s="2">
        <f>indeter_MI!C20</f>
        <v>0.1</v>
      </c>
      <c r="U26" s="2" t="str">
        <f>indeter_MI!D20</f>
        <v>Прямоугольное</v>
      </c>
      <c r="V26" s="2">
        <f>indeter_MI!E20</f>
        <v>1.73</v>
      </c>
      <c r="W26" s="59">
        <f t="shared" si="5"/>
        <v>5.7803468208092491E-2</v>
      </c>
      <c r="X26" s="59">
        <f t="shared" si="4"/>
        <v>3.3412409368839594E-3</v>
      </c>
    </row>
    <row r="27" spans="2:24" x14ac:dyDescent="0.2">
      <c r="B27" s="96">
        <v>25</v>
      </c>
      <c r="C27" s="18">
        <v>-34.866789999999995</v>
      </c>
      <c r="D27" s="19">
        <v>-35.710710000000006</v>
      </c>
      <c r="E27" s="19">
        <v>-35.058700000000002</v>
      </c>
      <c r="F27" s="19">
        <v>-35.682159999999996</v>
      </c>
      <c r="G27" s="23">
        <v>-35.266570000000002</v>
      </c>
      <c r="H27" s="19">
        <v>-35.748900000000006</v>
      </c>
      <c r="I27" s="19">
        <v>-35.47148</v>
      </c>
      <c r="J27" s="19">
        <v>-35.323130000000006</v>
      </c>
      <c r="K27" s="19">
        <v>-35.571899999999999</v>
      </c>
      <c r="L27" s="9">
        <f t="shared" si="0"/>
        <v>-35.411148888888889</v>
      </c>
      <c r="M27" s="21">
        <f t="shared" si="1"/>
        <v>0.28981558436911364</v>
      </c>
      <c r="S27" s="2" t="str">
        <f>indeter_MI!B21</f>
        <v>Линейность</v>
      </c>
      <c r="T27" s="2">
        <f>indeter_MI!C21</f>
        <v>0.02</v>
      </c>
      <c r="U27" s="2" t="str">
        <f>indeter_MI!D21</f>
        <v>Прямоугольное</v>
      </c>
      <c r="V27" s="2">
        <f>indeter_MI!E21</f>
        <v>1.73</v>
      </c>
      <c r="W27" s="59">
        <f t="shared" si="5"/>
        <v>1.1560693641618498E-2</v>
      </c>
      <c r="X27" s="59">
        <f t="shared" si="4"/>
        <v>1.3364963747535837E-4</v>
      </c>
    </row>
    <row r="28" spans="2:24" ht="15" thickBot="1" x14ac:dyDescent="0.25">
      <c r="B28" s="97">
        <v>26</v>
      </c>
      <c r="C28" s="18">
        <v>-34.873500000000007</v>
      </c>
      <c r="D28" s="19">
        <v>-35.73151</v>
      </c>
      <c r="E28" s="19">
        <v>-35.072599999999994</v>
      </c>
      <c r="F28" s="19">
        <v>-35.69932</v>
      </c>
      <c r="G28" s="23">
        <v>-35.290080000000003</v>
      </c>
      <c r="H28" s="19">
        <v>-35.769779999999997</v>
      </c>
      <c r="I28" s="19">
        <v>-35.487899999999996</v>
      </c>
      <c r="J28" s="19">
        <v>-35.339219999999997</v>
      </c>
      <c r="K28" s="19">
        <v>-35.581940000000003</v>
      </c>
      <c r="L28" s="9">
        <f t="shared" si="0"/>
        <v>-35.42731666666667</v>
      </c>
      <c r="M28" s="21">
        <f t="shared" si="1"/>
        <v>0.29259585073385108</v>
      </c>
      <c r="S28" s="2" t="str">
        <f>indeter_MI!B22</f>
        <v>Разрешающая способность</v>
      </c>
      <c r="T28" s="2">
        <f>indeter_MI!C22</f>
        <v>0.01</v>
      </c>
      <c r="U28" s="2" t="str">
        <f>indeter_MI!D22</f>
        <v>Прямоугольное</v>
      </c>
      <c r="V28" s="2">
        <f>indeter_MI!E22</f>
        <v>1.73</v>
      </c>
      <c r="W28" s="59">
        <f t="shared" si="5"/>
        <v>5.7803468208092491E-3</v>
      </c>
      <c r="X28" s="59">
        <f t="shared" si="4"/>
        <v>3.3412409368839592E-5</v>
      </c>
    </row>
    <row r="29" spans="2:24" x14ac:dyDescent="0.2">
      <c r="B29" s="96">
        <v>27</v>
      </c>
      <c r="C29" s="18">
        <v>-34.891180000000006</v>
      </c>
      <c r="D29" s="19">
        <v>-35.739660000000001</v>
      </c>
      <c r="E29" s="19">
        <v>-35.083280000000002</v>
      </c>
      <c r="F29" s="19">
        <v>-35.713440000000006</v>
      </c>
      <c r="G29" s="23">
        <v>-35.306550000000001</v>
      </c>
      <c r="H29" s="19">
        <v>-35.78313</v>
      </c>
      <c r="I29" s="19">
        <v>-35.502880000000005</v>
      </c>
      <c r="J29" s="19">
        <v>-35.349000000000004</v>
      </c>
      <c r="K29" s="19">
        <v>-35.589489999999998</v>
      </c>
      <c r="L29" s="9">
        <f t="shared" si="0"/>
        <v>-35.439845555555564</v>
      </c>
      <c r="M29" s="21">
        <f t="shared" si="1"/>
        <v>0.29119431069347201</v>
      </c>
      <c r="S29" s="48" t="s">
        <v>21</v>
      </c>
      <c r="T29" s="49">
        <f>O22</f>
        <v>1.6305740366168459E-2</v>
      </c>
      <c r="U29" s="49" t="s">
        <v>13</v>
      </c>
      <c r="V29" s="16">
        <v>1</v>
      </c>
      <c r="W29" s="60">
        <f>T29/V29</f>
        <v>1.6305740366168459E-2</v>
      </c>
      <c r="X29" s="60">
        <f t="shared" si="4"/>
        <v>2.6587716888889552E-4</v>
      </c>
    </row>
    <row r="30" spans="2:24" ht="15" thickBot="1" x14ac:dyDescent="0.25">
      <c r="B30" s="97">
        <v>28</v>
      </c>
      <c r="C30" s="18">
        <v>-34.895510000000002</v>
      </c>
      <c r="D30" s="19">
        <v>-35.731030000000004</v>
      </c>
      <c r="E30" s="19">
        <v>-35.088610000000003</v>
      </c>
      <c r="F30" s="19">
        <v>-35.716769999999997</v>
      </c>
      <c r="G30" s="23">
        <v>-35.304839999999999</v>
      </c>
      <c r="H30" s="19">
        <v>-35.782560000000004</v>
      </c>
      <c r="I30" s="19">
        <v>-35.495180000000005</v>
      </c>
      <c r="J30" s="19">
        <v>-35.346350000000001</v>
      </c>
      <c r="K30" s="19">
        <v>-35.586100000000002</v>
      </c>
      <c r="L30" s="9">
        <f t="shared" si="0"/>
        <v>-35.438549999999999</v>
      </c>
      <c r="M30" s="21">
        <f t="shared" si="1"/>
        <v>0.28867540548743226</v>
      </c>
      <c r="X30" s="56"/>
    </row>
    <row r="31" spans="2:24" ht="15" thickBot="1" x14ac:dyDescent="0.25">
      <c r="B31" s="98">
        <v>29</v>
      </c>
      <c r="C31" s="18">
        <v>-34.905010000000004</v>
      </c>
      <c r="D31" s="19">
        <v>-35.73433</v>
      </c>
      <c r="E31" s="19">
        <v>-35.090410000000006</v>
      </c>
      <c r="F31" s="19">
        <v>-35.712050000000005</v>
      </c>
      <c r="G31" s="23">
        <v>-35.296310000000005</v>
      </c>
      <c r="H31" s="19">
        <v>-35.776409999999998</v>
      </c>
      <c r="I31" s="19">
        <v>-35.496380000000002</v>
      </c>
      <c r="J31" s="19">
        <v>-35.343980000000002</v>
      </c>
      <c r="K31" s="19">
        <v>-35.583039999999997</v>
      </c>
      <c r="L31" s="9">
        <f t="shared" si="0"/>
        <v>-35.437546666666663</v>
      </c>
      <c r="M31" s="21">
        <f t="shared" si="1"/>
        <v>0.285908326527537</v>
      </c>
      <c r="S31" s="35" t="s">
        <v>22</v>
      </c>
      <c r="U31" s="41" t="s">
        <v>82</v>
      </c>
      <c r="V31" s="41"/>
      <c r="W31" s="41" t="s">
        <v>83</v>
      </c>
      <c r="X31" s="57"/>
    </row>
    <row r="32" spans="2:24" ht="15" thickBot="1" x14ac:dyDescent="0.25">
      <c r="B32" s="98">
        <v>30</v>
      </c>
      <c r="C32" s="18">
        <v>-34.896820000000005</v>
      </c>
      <c r="D32" s="19">
        <v>-35.721850000000003</v>
      </c>
      <c r="E32" s="19">
        <v>-35.095510000000004</v>
      </c>
      <c r="F32" s="19">
        <v>-35.712159999999997</v>
      </c>
      <c r="G32" s="23">
        <v>-35.295400000000001</v>
      </c>
      <c r="H32" s="19">
        <v>-35.774019999999993</v>
      </c>
      <c r="I32" s="19">
        <v>-35.491500000000002</v>
      </c>
      <c r="J32" s="19">
        <v>-35.347369999999998</v>
      </c>
      <c r="K32" s="19">
        <v>-35.579560000000001</v>
      </c>
      <c r="L32" s="9">
        <f t="shared" si="0"/>
        <v>-35.434910000000002</v>
      </c>
      <c r="M32" s="21">
        <f>_xlfn.STDEV.P(C32:K32)</f>
        <v>0.28483587254573028</v>
      </c>
      <c r="S32" s="42">
        <f>SUM(X22:X29)</f>
        <v>6.4410049713547321E-3</v>
      </c>
      <c r="V32" s="72">
        <f>SQRT(S32)</f>
        <v>8.0255871880845778E-2</v>
      </c>
      <c r="X32" s="72">
        <f>V32*2</f>
        <v>0.16051174376169156</v>
      </c>
    </row>
    <row r="33" spans="2:24" ht="19.5" thickBot="1" x14ac:dyDescent="0.4">
      <c r="B33" s="93" t="s">
        <v>40</v>
      </c>
      <c r="C33" s="30">
        <f>AVERAGE(C3:C32)</f>
        <v>-34.874226666666665</v>
      </c>
      <c r="D33" s="31">
        <f t="shared" ref="D33:K33" si="6">AVERAGE(D3:D32)</f>
        <v>-35.727652999999997</v>
      </c>
      <c r="E33" s="31">
        <f t="shared" si="6"/>
        <v>-35.083056666666678</v>
      </c>
      <c r="F33" s="31">
        <f t="shared" si="6"/>
        <v>-35.709283000000006</v>
      </c>
      <c r="G33" s="31">
        <f t="shared" si="6"/>
        <v>-35.29475333333334</v>
      </c>
      <c r="H33" s="31">
        <f t="shared" si="6"/>
        <v>-35.776009666666667</v>
      </c>
      <c r="I33" s="31">
        <f t="shared" si="6"/>
        <v>-35.490697666666662</v>
      </c>
      <c r="J33" s="31">
        <f t="shared" si="6"/>
        <v>-35.342177333333339</v>
      </c>
      <c r="K33" s="31">
        <f t="shared" si="6"/>
        <v>-35.585693666666657</v>
      </c>
      <c r="M33" s="177"/>
      <c r="S33" s="42">
        <f>ROUND(S32,8)</f>
        <v>6.4409999999999997E-3</v>
      </c>
      <c r="V33" s="72">
        <f>ROUND(V32,3)</f>
        <v>0.08</v>
      </c>
      <c r="X33" s="72">
        <f>ROUND(X32,3)</f>
        <v>0.161</v>
      </c>
    </row>
    <row r="34" spans="2:24" ht="19.5" thickBot="1" x14ac:dyDescent="0.4">
      <c r="B34" s="93" t="s">
        <v>39</v>
      </c>
      <c r="C34" s="27">
        <f>_xlfn.STDEV.P(C3:C32)</f>
        <v>1.5860574040333721E-2</v>
      </c>
      <c r="D34" s="22">
        <f t="shared" ref="D34:K34" si="7">_xlfn.STDEV.P(D3:D32)</f>
        <v>1.5170173180729328E-2</v>
      </c>
      <c r="E34" s="22">
        <f t="shared" si="7"/>
        <v>1.1131499250126643E-2</v>
      </c>
      <c r="F34" s="22">
        <f t="shared" si="7"/>
        <v>1.4553187543169914E-2</v>
      </c>
      <c r="G34" s="22">
        <f t="shared" si="7"/>
        <v>1.6305740366168459E-2</v>
      </c>
      <c r="H34" s="22">
        <f t="shared" si="7"/>
        <v>1.5348389379852499E-2</v>
      </c>
      <c r="I34" s="22">
        <f t="shared" si="7"/>
        <v>1.3215685045514E-2</v>
      </c>
      <c r="J34" s="22">
        <f t="shared" si="7"/>
        <v>1.1730107681612444E-2</v>
      </c>
      <c r="K34" s="22">
        <f t="shared" si="7"/>
        <v>1.0379625068160073E-2</v>
      </c>
      <c r="L34" s="65"/>
    </row>
    <row r="35" spans="2:24" ht="19.5" thickBot="1" x14ac:dyDescent="0.4">
      <c r="B35" s="93" t="s">
        <v>52</v>
      </c>
      <c r="C35" s="11">
        <f>MAX(C3:C32)-C33</f>
        <v>2.9456666666668241E-2</v>
      </c>
      <c r="D35" s="12">
        <f t="shared" ref="D35:K35" si="8">MAX(D3:D32)-D33</f>
        <v>3.5162999999990063E-2</v>
      </c>
      <c r="E35" s="12">
        <f t="shared" si="8"/>
        <v>2.4356666666676574E-2</v>
      </c>
      <c r="F35" s="12">
        <f t="shared" si="8"/>
        <v>2.7123000000010222E-2</v>
      </c>
      <c r="G35" s="24">
        <f t="shared" si="8"/>
        <v>4.3103333333341709E-2</v>
      </c>
      <c r="H35" s="12">
        <f t="shared" si="8"/>
        <v>3.79696666666689E-2</v>
      </c>
      <c r="I35" s="12">
        <f t="shared" si="8"/>
        <v>2.5337666666658265E-2</v>
      </c>
      <c r="J35" s="12">
        <f t="shared" si="8"/>
        <v>2.9237333333341553E-2</v>
      </c>
      <c r="K35" s="12">
        <f t="shared" si="8"/>
        <v>2.276366666666263E-2</v>
      </c>
    </row>
    <row r="36" spans="2:24" ht="19.5" thickBot="1" x14ac:dyDescent="0.4">
      <c r="B36" s="93" t="s">
        <v>51</v>
      </c>
      <c r="C36" s="11">
        <f>C33-MIN(C3:C32)</f>
        <v>3.1353333333335343E-2</v>
      </c>
      <c r="D36" s="12">
        <f t="shared" ref="D36:K36" si="9">D33-MIN(D3:D32)</f>
        <v>2.5686999999997795E-2</v>
      </c>
      <c r="E36" s="12">
        <f t="shared" si="9"/>
        <v>2.2153333333321257E-2</v>
      </c>
      <c r="F36" s="12">
        <f t="shared" si="9"/>
        <v>3.3746999999998195E-2</v>
      </c>
      <c r="G36" s="24">
        <f t="shared" si="9"/>
        <v>2.9876666666659446E-2</v>
      </c>
      <c r="H36" s="12">
        <f t="shared" si="9"/>
        <v>2.4490333333332615E-2</v>
      </c>
      <c r="I36" s="12">
        <f t="shared" si="9"/>
        <v>2.8972333333342704E-2</v>
      </c>
      <c r="J36" s="12">
        <f t="shared" si="9"/>
        <v>2.2282666666654904E-2</v>
      </c>
      <c r="K36" s="12">
        <f t="shared" si="9"/>
        <v>1.6936333333347875E-2</v>
      </c>
    </row>
    <row r="37" spans="2:24" ht="20.25" thickBot="1" x14ac:dyDescent="0.4">
      <c r="B37" s="94" t="s">
        <v>44</v>
      </c>
      <c r="C37" s="14">
        <f>(C35+C36)/2</f>
        <v>3.0405000000001792E-2</v>
      </c>
      <c r="D37" s="15">
        <f t="shared" ref="D37:K37" si="10">(D35+D36)/2</f>
        <v>3.0424999999993929E-2</v>
      </c>
      <c r="E37" s="15">
        <f t="shared" si="10"/>
        <v>2.3254999999998915E-2</v>
      </c>
      <c r="F37" s="15">
        <f t="shared" si="10"/>
        <v>3.0435000000004209E-2</v>
      </c>
      <c r="G37" s="15">
        <f t="shared" si="10"/>
        <v>3.6490000000000578E-2</v>
      </c>
      <c r="H37" s="15">
        <f t="shared" si="10"/>
        <v>3.1230000000000757E-2</v>
      </c>
      <c r="I37" s="15">
        <f t="shared" si="10"/>
        <v>2.7155000000000484E-2</v>
      </c>
      <c r="J37" s="15">
        <f t="shared" si="10"/>
        <v>2.5759999999998229E-2</v>
      </c>
      <c r="K37" s="15">
        <f t="shared" si="10"/>
        <v>1.9850000000005252E-2</v>
      </c>
    </row>
    <row r="38" spans="2:24" ht="19.5" thickBot="1" x14ac:dyDescent="0.4">
      <c r="B38" s="95" t="s">
        <v>43</v>
      </c>
      <c r="C38" s="43">
        <f>C33-$G33</f>
        <v>0.42052666666667449</v>
      </c>
      <c r="D38" s="13">
        <f t="shared" ref="D38:K38" si="11">D33-$G33</f>
        <v>-0.43289966666665691</v>
      </c>
      <c r="E38" s="13">
        <f t="shared" si="11"/>
        <v>0.21169666666666132</v>
      </c>
      <c r="F38" s="13">
        <f t="shared" si="11"/>
        <v>-0.41452966666666669</v>
      </c>
      <c r="G38" s="13">
        <f>G33-$G33</f>
        <v>0</v>
      </c>
      <c r="H38" s="13">
        <f t="shared" si="11"/>
        <v>-0.48125633333332729</v>
      </c>
      <c r="I38" s="13">
        <f t="shared" si="11"/>
        <v>-0.19594433333332262</v>
      </c>
      <c r="J38" s="13">
        <f t="shared" si="11"/>
        <v>-4.7423999999999467E-2</v>
      </c>
      <c r="K38" s="13">
        <f t="shared" si="11"/>
        <v>-0.29094033333331737</v>
      </c>
    </row>
    <row r="39" spans="2:24" ht="18.75" x14ac:dyDescent="0.35">
      <c r="B39" s="99" t="s">
        <v>45</v>
      </c>
      <c r="C39" s="45">
        <v>-35</v>
      </c>
    </row>
    <row r="40" spans="2:24" ht="18.75" x14ac:dyDescent="0.2">
      <c r="B40" s="100" t="s">
        <v>46</v>
      </c>
      <c r="C40" s="44">
        <f>AVERAGE(C3:K32)</f>
        <v>-35.431505666666652</v>
      </c>
    </row>
    <row r="41" spans="2:24" ht="18.75" x14ac:dyDescent="0.2">
      <c r="B41" s="101" t="s">
        <v>47</v>
      </c>
      <c r="C41" s="28">
        <f>C40-C39</f>
        <v>-0.43150566666665213</v>
      </c>
    </row>
    <row r="42" spans="2:24" ht="18.75" x14ac:dyDescent="0.2">
      <c r="B42" s="102" t="s">
        <v>48</v>
      </c>
      <c r="C42" s="29">
        <f>MAX(C33:K33)-MIN(C33:K33)</f>
        <v>0.90178300000000178</v>
      </c>
      <c r="D42" s="65"/>
    </row>
    <row r="43" spans="2:24" ht="18.75" x14ac:dyDescent="0.2">
      <c r="B43" s="103" t="s">
        <v>49</v>
      </c>
      <c r="C43" s="32">
        <f>MAX(C38:K38)</f>
        <v>0.42052666666667449</v>
      </c>
    </row>
    <row r="44" spans="2:24" x14ac:dyDescent="0.2">
      <c r="B44" s="104"/>
      <c r="C44" s="32">
        <f>MIN(C38:K38)</f>
        <v>-0.48125633333332729</v>
      </c>
    </row>
    <row r="45" spans="2:24" ht="18.75" x14ac:dyDescent="0.2">
      <c r="B45" s="105" t="s">
        <v>50</v>
      </c>
      <c r="C45" s="182">
        <f>AVERAGE(C37:K37)</f>
        <v>2.8333888888889349E-2</v>
      </c>
      <c r="D45" s="178"/>
      <c r="E45" s="178"/>
      <c r="F45" s="178"/>
      <c r="G45" s="178"/>
      <c r="H45" s="178"/>
      <c r="I45" s="178"/>
      <c r="J45" s="178"/>
      <c r="K45" s="178"/>
    </row>
    <row r="46" spans="2:24" ht="18.75" x14ac:dyDescent="0.35">
      <c r="B46" s="180" t="s">
        <v>259</v>
      </c>
      <c r="C46" s="181">
        <f>_xlfn.STDEV.P(C3:K32)</f>
        <v>0.29273049864533746</v>
      </c>
    </row>
    <row r="47" spans="2:24" x14ac:dyDescent="0.2">
      <c r="C47" s="179"/>
      <c r="D47" s="179"/>
      <c r="E47" s="179"/>
      <c r="F47" s="179"/>
      <c r="G47" s="179"/>
      <c r="H47" s="179"/>
      <c r="I47" s="179"/>
      <c r="J47" s="179"/>
      <c r="K47" s="179"/>
    </row>
  </sheetData>
  <pageMargins left="0.7" right="0.7" top="0.75" bottom="0.75" header="0.3" footer="0.3"/>
  <pageSetup paperSize="9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20"/>
  <dimension ref="B1:X47"/>
  <sheetViews>
    <sheetView zoomScale="55" zoomScaleNormal="55" workbookViewId="0">
      <selection activeCell="H46" sqref="H46"/>
    </sheetView>
  </sheetViews>
  <sheetFormatPr defaultRowHeight="14.25" x14ac:dyDescent="0.2"/>
  <cols>
    <col min="1" max="1" width="10.75" style="292" customWidth="1"/>
    <col min="2" max="2" width="6.25" style="292" customWidth="1"/>
    <col min="3" max="11" width="6" style="292" customWidth="1"/>
    <col min="12" max="12" width="8.875" style="292" customWidth="1"/>
    <col min="13" max="13" width="10" style="292" customWidth="1"/>
    <col min="14" max="14" width="4.875" style="292" customWidth="1"/>
    <col min="15" max="15" width="11.375" style="292" customWidth="1"/>
    <col min="16" max="16" width="11" style="292" customWidth="1"/>
    <col min="17" max="17" width="14.875" style="292" customWidth="1"/>
    <col min="18" max="18" width="5.5" style="292" customWidth="1"/>
    <col min="19" max="19" width="25.375" style="292" customWidth="1"/>
    <col min="20" max="20" width="12.375" style="292" customWidth="1"/>
    <col min="21" max="21" width="14.75" style="292" customWidth="1"/>
    <col min="22" max="22" width="9.75" style="292" customWidth="1"/>
    <col min="23" max="23" width="14.375" style="292" customWidth="1"/>
    <col min="24" max="24" width="28.25" style="292" customWidth="1"/>
    <col min="25" max="16384" width="9" style="292"/>
  </cols>
  <sheetData>
    <row r="1" spans="2:24" ht="15" thickBot="1" x14ac:dyDescent="0.25">
      <c r="O1" s="292" t="s">
        <v>6</v>
      </c>
    </row>
    <row r="2" spans="2:24" ht="19.5" thickBot="1" x14ac:dyDescent="0.4">
      <c r="B2" s="292" t="s">
        <v>29</v>
      </c>
      <c r="C2" s="3">
        <v>1</v>
      </c>
      <c r="D2" s="3">
        <v>2</v>
      </c>
      <c r="E2" s="3">
        <v>3</v>
      </c>
      <c r="F2" s="3">
        <v>4</v>
      </c>
      <c r="G2" s="4">
        <v>5</v>
      </c>
      <c r="H2" s="3">
        <v>6</v>
      </c>
      <c r="I2" s="3">
        <v>7</v>
      </c>
      <c r="J2" s="3">
        <v>8</v>
      </c>
      <c r="K2" s="5">
        <v>9</v>
      </c>
      <c r="L2" s="93" t="s">
        <v>41</v>
      </c>
      <c r="M2" s="8" t="s">
        <v>42</v>
      </c>
      <c r="O2" s="293" t="s">
        <v>24</v>
      </c>
    </row>
    <row r="3" spans="2:24" x14ac:dyDescent="0.2">
      <c r="B3" s="96">
        <v>1</v>
      </c>
      <c r="C3" s="18">
        <v>-14.86842</v>
      </c>
      <c r="D3" s="19">
        <v>-15.746399999999994</v>
      </c>
      <c r="E3" s="19">
        <v>-15.10521</v>
      </c>
      <c r="F3" s="20">
        <v>-15.743030000000005</v>
      </c>
      <c r="G3" s="23">
        <v>-15.322199999999995</v>
      </c>
      <c r="H3" s="19">
        <v>-15.8005</v>
      </c>
      <c r="I3" s="19">
        <v>-15.500879999999995</v>
      </c>
      <c r="J3" s="19">
        <v>-15.364459999999994</v>
      </c>
      <c r="K3" s="19">
        <v>-15.597840000000005</v>
      </c>
      <c r="L3" s="9">
        <f>AVERAGE(C3:K3)</f>
        <v>-15.449882222222222</v>
      </c>
      <c r="M3" s="21">
        <f>_xlfn.STDEV.P(C3:K3)</f>
        <v>0.29847398512276063</v>
      </c>
      <c r="O3" s="292" t="s">
        <v>4</v>
      </c>
      <c r="S3" s="2" t="s">
        <v>7</v>
      </c>
      <c r="T3" s="2" t="s">
        <v>8</v>
      </c>
      <c r="U3" s="2" t="s">
        <v>9</v>
      </c>
      <c r="V3" s="2" t="s">
        <v>10</v>
      </c>
      <c r="W3" s="41" t="s">
        <v>11</v>
      </c>
      <c r="X3" s="46" t="s">
        <v>12</v>
      </c>
    </row>
    <row r="4" spans="2:24" ht="15" thickBot="1" x14ac:dyDescent="0.25">
      <c r="B4" s="97">
        <v>2</v>
      </c>
      <c r="C4" s="18">
        <v>-14.860690000000005</v>
      </c>
      <c r="D4" s="19">
        <v>-15.72927</v>
      </c>
      <c r="E4" s="19">
        <v>-15.09572</v>
      </c>
      <c r="F4" s="19">
        <v>-15.727279999999993</v>
      </c>
      <c r="G4" s="23">
        <v>-15.300110000000004</v>
      </c>
      <c r="H4" s="19">
        <v>-15.782669999999996</v>
      </c>
      <c r="I4" s="19">
        <v>-15.486540000000005</v>
      </c>
      <c r="J4" s="19">
        <v>-15.348920000000007</v>
      </c>
      <c r="K4" s="19">
        <v>-15.589550000000003</v>
      </c>
      <c r="L4" s="9">
        <f t="shared" ref="L4:L32" si="0">AVERAGE(C4:K4)</f>
        <v>-15.435638888888889</v>
      </c>
      <c r="M4" s="21">
        <f t="shared" ref="M4:M31" si="1">_xlfn.STDEV.P(C4:K4)</f>
        <v>0.2962700032982068</v>
      </c>
      <c r="O4" s="17">
        <f>AVERAGE(C34:K34)</f>
        <v>1.3743886839518564E-2</v>
      </c>
      <c r="S4" s="2" t="str">
        <f>indeter_MI!B5</f>
        <v>Поверка</v>
      </c>
      <c r="T4" s="2">
        <f>indeter_MI!C5</f>
        <v>0.1</v>
      </c>
      <c r="U4" s="2" t="str">
        <f>indeter_MI!D5</f>
        <v>Нормальное</v>
      </c>
      <c r="V4" s="2">
        <f>indeter_MI!E5</f>
        <v>2</v>
      </c>
      <c r="W4" s="59">
        <f>T4/V4</f>
        <v>0.05</v>
      </c>
      <c r="X4" s="52">
        <f t="shared" ref="X4:X9" si="2">W4*W4</f>
        <v>2.5000000000000005E-3</v>
      </c>
    </row>
    <row r="5" spans="2:24" x14ac:dyDescent="0.2">
      <c r="B5" s="96">
        <v>3</v>
      </c>
      <c r="C5" s="18">
        <v>-14.867170000000002</v>
      </c>
      <c r="D5" s="19">
        <v>-15.735560000000007</v>
      </c>
      <c r="E5" s="19">
        <v>-15.081969999999998</v>
      </c>
      <c r="F5" s="19">
        <v>-15.713849999999994</v>
      </c>
      <c r="G5" s="23">
        <v>-15.290279999999996</v>
      </c>
      <c r="H5" s="19">
        <v>-15.780379999999994</v>
      </c>
      <c r="I5" s="19">
        <v>-15.481250000000003</v>
      </c>
      <c r="J5" s="19">
        <v>-15.340599999999995</v>
      </c>
      <c r="K5" s="19">
        <v>-15.592209999999994</v>
      </c>
      <c r="L5" s="9">
        <f t="shared" si="0"/>
        <v>-15.431474444444442</v>
      </c>
      <c r="M5" s="21">
        <f t="shared" si="1"/>
        <v>0.29646800266212325</v>
      </c>
      <c r="O5" s="292" t="s">
        <v>5</v>
      </c>
      <c r="S5" s="2" t="str">
        <f>indeter_MI!B6</f>
        <v>Повторяемость*</v>
      </c>
      <c r="T5" s="2">
        <f>indeter_MI!C6</f>
        <v>0.01</v>
      </c>
      <c r="U5" s="2" t="str">
        <f>indeter_MI!D6</f>
        <v>Нормальное</v>
      </c>
      <c r="V5" s="2">
        <f>indeter_MI!E6</f>
        <v>1</v>
      </c>
      <c r="W5" s="59">
        <f t="shared" ref="W5:W13" si="3">T5/V5</f>
        <v>0.01</v>
      </c>
      <c r="X5" s="52">
        <f t="shared" si="2"/>
        <v>1E-4</v>
      </c>
    </row>
    <row r="6" spans="2:24" ht="15" thickBot="1" x14ac:dyDescent="0.25">
      <c r="B6" s="97">
        <v>4</v>
      </c>
      <c r="C6" s="18">
        <v>-14.875309999999999</v>
      </c>
      <c r="D6" s="19">
        <v>-15.747420000000005</v>
      </c>
      <c r="E6" s="19">
        <v>-15.083539999999999</v>
      </c>
      <c r="F6" s="19">
        <v>-15.71875</v>
      </c>
      <c r="G6" s="23">
        <v>-15.308260000000004</v>
      </c>
      <c r="H6" s="19">
        <v>-15.793350000000004</v>
      </c>
      <c r="I6" s="19">
        <v>-15.499009999999998</v>
      </c>
      <c r="J6" s="19">
        <v>-15.346850000000003</v>
      </c>
      <c r="K6" s="19">
        <v>-15.596599999999995</v>
      </c>
      <c r="L6" s="9">
        <f t="shared" si="0"/>
        <v>-15.441009999999999</v>
      </c>
      <c r="M6" s="21">
        <f t="shared" si="1"/>
        <v>0.29758888091534086</v>
      </c>
      <c r="O6" s="17">
        <f>O4/(SQRT(270))</f>
        <v>8.3642631664474474E-4</v>
      </c>
      <c r="S6" s="2" t="str">
        <f>indeter_MI!B7</f>
        <v>Гистерезис</v>
      </c>
      <c r="T6" s="2">
        <f>indeter_MI!C7</f>
        <v>0.01</v>
      </c>
      <c r="U6" s="2" t="str">
        <f>indeter_MI!D7</f>
        <v>Прямоугольное</v>
      </c>
      <c r="V6" s="2">
        <f>indeter_MI!E7</f>
        <v>1.73</v>
      </c>
      <c r="W6" s="59">
        <f t="shared" si="3"/>
        <v>5.7803468208092491E-3</v>
      </c>
      <c r="X6" s="52">
        <f t="shared" si="2"/>
        <v>3.3412409368839592E-5</v>
      </c>
    </row>
    <row r="7" spans="2:24" x14ac:dyDescent="0.2">
      <c r="B7" s="96">
        <v>5</v>
      </c>
      <c r="C7" s="18">
        <v>-14.875500000000002</v>
      </c>
      <c r="D7" s="19">
        <v>-15.753339999999994</v>
      </c>
      <c r="E7" s="19">
        <v>-15.090209999999999</v>
      </c>
      <c r="F7" s="19">
        <v>-15.725390000000004</v>
      </c>
      <c r="G7" s="23">
        <v>-15.324629999999999</v>
      </c>
      <c r="H7" s="19">
        <v>-15.799930000000003</v>
      </c>
      <c r="I7" s="19">
        <v>-15.513109999999998</v>
      </c>
      <c r="J7" s="19">
        <v>-15.359650000000002</v>
      </c>
      <c r="K7" s="19">
        <v>-15.602630000000005</v>
      </c>
      <c r="L7" s="9">
        <f t="shared" si="0"/>
        <v>-15.449376666666669</v>
      </c>
      <c r="M7" s="21">
        <f t="shared" si="1"/>
        <v>0.29832140724765671</v>
      </c>
      <c r="S7" s="2" t="str">
        <f>indeter_MI!B8</f>
        <v>Влияние температуры</v>
      </c>
      <c r="T7" s="2">
        <f>indeter_MI!C8</f>
        <v>0.01</v>
      </c>
      <c r="U7" s="2" t="str">
        <f>indeter_MI!D8</f>
        <v>Прямоугольное</v>
      </c>
      <c r="V7" s="2">
        <f>indeter_MI!E8</f>
        <v>1.73</v>
      </c>
      <c r="W7" s="59">
        <f t="shared" si="3"/>
        <v>5.7803468208092491E-3</v>
      </c>
      <c r="X7" s="52">
        <f t="shared" si="2"/>
        <v>3.3412409368839592E-5</v>
      </c>
    </row>
    <row r="8" spans="2:24" ht="15" thickBot="1" x14ac:dyDescent="0.25">
      <c r="B8" s="97">
        <v>6</v>
      </c>
      <c r="C8" s="18">
        <v>-14.872969999999995</v>
      </c>
      <c r="D8" s="19">
        <v>-15.748230000000007</v>
      </c>
      <c r="E8" s="19">
        <v>-15.094290000000001</v>
      </c>
      <c r="F8" s="19">
        <v>-15.72833</v>
      </c>
      <c r="G8" s="23">
        <v>-15.317899999999995</v>
      </c>
      <c r="H8" s="19">
        <v>-15.796099999999996</v>
      </c>
      <c r="I8" s="19">
        <v>-15.508219999999994</v>
      </c>
      <c r="J8" s="19">
        <v>-15.358670000000004</v>
      </c>
      <c r="K8" s="19">
        <v>-15.599930000000001</v>
      </c>
      <c r="L8" s="9">
        <f t="shared" si="0"/>
        <v>-15.447182222222219</v>
      </c>
      <c r="M8" s="21">
        <f t="shared" si="1"/>
        <v>0.29763434877856448</v>
      </c>
      <c r="S8" s="2" t="str">
        <f>indeter_MI!B9</f>
        <v>Дрейф*</v>
      </c>
      <c r="T8" s="2">
        <f>indeter_MI!C9</f>
        <v>0.1</v>
      </c>
      <c r="U8" s="2" t="str">
        <f>indeter_MI!D9</f>
        <v>Прямоугольное</v>
      </c>
      <c r="V8" s="2">
        <f>indeter_MI!E9</f>
        <v>1.73</v>
      </c>
      <c r="W8" s="59">
        <f t="shared" si="3"/>
        <v>5.7803468208092491E-2</v>
      </c>
      <c r="X8" s="52">
        <f t="shared" si="2"/>
        <v>3.3412409368839594E-3</v>
      </c>
    </row>
    <row r="9" spans="2:24" x14ac:dyDescent="0.2">
      <c r="B9" s="96">
        <v>7</v>
      </c>
      <c r="C9" s="18">
        <v>-14.880629999999996</v>
      </c>
      <c r="D9" s="19">
        <v>-15.75027</v>
      </c>
      <c r="E9" s="19">
        <v>-15.090040000000002</v>
      </c>
      <c r="F9" s="19">
        <v>-15.725890000000007</v>
      </c>
      <c r="G9" s="23">
        <v>-15.309539999999998</v>
      </c>
      <c r="H9" s="19">
        <v>-15.793670000000006</v>
      </c>
      <c r="I9" s="19">
        <v>-15.499709999999993</v>
      </c>
      <c r="J9" s="19">
        <v>-15.357529999999997</v>
      </c>
      <c r="K9" s="19">
        <v>-15.59778</v>
      </c>
      <c r="L9" s="9">
        <f t="shared" si="0"/>
        <v>-15.445006666666668</v>
      </c>
      <c r="M9" s="21">
        <f t="shared" si="1"/>
        <v>0.29636785644420782</v>
      </c>
      <c r="O9" s="2" t="s">
        <v>0</v>
      </c>
      <c r="P9" s="2" t="s">
        <v>2</v>
      </c>
      <c r="Q9" s="2" t="s">
        <v>3</v>
      </c>
      <c r="S9" s="2" t="str">
        <f>indeter_MI!B10</f>
        <v>Линейность</v>
      </c>
      <c r="T9" s="2">
        <f>indeter_MI!C10</f>
        <v>0.02</v>
      </c>
      <c r="U9" s="2" t="str">
        <f>indeter_MI!D10</f>
        <v>Прямоугольное</v>
      </c>
      <c r="V9" s="2">
        <f>indeter_MI!E10</f>
        <v>1.73</v>
      </c>
      <c r="W9" s="59">
        <f t="shared" si="3"/>
        <v>1.1560693641618498E-2</v>
      </c>
      <c r="X9" s="52">
        <f t="shared" si="2"/>
        <v>1.3364963747535837E-4</v>
      </c>
    </row>
    <row r="10" spans="2:24" ht="15" thickBot="1" x14ac:dyDescent="0.25">
      <c r="B10" s="97">
        <v>8</v>
      </c>
      <c r="C10" s="18">
        <v>-14.881209999999996</v>
      </c>
      <c r="D10" s="19">
        <v>-15.742109999999997</v>
      </c>
      <c r="E10" s="19">
        <v>-15.091120000000004</v>
      </c>
      <c r="F10" s="19">
        <v>-15.724689999999995</v>
      </c>
      <c r="G10" s="23">
        <v>-15.303880000000007</v>
      </c>
      <c r="H10" s="19">
        <v>-15.792879999999997</v>
      </c>
      <c r="I10" s="19">
        <v>-15.493120000000005</v>
      </c>
      <c r="J10" s="19">
        <v>-15.352710000000002</v>
      </c>
      <c r="K10" s="19">
        <v>-15.598600000000005</v>
      </c>
      <c r="L10" s="9">
        <f t="shared" si="0"/>
        <v>-15.442257777777778</v>
      </c>
      <c r="M10" s="21">
        <f t="shared" si="1"/>
        <v>0.29531239127321701</v>
      </c>
      <c r="O10" s="38">
        <f>MAX(M3:M32)</f>
        <v>0.29847398512276063</v>
      </c>
      <c r="P10" s="51">
        <f>MAX(C34:K34)</f>
        <v>1.6305740366168459E-2</v>
      </c>
      <c r="Q10" s="50">
        <f>O6</f>
        <v>8.3642631664474474E-4</v>
      </c>
      <c r="S10" s="2" t="str">
        <f>indeter_MI!B11</f>
        <v>Разрешающая способность</v>
      </c>
      <c r="T10" s="2">
        <f>indeter_MI!C11</f>
        <v>0.01</v>
      </c>
      <c r="U10" s="2" t="str">
        <f>indeter_MI!D11</f>
        <v>Прямоугольное</v>
      </c>
      <c r="V10" s="2">
        <f>indeter_MI!E11</f>
        <v>1.73</v>
      </c>
      <c r="W10" s="59">
        <f t="shared" si="3"/>
        <v>5.7803468208092491E-3</v>
      </c>
      <c r="X10" s="52">
        <f>W10*W10</f>
        <v>3.3412409368839592E-5</v>
      </c>
    </row>
    <row r="11" spans="2:24" x14ac:dyDescent="0.2">
      <c r="B11" s="96">
        <v>9</v>
      </c>
      <c r="C11" s="18">
        <v>-14.883170000000007</v>
      </c>
      <c r="D11" s="19">
        <v>-15.735399999999998</v>
      </c>
      <c r="E11" s="19">
        <v>-15.089370000000002</v>
      </c>
      <c r="F11" s="19">
        <v>-15.721270000000004</v>
      </c>
      <c r="G11" s="23">
        <v>-15.306079999999994</v>
      </c>
      <c r="H11" s="19">
        <v>-15.794970000000006</v>
      </c>
      <c r="I11" s="19">
        <v>-15.499409999999997</v>
      </c>
      <c r="J11" s="19">
        <v>-15.350239999999999</v>
      </c>
      <c r="K11" s="19">
        <v>-15.595500000000001</v>
      </c>
      <c r="L11" s="9">
        <f t="shared" si="0"/>
        <v>-15.441712222222224</v>
      </c>
      <c r="M11" s="21">
        <f t="shared" si="1"/>
        <v>0.29421336859790753</v>
      </c>
      <c r="S11" s="36" t="s">
        <v>0</v>
      </c>
      <c r="T11" s="37">
        <f>O10</f>
        <v>0.29847398512276063</v>
      </c>
      <c r="U11" s="36" t="s">
        <v>13</v>
      </c>
      <c r="V11" s="21">
        <v>1</v>
      </c>
      <c r="W11" s="61">
        <f t="shared" si="3"/>
        <v>0.29847398512276063</v>
      </c>
      <c r="X11" s="53">
        <f>W11*W11</f>
        <v>8.9086719795061942E-2</v>
      </c>
    </row>
    <row r="12" spans="2:24" ht="15" thickBot="1" x14ac:dyDescent="0.25">
      <c r="B12" s="97">
        <v>10</v>
      </c>
      <c r="C12" s="18">
        <v>-14.869870000000006</v>
      </c>
      <c r="D12" s="19">
        <v>-15.725390000000004</v>
      </c>
      <c r="E12" s="19">
        <v>-15.088610000000003</v>
      </c>
      <c r="F12" s="19">
        <v>-15.708789999999993</v>
      </c>
      <c r="G12" s="23">
        <v>-15.289779999999993</v>
      </c>
      <c r="H12" s="19">
        <v>-15.771259999999998</v>
      </c>
      <c r="I12" s="19">
        <v>-15.480099999999993</v>
      </c>
      <c r="J12" s="19">
        <v>-15.341139999999996</v>
      </c>
      <c r="K12" s="19">
        <v>-15.5822</v>
      </c>
      <c r="L12" s="9">
        <f t="shared" si="0"/>
        <v>-15.428571111111109</v>
      </c>
      <c r="M12" s="21">
        <f t="shared" si="1"/>
        <v>0.29153701409538607</v>
      </c>
      <c r="S12" s="26" t="s">
        <v>21</v>
      </c>
      <c r="T12" s="39">
        <f>P10</f>
        <v>1.6305740366168459E-2</v>
      </c>
      <c r="U12" s="26" t="s">
        <v>13</v>
      </c>
      <c r="V12" s="22">
        <v>1</v>
      </c>
      <c r="W12" s="60">
        <f t="shared" si="3"/>
        <v>1.6305740366168459E-2</v>
      </c>
      <c r="X12" s="54">
        <f>W12*W12</f>
        <v>2.6587716888889552E-4</v>
      </c>
    </row>
    <row r="13" spans="2:24" x14ac:dyDescent="0.2">
      <c r="B13" s="96">
        <v>11</v>
      </c>
      <c r="C13" s="18">
        <v>-14.853650000000002</v>
      </c>
      <c r="D13" s="19">
        <v>-15.721969999999999</v>
      </c>
      <c r="E13" s="19">
        <v>-15.076719999999995</v>
      </c>
      <c r="F13" s="19">
        <v>-15.69708</v>
      </c>
      <c r="G13" s="23">
        <v>-15.282030000000006</v>
      </c>
      <c r="H13" s="19">
        <v>-15.764470000000003</v>
      </c>
      <c r="I13" s="19">
        <v>-15.481859999999998</v>
      </c>
      <c r="J13" s="19">
        <v>-15.332819999999998</v>
      </c>
      <c r="K13" s="19">
        <v>-15.579679999999996</v>
      </c>
      <c r="L13" s="9">
        <f t="shared" si="0"/>
        <v>-15.421142222222223</v>
      </c>
      <c r="M13" s="21">
        <f t="shared" si="1"/>
        <v>0.29461103591676707</v>
      </c>
      <c r="S13" s="25" t="s">
        <v>3</v>
      </c>
      <c r="T13" s="40">
        <f>Q10</f>
        <v>8.3642631664474474E-4</v>
      </c>
      <c r="U13" s="25" t="s">
        <v>13</v>
      </c>
      <c r="V13" s="17">
        <v>1</v>
      </c>
      <c r="W13" s="62">
        <f t="shared" si="3"/>
        <v>8.3642631664474474E-4</v>
      </c>
      <c r="X13" s="55">
        <f>W13*W13</f>
        <v>6.9960898317589478E-7</v>
      </c>
    </row>
    <row r="14" spans="2:24" ht="15" thickBot="1" x14ac:dyDescent="0.25">
      <c r="B14" s="97">
        <v>12</v>
      </c>
      <c r="C14" s="18">
        <v>-14.856020000000001</v>
      </c>
      <c r="D14" s="19">
        <v>-15.725719999999995</v>
      </c>
      <c r="E14" s="19">
        <v>-15.071719999999999</v>
      </c>
      <c r="F14" s="19">
        <v>-15.697450000000003</v>
      </c>
      <c r="G14" s="23">
        <v>-15.288219999999995</v>
      </c>
      <c r="H14" s="19">
        <v>-15.76764</v>
      </c>
      <c r="I14" s="19">
        <v>-15.47739</v>
      </c>
      <c r="J14" s="19">
        <v>-15.335300000000004</v>
      </c>
      <c r="K14" s="19">
        <v>-15.58417</v>
      </c>
      <c r="L14" s="9">
        <f t="shared" si="0"/>
        <v>-15.422625555555555</v>
      </c>
      <c r="M14" s="21">
        <f t="shared" si="1"/>
        <v>0.29540793016178335</v>
      </c>
      <c r="W14" s="56"/>
      <c r="X14" s="56"/>
    </row>
    <row r="15" spans="2:24" x14ac:dyDescent="0.2">
      <c r="B15" s="96">
        <v>13</v>
      </c>
      <c r="C15" s="18">
        <v>-14.861509999999996</v>
      </c>
      <c r="D15" s="19">
        <v>-15.717950000000002</v>
      </c>
      <c r="E15" s="19">
        <v>-15.077650000000006</v>
      </c>
      <c r="F15" s="19">
        <v>-15.704980000000006</v>
      </c>
      <c r="G15" s="23">
        <v>-15.297210000000007</v>
      </c>
      <c r="H15" s="19">
        <v>-15.773520000000005</v>
      </c>
      <c r="I15" s="19">
        <v>-15.493570000000005</v>
      </c>
      <c r="J15" s="19">
        <v>-15.337980000000002</v>
      </c>
      <c r="K15" s="19">
        <v>-15.581909999999993</v>
      </c>
      <c r="L15" s="9">
        <f t="shared" si="0"/>
        <v>-15.427364444444448</v>
      </c>
      <c r="M15" s="21">
        <f t="shared" si="1"/>
        <v>0.29382964414818247</v>
      </c>
      <c r="S15" s="35" t="s">
        <v>22</v>
      </c>
      <c r="U15" s="41" t="s">
        <v>82</v>
      </c>
      <c r="V15" s="41"/>
      <c r="W15" s="57" t="s">
        <v>83</v>
      </c>
      <c r="X15" s="57"/>
    </row>
    <row r="16" spans="2:24" ht="15" thickBot="1" x14ac:dyDescent="0.25">
      <c r="B16" s="97">
        <v>14</v>
      </c>
      <c r="C16" s="18">
        <v>-14.844769999999997</v>
      </c>
      <c r="D16" s="19">
        <v>-15.706680000000006</v>
      </c>
      <c r="E16" s="19">
        <v>-15.072299999999998</v>
      </c>
      <c r="F16" s="19">
        <v>-15.698930000000004</v>
      </c>
      <c r="G16" s="23">
        <v>-15.276060000000001</v>
      </c>
      <c r="H16" s="19">
        <v>-15.760120000000001</v>
      </c>
      <c r="I16" s="19">
        <v>-15.482100000000003</v>
      </c>
      <c r="J16" s="19">
        <v>-15.32544</v>
      </c>
      <c r="K16" s="19">
        <v>-15.570300000000003</v>
      </c>
      <c r="L16" s="9">
        <f t="shared" si="0"/>
        <v>-15.41518888888889</v>
      </c>
      <c r="M16" s="21">
        <f t="shared" si="1"/>
        <v>0.29502397655650153</v>
      </c>
      <c r="S16" s="42">
        <f>SUM(X4:X13)</f>
        <v>9.5528424375399851E-2</v>
      </c>
      <c r="V16" s="72">
        <f>SQRT(S17)</f>
        <v>0.3090767218669177</v>
      </c>
      <c r="W16" s="65"/>
      <c r="X16" s="72">
        <f>V16*2</f>
        <v>0.61815344373383541</v>
      </c>
    </row>
    <row r="17" spans="2:24" x14ac:dyDescent="0.2">
      <c r="B17" s="96">
        <v>15</v>
      </c>
      <c r="C17" s="18">
        <v>-14.853210000000004</v>
      </c>
      <c r="D17" s="19">
        <v>-15.717770000000002</v>
      </c>
      <c r="E17" s="19">
        <v>-15.06523</v>
      </c>
      <c r="F17" s="19">
        <v>-15.686580000000006</v>
      </c>
      <c r="G17" s="23">
        <v>-15.273759999999996</v>
      </c>
      <c r="H17" s="19">
        <v>-15.759249999999994</v>
      </c>
      <c r="I17" s="19">
        <v>-15.478300000000004</v>
      </c>
      <c r="J17" s="19">
        <v>-15.328379999999996</v>
      </c>
      <c r="K17" s="19">
        <v>-15.573589999999996</v>
      </c>
      <c r="L17" s="9">
        <f t="shared" si="0"/>
        <v>-15.415118888888887</v>
      </c>
      <c r="M17" s="21">
        <f t="shared" si="1"/>
        <v>0.29410689698529796</v>
      </c>
      <c r="S17" s="42">
        <f>ROUND(S16,8)</f>
        <v>9.5528420000000003E-2</v>
      </c>
      <c r="V17" s="72">
        <f>ROUND(V16,3)</f>
        <v>0.309</v>
      </c>
      <c r="W17" s="65"/>
      <c r="X17" s="72">
        <f>ROUND(X16,3)</f>
        <v>0.61799999999999999</v>
      </c>
    </row>
    <row r="18" spans="2:24" ht="15" thickBot="1" x14ac:dyDescent="0.25">
      <c r="B18" s="97">
        <v>16</v>
      </c>
      <c r="C18" s="18">
        <v>-14.860110000000006</v>
      </c>
      <c r="D18" s="19">
        <v>-15.714479999999995</v>
      </c>
      <c r="E18" s="19">
        <v>-15.075270000000003</v>
      </c>
      <c r="F18" s="19">
        <v>-15.695139999999995</v>
      </c>
      <c r="G18" s="23">
        <v>-15.292919999999995</v>
      </c>
      <c r="H18" s="19">
        <v>-15.768829999999994</v>
      </c>
      <c r="I18" s="19">
        <v>-15.479709999999997</v>
      </c>
      <c r="J18" s="19">
        <v>-15.333789999999993</v>
      </c>
      <c r="K18" s="19">
        <v>-15.577560000000005</v>
      </c>
      <c r="L18" s="9">
        <f t="shared" si="0"/>
        <v>-15.421978888888885</v>
      </c>
      <c r="M18" s="21">
        <f t="shared" si="1"/>
        <v>0.29218622830290075</v>
      </c>
      <c r="W18" s="56"/>
      <c r="X18" s="56"/>
    </row>
    <row r="19" spans="2:24" x14ac:dyDescent="0.2">
      <c r="B19" s="96">
        <v>17</v>
      </c>
      <c r="C19" s="18">
        <v>-14.862030000000004</v>
      </c>
      <c r="D19" s="19">
        <v>-15.709209999999999</v>
      </c>
      <c r="E19" s="19">
        <v>-15.071309999999997</v>
      </c>
      <c r="F19" s="19">
        <v>-15.693619999999996</v>
      </c>
      <c r="G19" s="23">
        <v>-15.284930000000003</v>
      </c>
      <c r="H19" s="19">
        <v>-15.762590000000003</v>
      </c>
      <c r="I19" s="19">
        <v>-15.470209999999994</v>
      </c>
      <c r="J19" s="19">
        <v>-15.330290000000005</v>
      </c>
      <c r="K19" s="19">
        <v>-15.572220000000002</v>
      </c>
      <c r="L19" s="9">
        <f t="shared" si="0"/>
        <v>-15.417378888888891</v>
      </c>
      <c r="M19" s="21">
        <f t="shared" si="1"/>
        <v>0.29073000133550475</v>
      </c>
      <c r="O19" s="292" t="s">
        <v>36</v>
      </c>
      <c r="W19" s="56"/>
      <c r="X19" s="56"/>
    </row>
    <row r="20" spans="2:24" ht="15" thickBot="1" x14ac:dyDescent="0.25">
      <c r="B20" s="97">
        <v>18</v>
      </c>
      <c r="C20" s="18">
        <v>-14.867199999999997</v>
      </c>
      <c r="D20" s="19">
        <v>-15.715710000000001</v>
      </c>
      <c r="E20" s="19">
        <v>-15.072109999999995</v>
      </c>
      <c r="F20" s="19">
        <v>-15.696179999999998</v>
      </c>
      <c r="G20" s="23">
        <v>-15.286869999999993</v>
      </c>
      <c r="H20" s="19">
        <v>-15.766970000000001</v>
      </c>
      <c r="I20" s="19">
        <v>-15.487049999999996</v>
      </c>
      <c r="J20" s="19">
        <v>-15.338610000000003</v>
      </c>
      <c r="K20" s="19">
        <v>-15.578810000000004</v>
      </c>
      <c r="L20" s="9">
        <f t="shared" si="0"/>
        <v>-15.423278888888888</v>
      </c>
      <c r="M20" s="21">
        <f t="shared" si="1"/>
        <v>0.2914886613172874</v>
      </c>
      <c r="W20" s="56"/>
      <c r="X20" s="56"/>
    </row>
    <row r="21" spans="2:24" x14ac:dyDescent="0.2">
      <c r="B21" s="96">
        <v>19</v>
      </c>
      <c r="C21" s="18">
        <v>-14.885850000000005</v>
      </c>
      <c r="D21" s="19">
        <v>-15.731260000000006</v>
      </c>
      <c r="E21" s="19">
        <v>-15.077309999999997</v>
      </c>
      <c r="F21" s="19">
        <v>-15.702100000000002</v>
      </c>
      <c r="G21" s="23">
        <v>-15.288650000000004</v>
      </c>
      <c r="H21" s="19">
        <v>-15.769779999999997</v>
      </c>
      <c r="I21" s="19">
        <v>-15.496600000000001</v>
      </c>
      <c r="J21" s="19">
        <v>-15.343770000000006</v>
      </c>
      <c r="K21" s="19">
        <v>-15.586929999999995</v>
      </c>
      <c r="L21" s="9">
        <f t="shared" si="0"/>
        <v>-15.43136111111111</v>
      </c>
      <c r="M21" s="21">
        <f t="shared" si="1"/>
        <v>0.29005693910159636</v>
      </c>
      <c r="O21" s="63" t="s">
        <v>23</v>
      </c>
      <c r="S21" s="2" t="s">
        <v>7</v>
      </c>
      <c r="T21" s="2" t="s">
        <v>8</v>
      </c>
      <c r="U21" s="2" t="s">
        <v>9</v>
      </c>
      <c r="V21" s="2" t="s">
        <v>10</v>
      </c>
      <c r="W21" s="57" t="s">
        <v>11</v>
      </c>
      <c r="X21" s="58" t="s">
        <v>12</v>
      </c>
    </row>
    <row r="22" spans="2:24" ht="15" thickBot="1" x14ac:dyDescent="0.25">
      <c r="B22" s="97">
        <v>20</v>
      </c>
      <c r="C22" s="18">
        <v>-14.900530000000003</v>
      </c>
      <c r="D22" s="19">
        <v>-15.739360000000005</v>
      </c>
      <c r="E22" s="19">
        <v>-15.090500000000006</v>
      </c>
      <c r="F22" s="19">
        <v>-15.716679999999997</v>
      </c>
      <c r="G22" s="23">
        <v>-15.308890000000005</v>
      </c>
      <c r="H22" s="19">
        <v>-15.787199999999999</v>
      </c>
      <c r="I22" s="19">
        <v>-15.514009999999999</v>
      </c>
      <c r="J22" s="19">
        <v>-15.351500000000001</v>
      </c>
      <c r="K22" s="19">
        <v>-15.597520000000003</v>
      </c>
      <c r="L22" s="9">
        <f t="shared" si="0"/>
        <v>-15.445132222222222</v>
      </c>
      <c r="M22" s="21">
        <f t="shared" si="1"/>
        <v>0.28962988990847283</v>
      </c>
      <c r="O22" s="64">
        <f>MAX(C34:K34)</f>
        <v>1.6305740366168459E-2</v>
      </c>
      <c r="S22" s="2" t="str">
        <f>indeter_MI!B16</f>
        <v>Поверка</v>
      </c>
      <c r="T22" s="2">
        <f>indeter_MI!C16</f>
        <v>0.1</v>
      </c>
      <c r="U22" s="2" t="str">
        <f>indeter_MI!D16</f>
        <v>Нормальное</v>
      </c>
      <c r="V22" s="2">
        <f>indeter_MI!E16</f>
        <v>2</v>
      </c>
      <c r="W22" s="59">
        <f>T22/V22</f>
        <v>0.05</v>
      </c>
      <c r="X22" s="59">
        <f t="shared" ref="X22:X29" si="4">W22*W22</f>
        <v>2.5000000000000005E-3</v>
      </c>
    </row>
    <row r="23" spans="2:24" x14ac:dyDescent="0.2">
      <c r="B23" s="96">
        <v>21</v>
      </c>
      <c r="C23" s="18">
        <v>-14.90558</v>
      </c>
      <c r="D23" s="19">
        <v>-15.737260000000006</v>
      </c>
      <c r="E23" s="19">
        <v>-15.098370000000003</v>
      </c>
      <c r="F23" s="19">
        <v>-15.719130000000007</v>
      </c>
      <c r="G23" s="23">
        <v>-15.310760000000002</v>
      </c>
      <c r="H23" s="19">
        <v>-15.788979999999995</v>
      </c>
      <c r="I23" s="19">
        <v>-15.519670000000005</v>
      </c>
      <c r="J23" s="19">
        <v>-15.353989999999996</v>
      </c>
      <c r="K23" s="19">
        <v>-15.59939</v>
      </c>
      <c r="L23" s="9">
        <f t="shared" si="0"/>
        <v>-15.448125555555558</v>
      </c>
      <c r="M23" s="21">
        <f t="shared" si="1"/>
        <v>0.28783460818521472</v>
      </c>
      <c r="S23" s="2" t="str">
        <f>indeter_MI!B17</f>
        <v>Повторяемость*</v>
      </c>
      <c r="T23" s="2">
        <f>indeter_MI!C17</f>
        <v>0.01</v>
      </c>
      <c r="U23" s="2" t="str">
        <f>indeter_MI!D17</f>
        <v>Нормальное</v>
      </c>
      <c r="V23" s="2">
        <f>indeter_MI!E17</f>
        <v>1</v>
      </c>
      <c r="W23" s="59">
        <f t="shared" ref="W23:W28" si="5">T23/V23</f>
        <v>0.01</v>
      </c>
      <c r="X23" s="59">
        <f t="shared" si="4"/>
        <v>1E-4</v>
      </c>
    </row>
    <row r="24" spans="2:24" ht="15" thickBot="1" x14ac:dyDescent="0.25">
      <c r="B24" s="97">
        <v>22</v>
      </c>
      <c r="C24" s="18">
        <v>-14.885409999999993</v>
      </c>
      <c r="D24" s="19">
        <v>-15.717709999999997</v>
      </c>
      <c r="E24" s="19">
        <v>-15.096329999999995</v>
      </c>
      <c r="F24" s="19">
        <v>-15.714519999999993</v>
      </c>
      <c r="G24" s="23">
        <v>-15.296539999999993</v>
      </c>
      <c r="H24" s="19">
        <v>-15.777479999999997</v>
      </c>
      <c r="I24" s="19">
        <v>-15.491579999999999</v>
      </c>
      <c r="J24" s="19">
        <v>-15.341719999999995</v>
      </c>
      <c r="K24" s="19">
        <v>-15.587569999999999</v>
      </c>
      <c r="L24" s="9">
        <f t="shared" si="0"/>
        <v>-15.434317777777771</v>
      </c>
      <c r="M24" s="21">
        <f t="shared" si="1"/>
        <v>0.28798968043925954</v>
      </c>
      <c r="S24" s="2" t="str">
        <f>indeter_MI!B18</f>
        <v>Гистерезис</v>
      </c>
      <c r="T24" s="2">
        <f>indeter_MI!C18</f>
        <v>0.01</v>
      </c>
      <c r="U24" s="2" t="str">
        <f>indeter_MI!D18</f>
        <v>Прямоугольное</v>
      </c>
      <c r="V24" s="2">
        <f>indeter_MI!E18</f>
        <v>1.73</v>
      </c>
      <c r="W24" s="59">
        <f t="shared" si="5"/>
        <v>5.7803468208092491E-3</v>
      </c>
      <c r="X24" s="59">
        <f t="shared" si="4"/>
        <v>3.3412409368839592E-5</v>
      </c>
    </row>
    <row r="25" spans="2:24" x14ac:dyDescent="0.2">
      <c r="B25" s="96">
        <v>23</v>
      </c>
      <c r="C25" s="18">
        <v>-14.868480000000005</v>
      </c>
      <c r="D25" s="19">
        <v>-15.699539999999999</v>
      </c>
      <c r="E25" s="19">
        <v>-15.082260000000005</v>
      </c>
      <c r="F25" s="19">
        <v>-15.700530000000001</v>
      </c>
      <c r="G25" s="23">
        <v>-15.271699999999996</v>
      </c>
      <c r="H25" s="19">
        <v>-15.754909999999995</v>
      </c>
      <c r="I25" s="19">
        <v>-15.476849999999999</v>
      </c>
      <c r="J25" s="19">
        <v>-15.328969999999998</v>
      </c>
      <c r="K25" s="19">
        <v>-15.573359999999994</v>
      </c>
      <c r="L25" s="9">
        <f t="shared" si="0"/>
        <v>-15.417399999999999</v>
      </c>
      <c r="M25" s="21">
        <f t="shared" si="1"/>
        <v>0.28755999211758443</v>
      </c>
      <c r="S25" s="2" t="str">
        <f>indeter_MI!B19</f>
        <v>Влияние температуры</v>
      </c>
      <c r="T25" s="2">
        <f>indeter_MI!C19</f>
        <v>0.01</v>
      </c>
      <c r="U25" s="2" t="str">
        <f>indeter_MI!D19</f>
        <v>Прямоугольное</v>
      </c>
      <c r="V25" s="2">
        <f>indeter_MI!E19</f>
        <v>1.73</v>
      </c>
      <c r="W25" s="59">
        <f t="shared" si="5"/>
        <v>5.7803468208092491E-3</v>
      </c>
      <c r="X25" s="59">
        <f t="shared" si="4"/>
        <v>3.3412409368839592E-5</v>
      </c>
    </row>
    <row r="26" spans="2:24" ht="15" thickBot="1" x14ac:dyDescent="0.25">
      <c r="B26" s="97">
        <v>24</v>
      </c>
      <c r="C26" s="18">
        <v>-14.858699999999999</v>
      </c>
      <c r="D26" s="19">
        <v>-15.692490000000006</v>
      </c>
      <c r="E26" s="19">
        <v>-15.065430000000006</v>
      </c>
      <c r="F26" s="19">
        <v>-15.682400000000001</v>
      </c>
      <c r="G26" s="23">
        <v>-15.251649999999998</v>
      </c>
      <c r="H26" s="19">
        <v>-15.738039999999998</v>
      </c>
      <c r="I26" s="19">
        <v>-15.465360000000004</v>
      </c>
      <c r="J26" s="19">
        <v>-15.312939999999998</v>
      </c>
      <c r="K26" s="19">
        <v>-15.562929999999994</v>
      </c>
      <c r="L26" s="9">
        <f t="shared" si="0"/>
        <v>-15.403326666666667</v>
      </c>
      <c r="M26" s="21">
        <f t="shared" si="1"/>
        <v>0.28767644958258992</v>
      </c>
      <c r="S26" s="2" t="str">
        <f>indeter_MI!B20</f>
        <v>Дрейф*</v>
      </c>
      <c r="T26" s="2">
        <f>indeter_MI!C20</f>
        <v>0.1</v>
      </c>
      <c r="U26" s="2" t="str">
        <f>indeter_MI!D20</f>
        <v>Прямоугольное</v>
      </c>
      <c r="V26" s="2">
        <f>indeter_MI!E20</f>
        <v>1.73</v>
      </c>
      <c r="W26" s="59">
        <f t="shared" si="5"/>
        <v>5.7803468208092491E-2</v>
      </c>
      <c r="X26" s="59">
        <f t="shared" si="4"/>
        <v>3.3412409368839594E-3</v>
      </c>
    </row>
    <row r="27" spans="2:24" x14ac:dyDescent="0.2">
      <c r="B27" s="96">
        <v>25</v>
      </c>
      <c r="C27" s="18">
        <v>-14.866789999999995</v>
      </c>
      <c r="D27" s="19">
        <v>-15.710710000000006</v>
      </c>
      <c r="E27" s="19">
        <v>-15.058700000000002</v>
      </c>
      <c r="F27" s="19">
        <v>-15.682159999999996</v>
      </c>
      <c r="G27" s="23">
        <v>-15.266570000000002</v>
      </c>
      <c r="H27" s="19">
        <v>-15.748900000000006</v>
      </c>
      <c r="I27" s="19">
        <v>-15.47148</v>
      </c>
      <c r="J27" s="19">
        <v>-15.323130000000006</v>
      </c>
      <c r="K27" s="19">
        <v>-15.571899999999999</v>
      </c>
      <c r="L27" s="9">
        <f t="shared" si="0"/>
        <v>-15.41114888888889</v>
      </c>
      <c r="M27" s="21">
        <f t="shared" si="1"/>
        <v>0.28981558436911364</v>
      </c>
      <c r="S27" s="2" t="str">
        <f>indeter_MI!B21</f>
        <v>Линейность</v>
      </c>
      <c r="T27" s="2">
        <f>indeter_MI!C21</f>
        <v>0.02</v>
      </c>
      <c r="U27" s="2" t="str">
        <f>indeter_MI!D21</f>
        <v>Прямоугольное</v>
      </c>
      <c r="V27" s="2">
        <f>indeter_MI!E21</f>
        <v>1.73</v>
      </c>
      <c r="W27" s="59">
        <f t="shared" si="5"/>
        <v>1.1560693641618498E-2</v>
      </c>
      <c r="X27" s="59">
        <f t="shared" si="4"/>
        <v>1.3364963747535837E-4</v>
      </c>
    </row>
    <row r="28" spans="2:24" ht="15" thickBot="1" x14ac:dyDescent="0.25">
      <c r="B28" s="97">
        <v>26</v>
      </c>
      <c r="C28" s="18">
        <v>-14.873500000000007</v>
      </c>
      <c r="D28" s="19">
        <v>-15.73151</v>
      </c>
      <c r="E28" s="19">
        <v>-15.072599999999994</v>
      </c>
      <c r="F28" s="19">
        <v>-15.69932</v>
      </c>
      <c r="G28" s="23">
        <v>-15.290080000000003</v>
      </c>
      <c r="H28" s="19">
        <v>-15.769779999999997</v>
      </c>
      <c r="I28" s="19">
        <v>-15.487899999999996</v>
      </c>
      <c r="J28" s="19">
        <v>-15.339219999999997</v>
      </c>
      <c r="K28" s="19">
        <v>-15.581940000000003</v>
      </c>
      <c r="L28" s="9">
        <f t="shared" si="0"/>
        <v>-15.427316666666664</v>
      </c>
      <c r="M28" s="21">
        <f t="shared" si="1"/>
        <v>0.29259585073385108</v>
      </c>
      <c r="S28" s="2" t="str">
        <f>indeter_MI!B22</f>
        <v>Разрешающая способность</v>
      </c>
      <c r="T28" s="2">
        <f>indeter_MI!C22</f>
        <v>0.01</v>
      </c>
      <c r="U28" s="2" t="str">
        <f>indeter_MI!D22</f>
        <v>Прямоугольное</v>
      </c>
      <c r="V28" s="2">
        <f>indeter_MI!E22</f>
        <v>1.73</v>
      </c>
      <c r="W28" s="59">
        <f t="shared" si="5"/>
        <v>5.7803468208092491E-3</v>
      </c>
      <c r="X28" s="59">
        <f t="shared" si="4"/>
        <v>3.3412409368839592E-5</v>
      </c>
    </row>
    <row r="29" spans="2:24" x14ac:dyDescent="0.2">
      <c r="B29" s="96">
        <v>27</v>
      </c>
      <c r="C29" s="18">
        <v>-14.891180000000006</v>
      </c>
      <c r="D29" s="19">
        <v>-15.739660000000001</v>
      </c>
      <c r="E29" s="19">
        <v>-15.083280000000002</v>
      </c>
      <c r="F29" s="19">
        <v>-15.713440000000006</v>
      </c>
      <c r="G29" s="23">
        <v>-15.306550000000001</v>
      </c>
      <c r="H29" s="19">
        <v>-15.78313</v>
      </c>
      <c r="I29" s="19">
        <v>-15.502880000000005</v>
      </c>
      <c r="J29" s="19">
        <v>-15.349000000000004</v>
      </c>
      <c r="K29" s="19">
        <v>-15.589489999999998</v>
      </c>
      <c r="L29" s="9">
        <f t="shared" si="0"/>
        <v>-15.439845555555557</v>
      </c>
      <c r="M29" s="21">
        <f t="shared" si="1"/>
        <v>0.29119431069347201</v>
      </c>
      <c r="S29" s="48" t="s">
        <v>21</v>
      </c>
      <c r="T29" s="49">
        <f>O22</f>
        <v>1.6305740366168459E-2</v>
      </c>
      <c r="U29" s="49" t="s">
        <v>13</v>
      </c>
      <c r="V29" s="16">
        <v>1</v>
      </c>
      <c r="W29" s="60">
        <f>T29/V29</f>
        <v>1.6305740366168459E-2</v>
      </c>
      <c r="X29" s="60">
        <f t="shared" si="4"/>
        <v>2.6587716888889552E-4</v>
      </c>
    </row>
    <row r="30" spans="2:24" ht="15" thickBot="1" x14ac:dyDescent="0.25">
      <c r="B30" s="97">
        <v>28</v>
      </c>
      <c r="C30" s="18">
        <v>-14.895510000000002</v>
      </c>
      <c r="D30" s="19">
        <v>-15.731030000000004</v>
      </c>
      <c r="E30" s="19">
        <v>-15.088610000000003</v>
      </c>
      <c r="F30" s="19">
        <v>-15.716769999999997</v>
      </c>
      <c r="G30" s="23">
        <v>-15.304839999999999</v>
      </c>
      <c r="H30" s="19">
        <v>-15.782560000000004</v>
      </c>
      <c r="I30" s="19">
        <v>-15.495180000000005</v>
      </c>
      <c r="J30" s="19">
        <v>-15.346350000000001</v>
      </c>
      <c r="K30" s="19">
        <v>-15.586100000000002</v>
      </c>
      <c r="L30" s="9">
        <f t="shared" si="0"/>
        <v>-15.438550000000001</v>
      </c>
      <c r="M30" s="21">
        <f t="shared" si="1"/>
        <v>0.28867540548743226</v>
      </c>
      <c r="X30" s="56"/>
    </row>
    <row r="31" spans="2:24" ht="15" thickBot="1" x14ac:dyDescent="0.25">
      <c r="B31" s="98">
        <v>29</v>
      </c>
      <c r="C31" s="18">
        <v>-14.905010000000004</v>
      </c>
      <c r="D31" s="19">
        <v>-15.73433</v>
      </c>
      <c r="E31" s="19">
        <v>-15.090410000000006</v>
      </c>
      <c r="F31" s="19">
        <v>-15.712050000000005</v>
      </c>
      <c r="G31" s="23">
        <v>-15.296310000000005</v>
      </c>
      <c r="H31" s="19">
        <v>-15.776409999999998</v>
      </c>
      <c r="I31" s="19">
        <v>-15.496380000000002</v>
      </c>
      <c r="J31" s="19">
        <v>-15.343980000000002</v>
      </c>
      <c r="K31" s="19">
        <v>-15.583039999999997</v>
      </c>
      <c r="L31" s="9">
        <f t="shared" si="0"/>
        <v>-15.43754666666667</v>
      </c>
      <c r="M31" s="21">
        <f t="shared" si="1"/>
        <v>0.285908326527537</v>
      </c>
      <c r="S31" s="35" t="s">
        <v>22</v>
      </c>
      <c r="U31" s="41" t="s">
        <v>82</v>
      </c>
      <c r="V31" s="41"/>
      <c r="W31" s="41" t="s">
        <v>83</v>
      </c>
      <c r="X31" s="57"/>
    </row>
    <row r="32" spans="2:24" ht="15" thickBot="1" x14ac:dyDescent="0.25">
      <c r="B32" s="98">
        <v>30</v>
      </c>
      <c r="C32" s="18">
        <v>-14.896820000000005</v>
      </c>
      <c r="D32" s="19">
        <v>-15.721850000000003</v>
      </c>
      <c r="E32" s="19">
        <v>-15.095510000000004</v>
      </c>
      <c r="F32" s="19">
        <v>-15.712159999999997</v>
      </c>
      <c r="G32" s="23">
        <v>-15.295400000000001</v>
      </c>
      <c r="H32" s="19">
        <v>-15.774019999999993</v>
      </c>
      <c r="I32" s="19">
        <v>-15.491500000000002</v>
      </c>
      <c r="J32" s="19">
        <v>-15.347369999999998</v>
      </c>
      <c r="K32" s="19">
        <v>-15.579560000000001</v>
      </c>
      <c r="L32" s="9">
        <f t="shared" si="0"/>
        <v>-15.434910000000002</v>
      </c>
      <c r="M32" s="21">
        <f>_xlfn.STDEV.P(C32:K32)</f>
        <v>0.28483587254573028</v>
      </c>
      <c r="S32" s="42">
        <f>SUM(X22:X29)</f>
        <v>6.4410049713547321E-3</v>
      </c>
      <c r="V32" s="72">
        <f>SQRT(S32)</f>
        <v>8.0255871880845778E-2</v>
      </c>
      <c r="X32" s="72">
        <f>V32*2</f>
        <v>0.16051174376169156</v>
      </c>
    </row>
    <row r="33" spans="2:24" ht="19.5" thickBot="1" x14ac:dyDescent="0.4">
      <c r="B33" s="93" t="s">
        <v>40</v>
      </c>
      <c r="C33" s="30">
        <f>AVERAGE(C3:C32)</f>
        <v>-14.874226666666663</v>
      </c>
      <c r="D33" s="31">
        <f t="shared" ref="D33:K33" si="6">AVERAGE(D3:D32)</f>
        <v>-15.727653000000005</v>
      </c>
      <c r="E33" s="31">
        <f t="shared" si="6"/>
        <v>-15.083056666666666</v>
      </c>
      <c r="F33" s="31">
        <f t="shared" si="6"/>
        <v>-15.709282999999999</v>
      </c>
      <c r="G33" s="31">
        <f t="shared" si="6"/>
        <v>-15.294753333333336</v>
      </c>
      <c r="H33" s="31">
        <f t="shared" si="6"/>
        <v>-15.776009666666663</v>
      </c>
      <c r="I33" s="31">
        <f t="shared" si="6"/>
        <v>-15.490697666666669</v>
      </c>
      <c r="J33" s="31">
        <f t="shared" si="6"/>
        <v>-15.342177333333337</v>
      </c>
      <c r="K33" s="31">
        <f t="shared" si="6"/>
        <v>-15.585693666666666</v>
      </c>
      <c r="M33" s="177"/>
      <c r="S33" s="42">
        <f>ROUND(S32,8)</f>
        <v>6.4409999999999997E-3</v>
      </c>
      <c r="V33" s="72">
        <f>ROUND(V32,3)</f>
        <v>0.08</v>
      </c>
      <c r="X33" s="72">
        <f>ROUND(X32,3)</f>
        <v>0.161</v>
      </c>
    </row>
    <row r="34" spans="2:24" ht="19.5" thickBot="1" x14ac:dyDescent="0.4">
      <c r="B34" s="93" t="s">
        <v>39</v>
      </c>
      <c r="C34" s="27">
        <f>_xlfn.STDEV.P(C3:C32)</f>
        <v>1.5860574040333721E-2</v>
      </c>
      <c r="D34" s="22">
        <f t="shared" ref="D34:K34" si="7">_xlfn.STDEV.P(D3:D32)</f>
        <v>1.5170173180729326E-2</v>
      </c>
      <c r="E34" s="22">
        <f t="shared" si="7"/>
        <v>1.1131499250126643E-2</v>
      </c>
      <c r="F34" s="22">
        <f t="shared" si="7"/>
        <v>1.4553187543169911E-2</v>
      </c>
      <c r="G34" s="22">
        <f t="shared" si="7"/>
        <v>1.6305740366168459E-2</v>
      </c>
      <c r="H34" s="22">
        <f t="shared" si="7"/>
        <v>1.5348389379852497E-2</v>
      </c>
      <c r="I34" s="22">
        <f t="shared" si="7"/>
        <v>1.3215685045514002E-2</v>
      </c>
      <c r="J34" s="22">
        <f t="shared" si="7"/>
        <v>1.1730107681612445E-2</v>
      </c>
      <c r="K34" s="22">
        <f t="shared" si="7"/>
        <v>1.0379625068160071E-2</v>
      </c>
      <c r="L34" s="65"/>
    </row>
    <row r="35" spans="2:24" ht="19.5" thickBot="1" x14ac:dyDescent="0.4">
      <c r="B35" s="93" t="s">
        <v>52</v>
      </c>
      <c r="C35" s="11">
        <f>MAX(C3:C32)-C33</f>
        <v>2.9456666666666464E-2</v>
      </c>
      <c r="D35" s="12">
        <f t="shared" ref="D35:K35" si="8">MAX(D3:D32)-D33</f>
        <v>3.5162999999998945E-2</v>
      </c>
      <c r="E35" s="12">
        <f t="shared" si="8"/>
        <v>2.435666666666414E-2</v>
      </c>
      <c r="F35" s="12">
        <f t="shared" si="8"/>
        <v>2.7123000000003117E-2</v>
      </c>
      <c r="G35" s="24">
        <f t="shared" si="8"/>
        <v>4.3103333333338156E-2</v>
      </c>
      <c r="H35" s="12">
        <f t="shared" si="8"/>
        <v>3.7969666666665347E-2</v>
      </c>
      <c r="I35" s="12">
        <f t="shared" si="8"/>
        <v>2.533766666666537E-2</v>
      </c>
      <c r="J35" s="12">
        <f t="shared" si="8"/>
        <v>2.9237333333339777E-2</v>
      </c>
      <c r="K35" s="12">
        <f t="shared" si="8"/>
        <v>2.2763666666671512E-2</v>
      </c>
    </row>
    <row r="36" spans="2:24" ht="19.5" thickBot="1" x14ac:dyDescent="0.4">
      <c r="B36" s="93" t="s">
        <v>51</v>
      </c>
      <c r="C36" s="11">
        <f>C33-MIN(C3:C32)</f>
        <v>3.1353333333337119E-2</v>
      </c>
      <c r="D36" s="12">
        <f t="shared" ref="D36:K36" si="9">D33-MIN(D3:D32)</f>
        <v>2.5686999999988913E-2</v>
      </c>
      <c r="E36" s="12">
        <f t="shared" si="9"/>
        <v>2.2153333333333691E-2</v>
      </c>
      <c r="F36" s="12">
        <f t="shared" si="9"/>
        <v>3.3747000000005301E-2</v>
      </c>
      <c r="G36" s="24">
        <f t="shared" si="9"/>
        <v>2.9876666666662999E-2</v>
      </c>
      <c r="H36" s="12">
        <f t="shared" si="9"/>
        <v>2.4490333333336167E-2</v>
      </c>
      <c r="I36" s="12">
        <f t="shared" si="9"/>
        <v>2.8972333333335598E-2</v>
      </c>
      <c r="J36" s="12">
        <f t="shared" si="9"/>
        <v>2.2282666666656681E-2</v>
      </c>
      <c r="K36" s="12">
        <f t="shared" si="9"/>
        <v>1.6936333333338993E-2</v>
      </c>
    </row>
    <row r="37" spans="2:24" ht="20.25" thickBot="1" x14ac:dyDescent="0.4">
      <c r="B37" s="94" t="s">
        <v>44</v>
      </c>
      <c r="C37" s="14">
        <f>(C35+C36)/2</f>
        <v>3.0405000000001792E-2</v>
      </c>
      <c r="D37" s="15">
        <f t="shared" ref="D37:K37" si="10">(D35+D36)/2</f>
        <v>3.0424999999993929E-2</v>
      </c>
      <c r="E37" s="15">
        <f t="shared" si="10"/>
        <v>2.3254999999998915E-2</v>
      </c>
      <c r="F37" s="15">
        <f t="shared" si="10"/>
        <v>3.0435000000004209E-2</v>
      </c>
      <c r="G37" s="15">
        <f t="shared" si="10"/>
        <v>3.6490000000000578E-2</v>
      </c>
      <c r="H37" s="15">
        <f t="shared" si="10"/>
        <v>3.1230000000000757E-2</v>
      </c>
      <c r="I37" s="15">
        <f t="shared" si="10"/>
        <v>2.7155000000000484E-2</v>
      </c>
      <c r="J37" s="15">
        <f t="shared" si="10"/>
        <v>2.5759999999998229E-2</v>
      </c>
      <c r="K37" s="15">
        <f t="shared" si="10"/>
        <v>1.9850000000005252E-2</v>
      </c>
    </row>
    <row r="38" spans="2:24" ht="19.5" thickBot="1" x14ac:dyDescent="0.4">
      <c r="B38" s="95" t="s">
        <v>43</v>
      </c>
      <c r="C38" s="43">
        <f>C33-$G33</f>
        <v>0.42052666666667271</v>
      </c>
      <c r="D38" s="13">
        <f t="shared" ref="D38:K38" si="11">D33-$G33</f>
        <v>-0.43289966666666935</v>
      </c>
      <c r="E38" s="13">
        <f t="shared" si="11"/>
        <v>0.2116966666666702</v>
      </c>
      <c r="F38" s="13">
        <f t="shared" si="11"/>
        <v>-0.41452966666666313</v>
      </c>
      <c r="G38" s="13">
        <f>G33-$G33</f>
        <v>0</v>
      </c>
      <c r="H38" s="13">
        <f t="shared" si="11"/>
        <v>-0.48125633333332729</v>
      </c>
      <c r="I38" s="13">
        <f t="shared" si="11"/>
        <v>-0.19594433333333328</v>
      </c>
      <c r="J38" s="13">
        <f t="shared" si="11"/>
        <v>-4.7424000000001243E-2</v>
      </c>
      <c r="K38" s="13">
        <f t="shared" si="11"/>
        <v>-0.2909403333333298</v>
      </c>
    </row>
    <row r="39" spans="2:24" ht="18.75" x14ac:dyDescent="0.35">
      <c r="B39" s="99" t="s">
        <v>45</v>
      </c>
      <c r="C39" s="45">
        <v>-15</v>
      </c>
    </row>
    <row r="40" spans="2:24" ht="18.75" x14ac:dyDescent="0.2">
      <c r="B40" s="100" t="s">
        <v>46</v>
      </c>
      <c r="C40" s="44">
        <f>AVERAGE(C3:K32)</f>
        <v>-15.431505666666665</v>
      </c>
    </row>
    <row r="41" spans="2:24" ht="18.75" x14ac:dyDescent="0.2">
      <c r="B41" s="101" t="s">
        <v>47</v>
      </c>
      <c r="C41" s="28">
        <f>C40-C39</f>
        <v>-0.43150566666666457</v>
      </c>
    </row>
    <row r="42" spans="2:24" ht="18.75" x14ac:dyDescent="0.2">
      <c r="B42" s="102" t="s">
        <v>48</v>
      </c>
      <c r="C42" s="29">
        <f>MAX(C33:K33)-MIN(C33:K33)</f>
        <v>0.901783</v>
      </c>
      <c r="D42" s="65"/>
    </row>
    <row r="43" spans="2:24" ht="18.75" x14ac:dyDescent="0.2">
      <c r="B43" s="103" t="s">
        <v>49</v>
      </c>
      <c r="C43" s="32">
        <f>MAX(C38:K38)</f>
        <v>0.42052666666667271</v>
      </c>
    </row>
    <row r="44" spans="2:24" x14ac:dyDescent="0.2">
      <c r="B44" s="104"/>
      <c r="C44" s="32">
        <f>MIN(C38:K38)</f>
        <v>-0.48125633333332729</v>
      </c>
    </row>
    <row r="45" spans="2:24" ht="18.75" x14ac:dyDescent="0.2">
      <c r="B45" s="105" t="s">
        <v>50</v>
      </c>
      <c r="C45" s="182">
        <f>AVERAGE(C37:K37)</f>
        <v>2.8333888888889349E-2</v>
      </c>
      <c r="D45" s="178"/>
      <c r="E45" s="178"/>
      <c r="F45" s="178"/>
      <c r="G45" s="178"/>
      <c r="H45" s="178"/>
      <c r="I45" s="178"/>
      <c r="J45" s="178"/>
      <c r="K45" s="178"/>
    </row>
    <row r="46" spans="2:24" ht="18.75" x14ac:dyDescent="0.35">
      <c r="B46" s="180" t="s">
        <v>259</v>
      </c>
      <c r="C46" s="181">
        <f>_xlfn.STDEV.P(C3:K32)</f>
        <v>0.29273049864533757</v>
      </c>
    </row>
    <row r="47" spans="2:24" x14ac:dyDescent="0.2">
      <c r="C47" s="179"/>
      <c r="D47" s="179"/>
      <c r="E47" s="179"/>
      <c r="F47" s="179"/>
      <c r="G47" s="179"/>
      <c r="H47" s="179"/>
      <c r="I47" s="179"/>
      <c r="J47" s="179"/>
      <c r="K47" s="179"/>
    </row>
  </sheetData>
  <pageMargins left="0.7" right="0.7" top="0.75" bottom="0.75" header="0.3" footer="0.3"/>
  <pageSetup paperSize="9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19"/>
  <dimension ref="B1:X47"/>
  <sheetViews>
    <sheetView topLeftCell="A9" zoomScale="55" zoomScaleNormal="55" workbookViewId="0">
      <selection activeCell="H46" sqref="H46"/>
    </sheetView>
  </sheetViews>
  <sheetFormatPr defaultRowHeight="14.25" x14ac:dyDescent="0.2"/>
  <cols>
    <col min="1" max="1" width="10.75" style="292" customWidth="1"/>
    <col min="2" max="2" width="6.25" style="292" customWidth="1"/>
    <col min="3" max="11" width="6" style="292" customWidth="1"/>
    <col min="12" max="12" width="8.875" style="292" customWidth="1"/>
    <col min="13" max="13" width="10" style="292" customWidth="1"/>
    <col min="14" max="14" width="4.875" style="292" customWidth="1"/>
    <col min="15" max="15" width="11.375" style="292" customWidth="1"/>
    <col min="16" max="16" width="11" style="292" customWidth="1"/>
    <col min="17" max="17" width="14.875" style="292" customWidth="1"/>
    <col min="18" max="18" width="5.5" style="292" customWidth="1"/>
    <col min="19" max="19" width="25.375" style="292" customWidth="1"/>
    <col min="20" max="20" width="12.375" style="292" customWidth="1"/>
    <col min="21" max="21" width="14.75" style="292" customWidth="1"/>
    <col min="22" max="22" width="9.75" style="292" customWidth="1"/>
    <col min="23" max="23" width="14.375" style="292" customWidth="1"/>
    <col min="24" max="24" width="28.25" style="292" customWidth="1"/>
    <col min="25" max="16384" width="9" style="292"/>
  </cols>
  <sheetData>
    <row r="1" spans="2:24" ht="15" thickBot="1" x14ac:dyDescent="0.25">
      <c r="O1" s="292" t="s">
        <v>6</v>
      </c>
    </row>
    <row r="2" spans="2:24" ht="19.5" thickBot="1" x14ac:dyDescent="0.4">
      <c r="B2" s="292" t="s">
        <v>29</v>
      </c>
      <c r="C2" s="3">
        <v>1</v>
      </c>
      <c r="D2" s="3">
        <v>2</v>
      </c>
      <c r="E2" s="3">
        <v>3</v>
      </c>
      <c r="F2" s="3">
        <v>4</v>
      </c>
      <c r="G2" s="4">
        <v>5</v>
      </c>
      <c r="H2" s="3">
        <v>6</v>
      </c>
      <c r="I2" s="3">
        <v>7</v>
      </c>
      <c r="J2" s="3">
        <v>8</v>
      </c>
      <c r="K2" s="5">
        <v>9</v>
      </c>
      <c r="L2" s="93" t="s">
        <v>41</v>
      </c>
      <c r="M2" s="8" t="s">
        <v>42</v>
      </c>
      <c r="O2" s="293" t="s">
        <v>24</v>
      </c>
    </row>
    <row r="3" spans="2:24" x14ac:dyDescent="0.2">
      <c r="B3" s="96">
        <v>1</v>
      </c>
      <c r="C3" s="18">
        <v>5.1315799999999996</v>
      </c>
      <c r="D3" s="19">
        <v>4.2536000000000058</v>
      </c>
      <c r="E3" s="19">
        <v>4.8947900000000004</v>
      </c>
      <c r="F3" s="20">
        <v>4.2569699999999955</v>
      </c>
      <c r="G3" s="23">
        <v>4.6778000000000048</v>
      </c>
      <c r="H3" s="19">
        <v>4.1995000000000005</v>
      </c>
      <c r="I3" s="19">
        <v>4.4991200000000049</v>
      </c>
      <c r="J3" s="19">
        <v>4.635540000000006</v>
      </c>
      <c r="K3" s="19">
        <v>4.402159999999995</v>
      </c>
      <c r="L3" s="9">
        <f>AVERAGE(C3:K3)</f>
        <v>4.5501177777777793</v>
      </c>
      <c r="M3" s="21">
        <f>_xlfn.STDEV.P(C3:K3)</f>
        <v>0.29847398512276069</v>
      </c>
      <c r="O3" s="292" t="s">
        <v>4</v>
      </c>
      <c r="S3" s="2" t="s">
        <v>7</v>
      </c>
      <c r="T3" s="2" t="s">
        <v>8</v>
      </c>
      <c r="U3" s="2" t="s">
        <v>9</v>
      </c>
      <c r="V3" s="2" t="s">
        <v>10</v>
      </c>
      <c r="W3" s="41" t="s">
        <v>11</v>
      </c>
      <c r="X3" s="46" t="s">
        <v>12</v>
      </c>
    </row>
    <row r="4" spans="2:24" ht="15" thickBot="1" x14ac:dyDescent="0.25">
      <c r="B4" s="97">
        <v>2</v>
      </c>
      <c r="C4" s="18">
        <v>5.1393099999999947</v>
      </c>
      <c r="D4" s="19">
        <v>4.2707300000000004</v>
      </c>
      <c r="E4" s="19">
        <v>4.90428</v>
      </c>
      <c r="F4" s="19">
        <v>4.2727200000000067</v>
      </c>
      <c r="G4" s="23">
        <v>4.6998899999999963</v>
      </c>
      <c r="H4" s="19">
        <v>4.217330000000004</v>
      </c>
      <c r="I4" s="19">
        <v>4.5134599999999949</v>
      </c>
      <c r="J4" s="19">
        <v>4.6510799999999932</v>
      </c>
      <c r="K4" s="19">
        <v>4.4104499999999973</v>
      </c>
      <c r="L4" s="9">
        <f t="shared" ref="L4:L32" si="0">AVERAGE(C4:K4)</f>
        <v>4.5643611111111095</v>
      </c>
      <c r="M4" s="21">
        <f t="shared" ref="M4:M31" si="1">_xlfn.STDEV.P(C4:K4)</f>
        <v>0.2962700032982068</v>
      </c>
      <c r="O4" s="17">
        <f>AVERAGE(C34:K34)</f>
        <v>1.3743886839518564E-2</v>
      </c>
      <c r="S4" s="2" t="str">
        <f>indeter_MI!B5</f>
        <v>Поверка</v>
      </c>
      <c r="T4" s="2">
        <f>indeter_MI!C5</f>
        <v>0.1</v>
      </c>
      <c r="U4" s="2" t="str">
        <f>indeter_MI!D5</f>
        <v>Нормальное</v>
      </c>
      <c r="V4" s="2">
        <f>indeter_MI!E5</f>
        <v>2</v>
      </c>
      <c r="W4" s="59">
        <f>T4/V4</f>
        <v>0.05</v>
      </c>
      <c r="X4" s="52">
        <f t="shared" ref="X4:X9" si="2">W4*W4</f>
        <v>2.5000000000000005E-3</v>
      </c>
    </row>
    <row r="5" spans="2:24" x14ac:dyDescent="0.2">
      <c r="B5" s="96">
        <v>3</v>
      </c>
      <c r="C5" s="18">
        <v>5.1328299999999984</v>
      </c>
      <c r="D5" s="19">
        <v>4.2644399999999933</v>
      </c>
      <c r="E5" s="19">
        <v>4.9180300000000017</v>
      </c>
      <c r="F5" s="19">
        <v>4.2861500000000063</v>
      </c>
      <c r="G5" s="23">
        <v>4.7097200000000043</v>
      </c>
      <c r="H5" s="19">
        <v>4.2196200000000061</v>
      </c>
      <c r="I5" s="19">
        <v>4.5187499999999972</v>
      </c>
      <c r="J5" s="19">
        <v>4.6594000000000051</v>
      </c>
      <c r="K5" s="19">
        <v>4.4077900000000056</v>
      </c>
      <c r="L5" s="9">
        <f t="shared" si="0"/>
        <v>4.5685255555555573</v>
      </c>
      <c r="M5" s="21">
        <f t="shared" si="1"/>
        <v>0.29646800266212325</v>
      </c>
      <c r="O5" s="292" t="s">
        <v>5</v>
      </c>
      <c r="S5" s="2" t="str">
        <f>indeter_MI!B6</f>
        <v>Повторяемость*</v>
      </c>
      <c r="T5" s="2">
        <f>indeter_MI!C6</f>
        <v>0.01</v>
      </c>
      <c r="U5" s="2" t="str">
        <f>indeter_MI!D6</f>
        <v>Нормальное</v>
      </c>
      <c r="V5" s="2">
        <f>indeter_MI!E6</f>
        <v>1</v>
      </c>
      <c r="W5" s="59">
        <f t="shared" ref="W5:W13" si="3">T5/V5</f>
        <v>0.01</v>
      </c>
      <c r="X5" s="52">
        <f t="shared" si="2"/>
        <v>1E-4</v>
      </c>
    </row>
    <row r="6" spans="2:24" ht="15" thickBot="1" x14ac:dyDescent="0.25">
      <c r="B6" s="97">
        <v>4</v>
      </c>
      <c r="C6" s="18">
        <v>5.1246900000000011</v>
      </c>
      <c r="D6" s="19">
        <v>4.2525799999999947</v>
      </c>
      <c r="E6" s="19">
        <v>4.9164600000000007</v>
      </c>
      <c r="F6" s="19">
        <v>4.28125</v>
      </c>
      <c r="G6" s="23">
        <v>4.6917399999999958</v>
      </c>
      <c r="H6" s="19">
        <v>4.2066499999999962</v>
      </c>
      <c r="I6" s="19">
        <v>4.5009900000000016</v>
      </c>
      <c r="J6" s="19">
        <v>4.6531499999999966</v>
      </c>
      <c r="K6" s="19">
        <v>4.4034000000000049</v>
      </c>
      <c r="L6" s="9">
        <f t="shared" si="0"/>
        <v>4.5589899999999988</v>
      </c>
      <c r="M6" s="21">
        <f t="shared" si="1"/>
        <v>0.2975888809153408</v>
      </c>
      <c r="O6" s="17">
        <f>O4/(SQRT(270))</f>
        <v>8.3642631664474474E-4</v>
      </c>
      <c r="S6" s="2" t="str">
        <f>indeter_MI!B7</f>
        <v>Гистерезис</v>
      </c>
      <c r="T6" s="2">
        <f>indeter_MI!C7</f>
        <v>0.01</v>
      </c>
      <c r="U6" s="2" t="str">
        <f>indeter_MI!D7</f>
        <v>Прямоугольное</v>
      </c>
      <c r="V6" s="2">
        <f>indeter_MI!E7</f>
        <v>1.73</v>
      </c>
      <c r="W6" s="59">
        <f t="shared" si="3"/>
        <v>5.7803468208092491E-3</v>
      </c>
      <c r="X6" s="52">
        <f t="shared" si="2"/>
        <v>3.3412409368839592E-5</v>
      </c>
    </row>
    <row r="7" spans="2:24" x14ac:dyDescent="0.2">
      <c r="B7" s="96">
        <v>5</v>
      </c>
      <c r="C7" s="18">
        <v>5.1244999999999976</v>
      </c>
      <c r="D7" s="19">
        <v>4.2466600000000057</v>
      </c>
      <c r="E7" s="19">
        <v>4.909790000000001</v>
      </c>
      <c r="F7" s="19">
        <v>4.2746099999999956</v>
      </c>
      <c r="G7" s="23">
        <v>4.6753700000000009</v>
      </c>
      <c r="H7" s="19">
        <v>4.2000699999999966</v>
      </c>
      <c r="I7" s="19">
        <v>4.4868900000000025</v>
      </c>
      <c r="J7" s="19">
        <v>4.640349999999998</v>
      </c>
      <c r="K7" s="19">
        <v>4.3973699999999951</v>
      </c>
      <c r="L7" s="9">
        <f t="shared" si="0"/>
        <v>4.5506233333333324</v>
      </c>
      <c r="M7" s="21">
        <f t="shared" si="1"/>
        <v>0.29832140724765671</v>
      </c>
      <c r="S7" s="2" t="str">
        <f>indeter_MI!B8</f>
        <v>Влияние температуры</v>
      </c>
      <c r="T7" s="2">
        <f>indeter_MI!C8</f>
        <v>0.01</v>
      </c>
      <c r="U7" s="2" t="str">
        <f>indeter_MI!D8</f>
        <v>Прямоугольное</v>
      </c>
      <c r="V7" s="2">
        <f>indeter_MI!E8</f>
        <v>1.73</v>
      </c>
      <c r="W7" s="59">
        <f t="shared" si="3"/>
        <v>5.7803468208092491E-3</v>
      </c>
      <c r="X7" s="52">
        <f t="shared" si="2"/>
        <v>3.3412409368839592E-5</v>
      </c>
    </row>
    <row r="8" spans="2:24" ht="15" thickBot="1" x14ac:dyDescent="0.25">
      <c r="B8" s="97">
        <v>6</v>
      </c>
      <c r="C8" s="18">
        <v>5.1270300000000049</v>
      </c>
      <c r="D8" s="19">
        <v>4.2517699999999934</v>
      </c>
      <c r="E8" s="19">
        <v>4.9057099999999991</v>
      </c>
      <c r="F8" s="19">
        <v>4.2716700000000003</v>
      </c>
      <c r="G8" s="23">
        <v>4.6821000000000055</v>
      </c>
      <c r="H8" s="19">
        <v>4.2039000000000044</v>
      </c>
      <c r="I8" s="19">
        <v>4.4917800000000057</v>
      </c>
      <c r="J8" s="19">
        <v>4.6413299999999964</v>
      </c>
      <c r="K8" s="19">
        <v>4.4000699999999995</v>
      </c>
      <c r="L8" s="9">
        <f t="shared" si="0"/>
        <v>4.5528177777777792</v>
      </c>
      <c r="M8" s="21">
        <f t="shared" si="1"/>
        <v>0.29763434877856448</v>
      </c>
      <c r="S8" s="2" t="str">
        <f>indeter_MI!B9</f>
        <v>Дрейф*</v>
      </c>
      <c r="T8" s="2">
        <f>indeter_MI!C9</f>
        <v>0.1</v>
      </c>
      <c r="U8" s="2" t="str">
        <f>indeter_MI!D9</f>
        <v>Прямоугольное</v>
      </c>
      <c r="V8" s="2">
        <f>indeter_MI!E9</f>
        <v>1.73</v>
      </c>
      <c r="W8" s="59">
        <f t="shared" si="3"/>
        <v>5.7803468208092491E-2</v>
      </c>
      <c r="X8" s="52">
        <f t="shared" si="2"/>
        <v>3.3412409368839594E-3</v>
      </c>
    </row>
    <row r="9" spans="2:24" x14ac:dyDescent="0.2">
      <c r="B9" s="96">
        <v>7</v>
      </c>
      <c r="C9" s="18">
        <v>5.1193700000000035</v>
      </c>
      <c r="D9" s="19">
        <v>4.2497299999999996</v>
      </c>
      <c r="E9" s="19">
        <v>4.9099599999999981</v>
      </c>
      <c r="F9" s="19">
        <v>4.2741099999999932</v>
      </c>
      <c r="G9" s="23">
        <v>4.6904600000000016</v>
      </c>
      <c r="H9" s="19">
        <v>4.2063299999999941</v>
      </c>
      <c r="I9" s="19">
        <v>4.5002900000000068</v>
      </c>
      <c r="J9" s="19">
        <v>4.642470000000003</v>
      </c>
      <c r="K9" s="19">
        <v>4.4022199999999998</v>
      </c>
      <c r="L9" s="9">
        <f t="shared" si="0"/>
        <v>4.554993333333333</v>
      </c>
      <c r="M9" s="21">
        <f t="shared" si="1"/>
        <v>0.29636785644420782</v>
      </c>
      <c r="O9" s="2" t="s">
        <v>0</v>
      </c>
      <c r="P9" s="2" t="s">
        <v>2</v>
      </c>
      <c r="Q9" s="2" t="s">
        <v>3</v>
      </c>
      <c r="S9" s="2" t="str">
        <f>indeter_MI!B10</f>
        <v>Линейность</v>
      </c>
      <c r="T9" s="2">
        <f>indeter_MI!C10</f>
        <v>0.02</v>
      </c>
      <c r="U9" s="2" t="str">
        <f>indeter_MI!D10</f>
        <v>Прямоугольное</v>
      </c>
      <c r="V9" s="2">
        <f>indeter_MI!E10</f>
        <v>1.73</v>
      </c>
      <c r="W9" s="59">
        <f t="shared" si="3"/>
        <v>1.1560693641618498E-2</v>
      </c>
      <c r="X9" s="52">
        <f t="shared" si="2"/>
        <v>1.3364963747535837E-4</v>
      </c>
    </row>
    <row r="10" spans="2:24" ht="15" thickBot="1" x14ac:dyDescent="0.25">
      <c r="B10" s="97">
        <v>8</v>
      </c>
      <c r="C10" s="18">
        <v>5.1187900000000042</v>
      </c>
      <c r="D10" s="19">
        <v>4.2578900000000033</v>
      </c>
      <c r="E10" s="19">
        <v>4.9088799999999964</v>
      </c>
      <c r="F10" s="19">
        <v>4.2753100000000046</v>
      </c>
      <c r="G10" s="23">
        <v>4.6961199999999934</v>
      </c>
      <c r="H10" s="19">
        <v>4.2071200000000033</v>
      </c>
      <c r="I10" s="19">
        <v>4.5068799999999953</v>
      </c>
      <c r="J10" s="19">
        <v>4.6472899999999981</v>
      </c>
      <c r="K10" s="19">
        <v>4.4013999999999953</v>
      </c>
      <c r="L10" s="9">
        <f t="shared" si="0"/>
        <v>4.5577422222222213</v>
      </c>
      <c r="M10" s="21">
        <f t="shared" si="1"/>
        <v>0.29531239127321696</v>
      </c>
      <c r="O10" s="38">
        <f>MAX(M3:M32)</f>
        <v>0.29847398512276069</v>
      </c>
      <c r="P10" s="51">
        <f>MAX(C34:K34)</f>
        <v>1.6305740366168459E-2</v>
      </c>
      <c r="Q10" s="50">
        <f>O6</f>
        <v>8.3642631664474474E-4</v>
      </c>
      <c r="S10" s="2" t="str">
        <f>indeter_MI!B11</f>
        <v>Разрешающая способность</v>
      </c>
      <c r="T10" s="2">
        <f>indeter_MI!C11</f>
        <v>0.01</v>
      </c>
      <c r="U10" s="2" t="str">
        <f>indeter_MI!D11</f>
        <v>Прямоугольное</v>
      </c>
      <c r="V10" s="2">
        <f>indeter_MI!E11</f>
        <v>1.73</v>
      </c>
      <c r="W10" s="59">
        <f t="shared" si="3"/>
        <v>5.7803468208092491E-3</v>
      </c>
      <c r="X10" s="52">
        <f>W10*W10</f>
        <v>3.3412409368839592E-5</v>
      </c>
    </row>
    <row r="11" spans="2:24" x14ac:dyDescent="0.2">
      <c r="B11" s="96">
        <v>9</v>
      </c>
      <c r="C11" s="18">
        <v>5.1168299999999931</v>
      </c>
      <c r="D11" s="19">
        <v>4.2646000000000015</v>
      </c>
      <c r="E11" s="19">
        <v>4.9106299999999976</v>
      </c>
      <c r="F11" s="19">
        <v>4.2787299999999959</v>
      </c>
      <c r="G11" s="23">
        <v>4.6939200000000056</v>
      </c>
      <c r="H11" s="19">
        <v>4.2050299999999936</v>
      </c>
      <c r="I11" s="19">
        <v>4.5005900000000025</v>
      </c>
      <c r="J11" s="19">
        <v>4.6497600000000006</v>
      </c>
      <c r="K11" s="19">
        <v>4.4044999999999987</v>
      </c>
      <c r="L11" s="9">
        <f t="shared" si="0"/>
        <v>4.5582877777777764</v>
      </c>
      <c r="M11" s="21">
        <f t="shared" si="1"/>
        <v>0.29421336859790753</v>
      </c>
      <c r="S11" s="36" t="s">
        <v>0</v>
      </c>
      <c r="T11" s="37">
        <f>O10</f>
        <v>0.29847398512276069</v>
      </c>
      <c r="U11" s="36" t="s">
        <v>13</v>
      </c>
      <c r="V11" s="21">
        <v>1</v>
      </c>
      <c r="W11" s="61">
        <f t="shared" si="3"/>
        <v>0.29847398512276069</v>
      </c>
      <c r="X11" s="53">
        <f>W11*W11</f>
        <v>8.9086719795061969E-2</v>
      </c>
    </row>
    <row r="12" spans="2:24" ht="15" thickBot="1" x14ac:dyDescent="0.25">
      <c r="B12" s="97">
        <v>10</v>
      </c>
      <c r="C12" s="18">
        <v>5.1301299999999941</v>
      </c>
      <c r="D12" s="19">
        <v>4.2746099999999956</v>
      </c>
      <c r="E12" s="19">
        <v>4.9113899999999973</v>
      </c>
      <c r="F12" s="19">
        <v>4.2912100000000066</v>
      </c>
      <c r="G12" s="23">
        <v>4.7102200000000067</v>
      </c>
      <c r="H12" s="19">
        <v>4.2287400000000019</v>
      </c>
      <c r="I12" s="19">
        <v>4.5199000000000069</v>
      </c>
      <c r="J12" s="19">
        <v>4.6588600000000042</v>
      </c>
      <c r="K12" s="19">
        <v>4.4177999999999997</v>
      </c>
      <c r="L12" s="9">
        <f t="shared" si="0"/>
        <v>4.5714288888888905</v>
      </c>
      <c r="M12" s="21">
        <f t="shared" si="1"/>
        <v>0.29153701409538607</v>
      </c>
      <c r="S12" s="26" t="s">
        <v>21</v>
      </c>
      <c r="T12" s="39">
        <f>P10</f>
        <v>1.6305740366168459E-2</v>
      </c>
      <c r="U12" s="26" t="s">
        <v>13</v>
      </c>
      <c r="V12" s="22">
        <v>1</v>
      </c>
      <c r="W12" s="60">
        <f t="shared" si="3"/>
        <v>1.6305740366168459E-2</v>
      </c>
      <c r="X12" s="54">
        <f>W12*W12</f>
        <v>2.6587716888889552E-4</v>
      </c>
    </row>
    <row r="13" spans="2:24" x14ac:dyDescent="0.2">
      <c r="B13" s="96">
        <v>11</v>
      </c>
      <c r="C13" s="18">
        <v>5.1463499999999982</v>
      </c>
      <c r="D13" s="19">
        <v>4.2780300000000011</v>
      </c>
      <c r="E13" s="19">
        <v>4.9232800000000054</v>
      </c>
      <c r="F13" s="19">
        <v>4.3029200000000003</v>
      </c>
      <c r="G13" s="23">
        <v>4.717969999999994</v>
      </c>
      <c r="H13" s="19">
        <v>4.2355299999999971</v>
      </c>
      <c r="I13" s="19">
        <v>4.5181400000000025</v>
      </c>
      <c r="J13" s="19">
        <v>4.6671800000000019</v>
      </c>
      <c r="K13" s="19">
        <v>4.4203200000000038</v>
      </c>
      <c r="L13" s="9">
        <f t="shared" si="0"/>
        <v>4.5788577777777784</v>
      </c>
      <c r="M13" s="21">
        <f t="shared" si="1"/>
        <v>0.29461103591676702</v>
      </c>
      <c r="S13" s="25" t="s">
        <v>3</v>
      </c>
      <c r="T13" s="40">
        <f>Q10</f>
        <v>8.3642631664474474E-4</v>
      </c>
      <c r="U13" s="25" t="s">
        <v>13</v>
      </c>
      <c r="V13" s="17">
        <v>1</v>
      </c>
      <c r="W13" s="62">
        <f t="shared" si="3"/>
        <v>8.3642631664474474E-4</v>
      </c>
      <c r="X13" s="55">
        <f>W13*W13</f>
        <v>6.9960898317589478E-7</v>
      </c>
    </row>
    <row r="14" spans="2:24" ht="15" thickBot="1" x14ac:dyDescent="0.25">
      <c r="B14" s="97">
        <v>12</v>
      </c>
      <c r="C14" s="18">
        <v>5.1439799999999991</v>
      </c>
      <c r="D14" s="19">
        <v>4.2742800000000045</v>
      </c>
      <c r="E14" s="19">
        <v>4.9282800000000009</v>
      </c>
      <c r="F14" s="19">
        <v>4.3025499999999965</v>
      </c>
      <c r="G14" s="23">
        <v>4.7117800000000045</v>
      </c>
      <c r="H14" s="19">
        <v>4.2323599999999999</v>
      </c>
      <c r="I14" s="19">
        <v>4.5226100000000002</v>
      </c>
      <c r="J14" s="19">
        <v>4.6646999999999963</v>
      </c>
      <c r="K14" s="19">
        <v>4.4158299999999997</v>
      </c>
      <c r="L14" s="9">
        <f t="shared" si="0"/>
        <v>4.5773744444444446</v>
      </c>
      <c r="M14" s="21">
        <f t="shared" si="1"/>
        <v>0.29540793016178335</v>
      </c>
      <c r="W14" s="56"/>
      <c r="X14" s="56"/>
    </row>
    <row r="15" spans="2:24" x14ac:dyDescent="0.2">
      <c r="B15" s="96">
        <v>13</v>
      </c>
      <c r="C15" s="18">
        <v>5.1384900000000044</v>
      </c>
      <c r="D15" s="19">
        <v>4.2820499999999981</v>
      </c>
      <c r="E15" s="19">
        <v>4.9223499999999945</v>
      </c>
      <c r="F15" s="19">
        <v>4.2950199999999938</v>
      </c>
      <c r="G15" s="23">
        <v>4.7027899999999931</v>
      </c>
      <c r="H15" s="19">
        <v>4.2264799999999951</v>
      </c>
      <c r="I15" s="19">
        <v>4.5064299999999946</v>
      </c>
      <c r="J15" s="19">
        <v>4.6620199999999983</v>
      </c>
      <c r="K15" s="19">
        <v>4.4180900000000065</v>
      </c>
      <c r="L15" s="9">
        <f t="shared" si="0"/>
        <v>4.5726355555555536</v>
      </c>
      <c r="M15" s="21">
        <f t="shared" si="1"/>
        <v>0.29382964414818247</v>
      </c>
      <c r="S15" s="35" t="s">
        <v>22</v>
      </c>
      <c r="U15" s="41" t="s">
        <v>82</v>
      </c>
      <c r="V15" s="41"/>
      <c r="W15" s="57" t="s">
        <v>83</v>
      </c>
      <c r="X15" s="57"/>
    </row>
    <row r="16" spans="2:24" ht="15" thickBot="1" x14ac:dyDescent="0.25">
      <c r="B16" s="97">
        <v>14</v>
      </c>
      <c r="C16" s="18">
        <v>5.1552300000000031</v>
      </c>
      <c r="D16" s="19">
        <v>4.2933199999999943</v>
      </c>
      <c r="E16" s="19">
        <v>4.9277000000000015</v>
      </c>
      <c r="F16" s="19">
        <v>4.3010699999999957</v>
      </c>
      <c r="G16" s="23">
        <v>4.7239399999999989</v>
      </c>
      <c r="H16" s="19">
        <v>4.2398799999999994</v>
      </c>
      <c r="I16" s="19">
        <v>4.5178999999999974</v>
      </c>
      <c r="J16" s="19">
        <v>4.6745599999999996</v>
      </c>
      <c r="K16" s="19">
        <v>4.4296999999999969</v>
      </c>
      <c r="L16" s="9">
        <f t="shared" si="0"/>
        <v>4.5848111111111098</v>
      </c>
      <c r="M16" s="21">
        <f t="shared" si="1"/>
        <v>0.29502397655650153</v>
      </c>
      <c r="S16" s="42">
        <f>SUM(X4:X13)</f>
        <v>9.5528424375399879E-2</v>
      </c>
      <c r="V16" s="72">
        <f>SQRT(S17)</f>
        <v>0.3090767218669177</v>
      </c>
      <c r="W16" s="65"/>
      <c r="X16" s="72">
        <f>V16*2</f>
        <v>0.61815344373383541</v>
      </c>
    </row>
    <row r="17" spans="2:24" x14ac:dyDescent="0.2">
      <c r="B17" s="96">
        <v>15</v>
      </c>
      <c r="C17" s="18">
        <v>5.1467899999999958</v>
      </c>
      <c r="D17" s="19">
        <v>4.2822299999999984</v>
      </c>
      <c r="E17" s="19">
        <v>4.9347700000000003</v>
      </c>
      <c r="F17" s="19">
        <v>4.3134199999999936</v>
      </c>
      <c r="G17" s="23">
        <v>4.7262400000000042</v>
      </c>
      <c r="H17" s="19">
        <v>4.2407500000000056</v>
      </c>
      <c r="I17" s="19">
        <v>4.5216999999999956</v>
      </c>
      <c r="J17" s="19">
        <v>4.6716200000000043</v>
      </c>
      <c r="K17" s="19">
        <v>4.4264100000000042</v>
      </c>
      <c r="L17" s="9">
        <f t="shared" si="0"/>
        <v>4.5848811111111116</v>
      </c>
      <c r="M17" s="21">
        <f t="shared" si="1"/>
        <v>0.29410689698529796</v>
      </c>
      <c r="S17" s="42">
        <f>ROUND(S16,8)</f>
        <v>9.5528420000000003E-2</v>
      </c>
      <c r="V17" s="72">
        <f>ROUND(V16,3)</f>
        <v>0.309</v>
      </c>
      <c r="W17" s="65"/>
      <c r="X17" s="72">
        <f>ROUND(X16,3)</f>
        <v>0.61799999999999999</v>
      </c>
    </row>
    <row r="18" spans="2:24" ht="15" thickBot="1" x14ac:dyDescent="0.25">
      <c r="B18" s="97">
        <v>16</v>
      </c>
      <c r="C18" s="18">
        <v>5.1398899999999941</v>
      </c>
      <c r="D18" s="19">
        <v>4.2855200000000053</v>
      </c>
      <c r="E18" s="19">
        <v>4.9247299999999967</v>
      </c>
      <c r="F18" s="19">
        <v>4.304860000000005</v>
      </c>
      <c r="G18" s="23">
        <v>4.7070800000000048</v>
      </c>
      <c r="H18" s="19">
        <v>4.2311700000000059</v>
      </c>
      <c r="I18" s="19">
        <v>4.5202900000000028</v>
      </c>
      <c r="J18" s="19">
        <v>4.6662100000000066</v>
      </c>
      <c r="K18" s="19">
        <v>4.4224399999999946</v>
      </c>
      <c r="L18" s="9">
        <f t="shared" si="0"/>
        <v>4.5780211111111129</v>
      </c>
      <c r="M18" s="21">
        <f t="shared" si="1"/>
        <v>0.29218622830290075</v>
      </c>
      <c r="W18" s="56"/>
      <c r="X18" s="56"/>
    </row>
    <row r="19" spans="2:24" x14ac:dyDescent="0.2">
      <c r="B19" s="96">
        <v>17</v>
      </c>
      <c r="C19" s="18">
        <v>5.1379699999999957</v>
      </c>
      <c r="D19" s="19">
        <v>4.2907900000000012</v>
      </c>
      <c r="E19" s="19">
        <v>4.9286900000000031</v>
      </c>
      <c r="F19" s="19">
        <v>4.3063800000000043</v>
      </c>
      <c r="G19" s="23">
        <v>4.7150699999999972</v>
      </c>
      <c r="H19" s="19">
        <v>4.237409999999997</v>
      </c>
      <c r="I19" s="19">
        <v>4.5297900000000055</v>
      </c>
      <c r="J19" s="19">
        <v>4.6697099999999949</v>
      </c>
      <c r="K19" s="19">
        <v>4.4277799999999985</v>
      </c>
      <c r="L19" s="9">
        <f t="shared" si="0"/>
        <v>4.582621111111111</v>
      </c>
      <c r="M19" s="21">
        <f t="shared" si="1"/>
        <v>0.29073000133550475</v>
      </c>
      <c r="O19" s="292" t="s">
        <v>36</v>
      </c>
      <c r="W19" s="56"/>
      <c r="X19" s="56"/>
    </row>
    <row r="20" spans="2:24" ht="15" thickBot="1" x14ac:dyDescent="0.25">
      <c r="B20" s="97">
        <v>18</v>
      </c>
      <c r="C20" s="18">
        <v>5.1328000000000031</v>
      </c>
      <c r="D20" s="19">
        <v>4.2842899999999986</v>
      </c>
      <c r="E20" s="19">
        <v>4.927890000000005</v>
      </c>
      <c r="F20" s="19">
        <v>4.3038200000000018</v>
      </c>
      <c r="G20" s="23">
        <v>4.7131300000000067</v>
      </c>
      <c r="H20" s="19">
        <v>4.2330299999999994</v>
      </c>
      <c r="I20" s="19">
        <v>4.5129500000000036</v>
      </c>
      <c r="J20" s="19">
        <v>4.6613899999999973</v>
      </c>
      <c r="K20" s="19">
        <v>4.4211899999999957</v>
      </c>
      <c r="L20" s="9">
        <f t="shared" si="0"/>
        <v>4.5767211111111124</v>
      </c>
      <c r="M20" s="21">
        <f t="shared" si="1"/>
        <v>0.2914886613172874</v>
      </c>
      <c r="W20" s="56"/>
      <c r="X20" s="56"/>
    </row>
    <row r="21" spans="2:24" x14ac:dyDescent="0.2">
      <c r="B21" s="96">
        <v>19</v>
      </c>
      <c r="C21" s="18">
        <v>5.1141499999999951</v>
      </c>
      <c r="D21" s="19">
        <v>4.268739999999994</v>
      </c>
      <c r="E21" s="19">
        <v>4.9226900000000029</v>
      </c>
      <c r="F21" s="19">
        <v>4.2978999999999985</v>
      </c>
      <c r="G21" s="23">
        <v>4.7113499999999959</v>
      </c>
      <c r="H21" s="19">
        <v>4.2302200000000028</v>
      </c>
      <c r="I21" s="19">
        <v>4.5033999999999992</v>
      </c>
      <c r="J21" s="19">
        <v>4.6562299999999937</v>
      </c>
      <c r="K21" s="19">
        <v>4.4130700000000047</v>
      </c>
      <c r="L21" s="9">
        <f t="shared" si="0"/>
        <v>4.5686388888888878</v>
      </c>
      <c r="M21" s="21">
        <f t="shared" si="1"/>
        <v>0.2900569391015963</v>
      </c>
      <c r="O21" s="63" t="s">
        <v>23</v>
      </c>
      <c r="S21" s="2" t="s">
        <v>7</v>
      </c>
      <c r="T21" s="2" t="s">
        <v>8</v>
      </c>
      <c r="U21" s="2" t="s">
        <v>9</v>
      </c>
      <c r="V21" s="2" t="s">
        <v>10</v>
      </c>
      <c r="W21" s="57" t="s">
        <v>11</v>
      </c>
      <c r="X21" s="58" t="s">
        <v>12</v>
      </c>
    </row>
    <row r="22" spans="2:24" ht="15" thickBot="1" x14ac:dyDescent="0.25">
      <c r="B22" s="97">
        <v>20</v>
      </c>
      <c r="C22" s="18">
        <v>5.0994699999999966</v>
      </c>
      <c r="D22" s="19">
        <v>4.2606399999999951</v>
      </c>
      <c r="E22" s="19">
        <v>4.9094999999999942</v>
      </c>
      <c r="F22" s="19">
        <v>4.2833200000000033</v>
      </c>
      <c r="G22" s="23">
        <v>4.6911099999999948</v>
      </c>
      <c r="H22" s="19">
        <v>4.2128000000000014</v>
      </c>
      <c r="I22" s="19">
        <v>4.485990000000001</v>
      </c>
      <c r="J22" s="19">
        <v>4.6484999999999985</v>
      </c>
      <c r="K22" s="19">
        <v>4.4024799999999971</v>
      </c>
      <c r="L22" s="9">
        <f t="shared" si="0"/>
        <v>4.5548677777777762</v>
      </c>
      <c r="M22" s="21">
        <f t="shared" si="1"/>
        <v>0.28962988990847288</v>
      </c>
      <c r="O22" s="64">
        <f>MAX(C34:K34)</f>
        <v>1.6305740366168459E-2</v>
      </c>
      <c r="S22" s="2" t="str">
        <f>indeter_MI!B16</f>
        <v>Поверка</v>
      </c>
      <c r="T22" s="2">
        <f>indeter_MI!C16</f>
        <v>0.1</v>
      </c>
      <c r="U22" s="2" t="str">
        <f>indeter_MI!D16</f>
        <v>Нормальное</v>
      </c>
      <c r="V22" s="2">
        <f>indeter_MI!E16</f>
        <v>2</v>
      </c>
      <c r="W22" s="59">
        <f>T22/V22</f>
        <v>0.05</v>
      </c>
      <c r="X22" s="59">
        <f t="shared" ref="X22:X29" si="4">W22*W22</f>
        <v>2.5000000000000005E-3</v>
      </c>
    </row>
    <row r="23" spans="2:24" x14ac:dyDescent="0.2">
      <c r="B23" s="96">
        <v>21</v>
      </c>
      <c r="C23" s="18">
        <v>5.0944199999999995</v>
      </c>
      <c r="D23" s="19">
        <v>4.2627399999999938</v>
      </c>
      <c r="E23" s="19">
        <v>4.9016299999999973</v>
      </c>
      <c r="F23" s="19">
        <v>4.2808699999999931</v>
      </c>
      <c r="G23" s="23">
        <v>4.6892399999999981</v>
      </c>
      <c r="H23" s="19">
        <v>4.2110200000000049</v>
      </c>
      <c r="I23" s="19">
        <v>4.480329999999995</v>
      </c>
      <c r="J23" s="19">
        <v>4.646010000000004</v>
      </c>
      <c r="K23" s="19">
        <v>4.4006100000000004</v>
      </c>
      <c r="L23" s="9">
        <f t="shared" si="0"/>
        <v>4.5518744444444428</v>
      </c>
      <c r="M23" s="21">
        <f t="shared" si="1"/>
        <v>0.28783460818521472</v>
      </c>
      <c r="S23" s="2" t="str">
        <f>indeter_MI!B17</f>
        <v>Повторяемость*</v>
      </c>
      <c r="T23" s="2">
        <f>indeter_MI!C17</f>
        <v>0.01</v>
      </c>
      <c r="U23" s="2" t="str">
        <f>indeter_MI!D17</f>
        <v>Нормальное</v>
      </c>
      <c r="V23" s="2">
        <f>indeter_MI!E17</f>
        <v>1</v>
      </c>
      <c r="W23" s="59">
        <f t="shared" ref="W23:W28" si="5">T23/V23</f>
        <v>0.01</v>
      </c>
      <c r="X23" s="59">
        <f t="shared" si="4"/>
        <v>1E-4</v>
      </c>
    </row>
    <row r="24" spans="2:24" ht="15" thickBot="1" x14ac:dyDescent="0.25">
      <c r="B24" s="97">
        <v>22</v>
      </c>
      <c r="C24" s="18">
        <v>5.1145900000000069</v>
      </c>
      <c r="D24" s="19">
        <v>4.2822900000000033</v>
      </c>
      <c r="E24" s="19">
        <v>4.9036700000000053</v>
      </c>
      <c r="F24" s="19">
        <v>4.2854800000000068</v>
      </c>
      <c r="G24" s="23">
        <v>4.7034600000000069</v>
      </c>
      <c r="H24" s="19">
        <v>4.2225200000000029</v>
      </c>
      <c r="I24" s="19">
        <v>4.508420000000001</v>
      </c>
      <c r="J24" s="19">
        <v>4.6582800000000049</v>
      </c>
      <c r="K24" s="19">
        <v>4.4124300000000005</v>
      </c>
      <c r="L24" s="9">
        <f t="shared" si="0"/>
        <v>4.5656822222222262</v>
      </c>
      <c r="M24" s="21">
        <f t="shared" si="1"/>
        <v>0.28798968043925954</v>
      </c>
      <c r="S24" s="2" t="str">
        <f>indeter_MI!B18</f>
        <v>Гистерезис</v>
      </c>
      <c r="T24" s="2">
        <f>indeter_MI!C18</f>
        <v>0.01</v>
      </c>
      <c r="U24" s="2" t="str">
        <f>indeter_MI!D18</f>
        <v>Прямоугольное</v>
      </c>
      <c r="V24" s="2">
        <f>indeter_MI!E18</f>
        <v>1.73</v>
      </c>
      <c r="W24" s="59">
        <f t="shared" si="5"/>
        <v>5.7803468208092491E-3</v>
      </c>
      <c r="X24" s="59">
        <f t="shared" si="4"/>
        <v>3.3412409368839592E-5</v>
      </c>
    </row>
    <row r="25" spans="2:24" x14ac:dyDescent="0.2">
      <c r="B25" s="96">
        <v>23</v>
      </c>
      <c r="C25" s="18">
        <v>5.1315199999999948</v>
      </c>
      <c r="D25" s="19">
        <v>4.3004600000000011</v>
      </c>
      <c r="E25" s="19">
        <v>4.9177399999999949</v>
      </c>
      <c r="F25" s="19">
        <v>4.2994699999999995</v>
      </c>
      <c r="G25" s="23">
        <v>4.7283000000000044</v>
      </c>
      <c r="H25" s="19">
        <v>4.2450900000000047</v>
      </c>
      <c r="I25" s="19">
        <v>4.5231500000000011</v>
      </c>
      <c r="J25" s="19">
        <v>4.6710300000000018</v>
      </c>
      <c r="K25" s="19">
        <v>4.4266400000000061</v>
      </c>
      <c r="L25" s="9">
        <f t="shared" si="0"/>
        <v>4.5826000000000011</v>
      </c>
      <c r="M25" s="21">
        <f t="shared" si="1"/>
        <v>0.28755999211758443</v>
      </c>
      <c r="S25" s="2" t="str">
        <f>indeter_MI!B19</f>
        <v>Влияние температуры</v>
      </c>
      <c r="T25" s="2">
        <f>indeter_MI!C19</f>
        <v>0.01</v>
      </c>
      <c r="U25" s="2" t="str">
        <f>indeter_MI!D19</f>
        <v>Прямоугольное</v>
      </c>
      <c r="V25" s="2">
        <f>indeter_MI!E19</f>
        <v>1.73</v>
      </c>
      <c r="W25" s="59">
        <f t="shared" si="5"/>
        <v>5.7803468208092491E-3</v>
      </c>
      <c r="X25" s="59">
        <f t="shared" si="4"/>
        <v>3.3412409368839592E-5</v>
      </c>
    </row>
    <row r="26" spans="2:24" ht="15" thickBot="1" x14ac:dyDescent="0.25">
      <c r="B26" s="97">
        <v>24</v>
      </c>
      <c r="C26" s="18">
        <v>5.1413000000000011</v>
      </c>
      <c r="D26" s="19">
        <v>4.3075099999999935</v>
      </c>
      <c r="E26" s="19">
        <v>4.9345699999999937</v>
      </c>
      <c r="F26" s="19">
        <v>4.3175999999999988</v>
      </c>
      <c r="G26" s="23">
        <v>4.7483500000000021</v>
      </c>
      <c r="H26" s="19">
        <v>4.261960000000002</v>
      </c>
      <c r="I26" s="19">
        <v>4.534639999999996</v>
      </c>
      <c r="J26" s="19">
        <v>4.6870600000000024</v>
      </c>
      <c r="K26" s="19">
        <v>4.4370700000000056</v>
      </c>
      <c r="L26" s="9">
        <f t="shared" si="0"/>
        <v>4.5966733333333325</v>
      </c>
      <c r="M26" s="21">
        <f t="shared" si="1"/>
        <v>0.28767644958258998</v>
      </c>
      <c r="S26" s="2" t="str">
        <f>indeter_MI!B20</f>
        <v>Дрейф*</v>
      </c>
      <c r="T26" s="2">
        <f>indeter_MI!C20</f>
        <v>0.1</v>
      </c>
      <c r="U26" s="2" t="str">
        <f>indeter_MI!D20</f>
        <v>Прямоугольное</v>
      </c>
      <c r="V26" s="2">
        <f>indeter_MI!E20</f>
        <v>1.73</v>
      </c>
      <c r="W26" s="59">
        <f t="shared" si="5"/>
        <v>5.7803468208092491E-2</v>
      </c>
      <c r="X26" s="59">
        <f t="shared" si="4"/>
        <v>3.3412409368839594E-3</v>
      </c>
    </row>
    <row r="27" spans="2:24" x14ac:dyDescent="0.2">
      <c r="B27" s="96">
        <v>25</v>
      </c>
      <c r="C27" s="18">
        <v>5.1332100000000054</v>
      </c>
      <c r="D27" s="19">
        <v>4.2892899999999941</v>
      </c>
      <c r="E27" s="19">
        <v>4.9412999999999982</v>
      </c>
      <c r="F27" s="19">
        <v>4.3178400000000039</v>
      </c>
      <c r="G27" s="23">
        <v>4.7334299999999985</v>
      </c>
      <c r="H27" s="19">
        <v>4.2510999999999939</v>
      </c>
      <c r="I27" s="19">
        <v>4.5285200000000003</v>
      </c>
      <c r="J27" s="19">
        <v>4.6768699999999939</v>
      </c>
      <c r="K27" s="19">
        <v>4.4281000000000006</v>
      </c>
      <c r="L27" s="9">
        <f t="shared" si="0"/>
        <v>4.5888511111111097</v>
      </c>
      <c r="M27" s="21">
        <f t="shared" si="1"/>
        <v>0.28981558436911364</v>
      </c>
      <c r="S27" s="2" t="str">
        <f>indeter_MI!B21</f>
        <v>Линейность</v>
      </c>
      <c r="T27" s="2">
        <f>indeter_MI!C21</f>
        <v>0.02</v>
      </c>
      <c r="U27" s="2" t="str">
        <f>indeter_MI!D21</f>
        <v>Прямоугольное</v>
      </c>
      <c r="V27" s="2">
        <f>indeter_MI!E21</f>
        <v>1.73</v>
      </c>
      <c r="W27" s="59">
        <f t="shared" si="5"/>
        <v>1.1560693641618498E-2</v>
      </c>
      <c r="X27" s="59">
        <f t="shared" si="4"/>
        <v>1.3364963747535837E-4</v>
      </c>
    </row>
    <row r="28" spans="2:24" ht="15" thickBot="1" x14ac:dyDescent="0.25">
      <c r="B28" s="97">
        <v>26</v>
      </c>
      <c r="C28" s="18">
        <v>5.126499999999993</v>
      </c>
      <c r="D28" s="19">
        <v>4.2684899999999999</v>
      </c>
      <c r="E28" s="19">
        <v>4.9274000000000058</v>
      </c>
      <c r="F28" s="19">
        <v>4.3006799999999998</v>
      </c>
      <c r="G28" s="23">
        <v>4.7099199999999968</v>
      </c>
      <c r="H28" s="19">
        <v>4.2302200000000028</v>
      </c>
      <c r="I28" s="19">
        <v>4.5121000000000038</v>
      </c>
      <c r="J28" s="19">
        <v>4.6607800000000026</v>
      </c>
      <c r="K28" s="19">
        <v>4.418059999999997</v>
      </c>
      <c r="L28" s="9">
        <f t="shared" si="0"/>
        <v>4.5726833333333339</v>
      </c>
      <c r="M28" s="21">
        <f t="shared" si="1"/>
        <v>0.29259585073385108</v>
      </c>
      <c r="S28" s="2" t="str">
        <f>indeter_MI!B22</f>
        <v>Разрешающая способность</v>
      </c>
      <c r="T28" s="2">
        <f>indeter_MI!C22</f>
        <v>0.01</v>
      </c>
      <c r="U28" s="2" t="str">
        <f>indeter_MI!D22</f>
        <v>Прямоугольное</v>
      </c>
      <c r="V28" s="2">
        <f>indeter_MI!E22</f>
        <v>1.73</v>
      </c>
      <c r="W28" s="59">
        <f t="shared" si="5"/>
        <v>5.7803468208092491E-3</v>
      </c>
      <c r="X28" s="59">
        <f t="shared" si="4"/>
        <v>3.3412409368839592E-5</v>
      </c>
    </row>
    <row r="29" spans="2:24" x14ac:dyDescent="0.2">
      <c r="B29" s="96">
        <v>27</v>
      </c>
      <c r="C29" s="18">
        <v>5.1088199999999944</v>
      </c>
      <c r="D29" s="19">
        <v>4.2603399999999993</v>
      </c>
      <c r="E29" s="19">
        <v>4.916719999999998</v>
      </c>
      <c r="F29" s="19">
        <v>4.2865599999999944</v>
      </c>
      <c r="G29" s="23">
        <v>4.6934499999999986</v>
      </c>
      <c r="H29" s="19">
        <v>4.2168700000000001</v>
      </c>
      <c r="I29" s="19">
        <v>4.4971199999999953</v>
      </c>
      <c r="J29" s="19">
        <v>4.6509999999999962</v>
      </c>
      <c r="K29" s="19">
        <v>4.4105100000000022</v>
      </c>
      <c r="L29" s="9">
        <f t="shared" si="0"/>
        <v>4.560154444444442</v>
      </c>
      <c r="M29" s="21">
        <f t="shared" si="1"/>
        <v>0.29119431069347201</v>
      </c>
      <c r="S29" s="48" t="s">
        <v>21</v>
      </c>
      <c r="T29" s="49">
        <f>O22</f>
        <v>1.6305740366168459E-2</v>
      </c>
      <c r="U29" s="49" t="s">
        <v>13</v>
      </c>
      <c r="V29" s="16">
        <v>1</v>
      </c>
      <c r="W29" s="60">
        <f>T29/V29</f>
        <v>1.6305740366168459E-2</v>
      </c>
      <c r="X29" s="60">
        <f t="shared" si="4"/>
        <v>2.6587716888889552E-4</v>
      </c>
    </row>
    <row r="30" spans="2:24" ht="15" thickBot="1" x14ac:dyDescent="0.25">
      <c r="B30" s="97">
        <v>28</v>
      </c>
      <c r="C30" s="18">
        <v>5.1044899999999984</v>
      </c>
      <c r="D30" s="19">
        <v>4.2689699999999959</v>
      </c>
      <c r="E30" s="19">
        <v>4.9113899999999973</v>
      </c>
      <c r="F30" s="19">
        <v>4.2832300000000032</v>
      </c>
      <c r="G30" s="23">
        <v>4.6951600000000013</v>
      </c>
      <c r="H30" s="19">
        <v>4.2174399999999963</v>
      </c>
      <c r="I30" s="19">
        <v>4.5048199999999952</v>
      </c>
      <c r="J30" s="19">
        <v>4.653649999999999</v>
      </c>
      <c r="K30" s="19">
        <v>4.4138999999999982</v>
      </c>
      <c r="L30" s="9">
        <f t="shared" si="0"/>
        <v>4.561449999999998</v>
      </c>
      <c r="M30" s="21">
        <f t="shared" si="1"/>
        <v>0.2886754054874322</v>
      </c>
      <c r="X30" s="56"/>
    </row>
    <row r="31" spans="2:24" ht="15" thickBot="1" x14ac:dyDescent="0.25">
      <c r="B31" s="98">
        <v>29</v>
      </c>
      <c r="C31" s="18">
        <v>5.0949899999999957</v>
      </c>
      <c r="D31" s="19">
        <v>4.2656700000000001</v>
      </c>
      <c r="E31" s="19">
        <v>4.9095899999999943</v>
      </c>
      <c r="F31" s="19">
        <v>4.287949999999995</v>
      </c>
      <c r="G31" s="23">
        <v>4.7036899999999946</v>
      </c>
      <c r="H31" s="19">
        <v>4.2235900000000015</v>
      </c>
      <c r="I31" s="19">
        <v>4.503619999999998</v>
      </c>
      <c r="J31" s="19">
        <v>4.656019999999998</v>
      </c>
      <c r="K31" s="19">
        <v>4.4169600000000031</v>
      </c>
      <c r="L31" s="9">
        <f t="shared" si="0"/>
        <v>4.5624533333333313</v>
      </c>
      <c r="M31" s="21">
        <f t="shared" si="1"/>
        <v>0.285908326527537</v>
      </c>
      <c r="S31" s="35" t="s">
        <v>22</v>
      </c>
      <c r="U31" s="41" t="s">
        <v>82</v>
      </c>
      <c r="V31" s="41"/>
      <c r="W31" s="41" t="s">
        <v>83</v>
      </c>
      <c r="X31" s="57"/>
    </row>
    <row r="32" spans="2:24" ht="15" thickBot="1" x14ac:dyDescent="0.25">
      <c r="B32" s="98">
        <v>30</v>
      </c>
      <c r="C32" s="18">
        <v>5.1031799999999947</v>
      </c>
      <c r="D32" s="19">
        <v>4.2781499999999966</v>
      </c>
      <c r="E32" s="19">
        <v>4.9044899999999956</v>
      </c>
      <c r="F32" s="19">
        <v>4.2878400000000028</v>
      </c>
      <c r="G32" s="23">
        <v>4.7045999999999992</v>
      </c>
      <c r="H32" s="19">
        <v>4.225980000000007</v>
      </c>
      <c r="I32" s="19">
        <v>4.508499999999998</v>
      </c>
      <c r="J32" s="19">
        <v>4.652630000000002</v>
      </c>
      <c r="K32" s="19">
        <v>4.4204399999999993</v>
      </c>
      <c r="L32" s="9">
        <f t="shared" si="0"/>
        <v>4.5650899999999996</v>
      </c>
      <c r="M32" s="21">
        <f>_xlfn.STDEV.P(C32:K32)</f>
        <v>0.28483587254573028</v>
      </c>
      <c r="S32" s="42">
        <f>SUM(X22:X29)</f>
        <v>6.4410049713547321E-3</v>
      </c>
      <c r="V32" s="72">
        <f>SQRT(S32)</f>
        <v>8.0255871880845778E-2</v>
      </c>
      <c r="X32" s="72">
        <f>V32*2</f>
        <v>0.16051174376169156</v>
      </c>
    </row>
    <row r="33" spans="2:24" ht="19.5" thickBot="1" x14ac:dyDescent="0.4">
      <c r="B33" s="93" t="s">
        <v>40</v>
      </c>
      <c r="C33" s="30">
        <f>AVERAGE(C3:C32)</f>
        <v>5.1257733333333322</v>
      </c>
      <c r="D33" s="31">
        <f t="shared" ref="D33:K33" si="6">AVERAGE(D3:D32)</f>
        <v>4.2723469999999981</v>
      </c>
      <c r="E33" s="31">
        <f t="shared" si="6"/>
        <v>4.9169433333333323</v>
      </c>
      <c r="F33" s="31">
        <f t="shared" si="6"/>
        <v>4.2907169999999999</v>
      </c>
      <c r="G33" s="31">
        <f t="shared" si="6"/>
        <v>4.7052466666666675</v>
      </c>
      <c r="H33" s="31">
        <f t="shared" si="6"/>
        <v>4.223990333333334</v>
      </c>
      <c r="I33" s="31">
        <f t="shared" si="6"/>
        <v>4.5093023333333342</v>
      </c>
      <c r="J33" s="31">
        <f t="shared" si="6"/>
        <v>4.6578226666666653</v>
      </c>
      <c r="K33" s="31">
        <f t="shared" si="6"/>
        <v>4.4143063333333332</v>
      </c>
      <c r="M33" s="177"/>
      <c r="S33" s="42">
        <f>ROUND(S32,8)</f>
        <v>6.4409999999999997E-3</v>
      </c>
      <c r="V33" s="72">
        <f>ROUND(V32,3)</f>
        <v>0.08</v>
      </c>
      <c r="X33" s="72">
        <f>ROUND(X32,3)</f>
        <v>0.161</v>
      </c>
    </row>
    <row r="34" spans="2:24" ht="19.5" thickBot="1" x14ac:dyDescent="0.4">
      <c r="B34" s="93" t="s">
        <v>39</v>
      </c>
      <c r="C34" s="27">
        <f>_xlfn.STDEV.P(C3:C32)</f>
        <v>1.5860574040333721E-2</v>
      </c>
      <c r="D34" s="22">
        <f t="shared" ref="D34:K34" si="7">_xlfn.STDEV.P(D3:D32)</f>
        <v>1.5170173180729326E-2</v>
      </c>
      <c r="E34" s="22">
        <f t="shared" si="7"/>
        <v>1.1131499250126643E-2</v>
      </c>
      <c r="F34" s="22">
        <f t="shared" si="7"/>
        <v>1.4553187543169914E-2</v>
      </c>
      <c r="G34" s="22">
        <f t="shared" si="7"/>
        <v>1.6305740366168459E-2</v>
      </c>
      <c r="H34" s="22">
        <f t="shared" si="7"/>
        <v>1.5348389379852499E-2</v>
      </c>
      <c r="I34" s="22">
        <f t="shared" si="7"/>
        <v>1.3215685045514002E-2</v>
      </c>
      <c r="J34" s="22">
        <f t="shared" si="7"/>
        <v>1.1730107681612447E-2</v>
      </c>
      <c r="K34" s="22">
        <f t="shared" si="7"/>
        <v>1.0379625068160071E-2</v>
      </c>
      <c r="L34" s="65"/>
    </row>
    <row r="35" spans="2:24" ht="19.5" thickBot="1" x14ac:dyDescent="0.4">
      <c r="B35" s="93" t="s">
        <v>52</v>
      </c>
      <c r="C35" s="11">
        <f>MAX(C3:C32)-C33</f>
        <v>2.9456666666670905E-2</v>
      </c>
      <c r="D35" s="12">
        <f t="shared" ref="D35:K35" si="8">MAX(D3:D32)-D33</f>
        <v>3.5162999999995392E-2</v>
      </c>
      <c r="E35" s="12">
        <f t="shared" si="8"/>
        <v>2.4356666666665916E-2</v>
      </c>
      <c r="F35" s="12">
        <f t="shared" si="8"/>
        <v>2.7123000000004005E-2</v>
      </c>
      <c r="G35" s="24">
        <f t="shared" si="8"/>
        <v>4.3103333333334604E-2</v>
      </c>
      <c r="H35" s="12">
        <f t="shared" si="8"/>
        <v>3.7969666666668012E-2</v>
      </c>
      <c r="I35" s="12">
        <f t="shared" si="8"/>
        <v>2.5337666666661818E-2</v>
      </c>
      <c r="J35" s="12">
        <f t="shared" si="8"/>
        <v>2.9237333333337112E-2</v>
      </c>
      <c r="K35" s="12">
        <f t="shared" si="8"/>
        <v>2.27636666666724E-2</v>
      </c>
    </row>
    <row r="36" spans="2:24" ht="19.5" thickBot="1" x14ac:dyDescent="0.4">
      <c r="B36" s="93" t="s">
        <v>51</v>
      </c>
      <c r="C36" s="11">
        <f>C33-MIN(C3:C32)</f>
        <v>3.1353333333332678E-2</v>
      </c>
      <c r="D36" s="12">
        <f t="shared" ref="D36:K36" si="9">D33-MIN(D3:D32)</f>
        <v>2.5686999999992466E-2</v>
      </c>
      <c r="E36" s="12">
        <f t="shared" si="9"/>
        <v>2.2153333333331915E-2</v>
      </c>
      <c r="F36" s="12">
        <f t="shared" si="9"/>
        <v>3.3747000000004412E-2</v>
      </c>
      <c r="G36" s="24">
        <f t="shared" si="9"/>
        <v>2.9876666666666551E-2</v>
      </c>
      <c r="H36" s="12">
        <f t="shared" si="9"/>
        <v>2.4490333333333503E-2</v>
      </c>
      <c r="I36" s="12">
        <f t="shared" si="9"/>
        <v>2.8972333333339151E-2</v>
      </c>
      <c r="J36" s="12">
        <f t="shared" si="9"/>
        <v>2.2282666666659345E-2</v>
      </c>
      <c r="K36" s="12">
        <f t="shared" si="9"/>
        <v>1.6936333333338105E-2</v>
      </c>
    </row>
    <row r="37" spans="2:24" ht="20.25" thickBot="1" x14ac:dyDescent="0.4">
      <c r="B37" s="94" t="s">
        <v>44</v>
      </c>
      <c r="C37" s="14">
        <f>(C35+C36)/2</f>
        <v>3.0405000000001792E-2</v>
      </c>
      <c r="D37" s="15">
        <f t="shared" ref="D37:K37" si="10">(D35+D36)/2</f>
        <v>3.0424999999993929E-2</v>
      </c>
      <c r="E37" s="15">
        <f t="shared" si="10"/>
        <v>2.3254999999998915E-2</v>
      </c>
      <c r="F37" s="15">
        <f t="shared" si="10"/>
        <v>3.0435000000004209E-2</v>
      </c>
      <c r="G37" s="15">
        <f t="shared" si="10"/>
        <v>3.6490000000000578E-2</v>
      </c>
      <c r="H37" s="15">
        <f t="shared" si="10"/>
        <v>3.1230000000000757E-2</v>
      </c>
      <c r="I37" s="15">
        <f t="shared" si="10"/>
        <v>2.7155000000000484E-2</v>
      </c>
      <c r="J37" s="15">
        <f t="shared" si="10"/>
        <v>2.5759999999998229E-2</v>
      </c>
      <c r="K37" s="15">
        <f t="shared" si="10"/>
        <v>1.9850000000005252E-2</v>
      </c>
    </row>
    <row r="38" spans="2:24" ht="19.5" thickBot="1" x14ac:dyDescent="0.4">
      <c r="B38" s="95" t="s">
        <v>43</v>
      </c>
      <c r="C38" s="43">
        <f>C33-$G33</f>
        <v>0.42052666666666472</v>
      </c>
      <c r="D38" s="13">
        <f t="shared" ref="D38:K38" si="11">D33-$G33</f>
        <v>-0.43289966666666935</v>
      </c>
      <c r="E38" s="13">
        <f t="shared" si="11"/>
        <v>0.21169666666666487</v>
      </c>
      <c r="F38" s="13">
        <f t="shared" si="11"/>
        <v>-0.41452966666666757</v>
      </c>
      <c r="G38" s="13">
        <f>G33-$G33</f>
        <v>0</v>
      </c>
      <c r="H38" s="13">
        <f t="shared" si="11"/>
        <v>-0.48125633333333351</v>
      </c>
      <c r="I38" s="13">
        <f t="shared" si="11"/>
        <v>-0.19594433333333328</v>
      </c>
      <c r="J38" s="13">
        <f t="shared" si="11"/>
        <v>-4.7424000000002131E-2</v>
      </c>
      <c r="K38" s="13">
        <f t="shared" si="11"/>
        <v>-0.29094033333333424</v>
      </c>
    </row>
    <row r="39" spans="2:24" ht="18.75" x14ac:dyDescent="0.35">
      <c r="B39" s="99" t="s">
        <v>45</v>
      </c>
      <c r="C39" s="45">
        <v>40</v>
      </c>
    </row>
    <row r="40" spans="2:24" ht="18.75" x14ac:dyDescent="0.2">
      <c r="B40" s="100" t="s">
        <v>46</v>
      </c>
      <c r="C40" s="44">
        <f>AVERAGE(C3:K32)</f>
        <v>4.568494333333331</v>
      </c>
    </row>
    <row r="41" spans="2:24" ht="18.75" x14ac:dyDescent="0.2">
      <c r="B41" s="101" t="s">
        <v>47</v>
      </c>
      <c r="C41" s="28">
        <f>C40-C39</f>
        <v>-35.431505666666666</v>
      </c>
    </row>
    <row r="42" spans="2:24" ht="18.75" x14ac:dyDescent="0.2">
      <c r="B42" s="102" t="s">
        <v>48</v>
      </c>
      <c r="C42" s="29">
        <f>MAX(C33:K33)-MIN(C33:K33)</f>
        <v>0.90178299999999822</v>
      </c>
      <c r="D42" s="65"/>
    </row>
    <row r="43" spans="2:24" ht="18.75" x14ac:dyDescent="0.2">
      <c r="B43" s="103" t="s">
        <v>49</v>
      </c>
      <c r="C43" s="32">
        <f>MAX(C38:K38)</f>
        <v>0.42052666666666472</v>
      </c>
    </row>
    <row r="44" spans="2:24" x14ac:dyDescent="0.2">
      <c r="B44" s="104"/>
      <c r="C44" s="32">
        <f>MIN(C38:K38)</f>
        <v>-0.48125633333333351</v>
      </c>
    </row>
    <row r="45" spans="2:24" ht="18.75" x14ac:dyDescent="0.2">
      <c r="B45" s="105" t="s">
        <v>50</v>
      </c>
      <c r="C45" s="182">
        <f>AVERAGE(C37:K37)</f>
        <v>2.8333888888889349E-2</v>
      </c>
      <c r="D45" s="178"/>
      <c r="E45" s="178"/>
      <c r="F45" s="178"/>
      <c r="G45" s="178"/>
      <c r="H45" s="178"/>
      <c r="I45" s="178"/>
      <c r="J45" s="178"/>
      <c r="K45" s="178"/>
    </row>
    <row r="46" spans="2:24" ht="18.75" x14ac:dyDescent="0.35">
      <c r="B46" s="180" t="s">
        <v>259</v>
      </c>
      <c r="C46" s="181">
        <f>_xlfn.STDEV.P(C3:K32)</f>
        <v>0.29273049864533757</v>
      </c>
    </row>
    <row r="47" spans="2:24" x14ac:dyDescent="0.2">
      <c r="C47" s="179"/>
      <c r="D47" s="179"/>
      <c r="E47" s="179"/>
      <c r="F47" s="179"/>
      <c r="G47" s="179"/>
      <c r="H47" s="179"/>
      <c r="I47" s="179"/>
      <c r="J47" s="179"/>
      <c r="K47" s="179"/>
    </row>
  </sheetData>
  <pageMargins left="0.7" right="0.7" top="0.75" bottom="0.75" header="0.3" footer="0.3"/>
  <pageSetup paperSize="9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6"/>
  <dimension ref="B1:X47"/>
  <sheetViews>
    <sheetView zoomScale="55" zoomScaleNormal="55" workbookViewId="0">
      <selection activeCell="H46" sqref="H46"/>
    </sheetView>
  </sheetViews>
  <sheetFormatPr defaultRowHeight="14.25" x14ac:dyDescent="0.2"/>
  <cols>
    <col min="1" max="1" width="10.75" style="292" customWidth="1"/>
    <col min="2" max="2" width="6.25" style="292" customWidth="1"/>
    <col min="3" max="11" width="6" style="292" customWidth="1"/>
    <col min="12" max="12" width="8.875" style="292" customWidth="1"/>
    <col min="13" max="13" width="10" style="292" customWidth="1"/>
    <col min="14" max="14" width="4.875" style="292" customWidth="1"/>
    <col min="15" max="15" width="11.375" style="292" customWidth="1"/>
    <col min="16" max="16" width="11" style="292" customWidth="1"/>
    <col min="17" max="17" width="14.875" style="292" customWidth="1"/>
    <col min="18" max="18" width="5.5" style="292" customWidth="1"/>
    <col min="19" max="19" width="25.375" style="292" customWidth="1"/>
    <col min="20" max="20" width="12.375" style="292" customWidth="1"/>
    <col min="21" max="21" width="14.75" style="292" customWidth="1"/>
    <col min="22" max="22" width="9.75" style="292" customWidth="1"/>
    <col min="23" max="23" width="14.375" style="292" customWidth="1"/>
    <col min="24" max="24" width="28.25" style="292" customWidth="1"/>
    <col min="25" max="16384" width="9" style="292"/>
  </cols>
  <sheetData>
    <row r="1" spans="2:24" ht="15" thickBot="1" x14ac:dyDescent="0.25">
      <c r="O1" s="292" t="s">
        <v>6</v>
      </c>
    </row>
    <row r="2" spans="2:24" ht="19.5" thickBot="1" x14ac:dyDescent="0.4">
      <c r="B2" s="292" t="s">
        <v>29</v>
      </c>
      <c r="C2" s="3">
        <v>1</v>
      </c>
      <c r="D2" s="3">
        <v>2</v>
      </c>
      <c r="E2" s="3">
        <v>3</v>
      </c>
      <c r="F2" s="3">
        <v>4</v>
      </c>
      <c r="G2" s="4">
        <v>5</v>
      </c>
      <c r="H2" s="3">
        <v>6</v>
      </c>
      <c r="I2" s="3">
        <v>7</v>
      </c>
      <c r="J2" s="3">
        <v>8</v>
      </c>
      <c r="K2" s="5">
        <v>9</v>
      </c>
      <c r="L2" s="93" t="s">
        <v>41</v>
      </c>
      <c r="M2" s="8" t="s">
        <v>42</v>
      </c>
      <c r="O2" s="293" t="s">
        <v>24</v>
      </c>
    </row>
    <row r="3" spans="2:24" x14ac:dyDescent="0.2">
      <c r="B3" s="96">
        <v>1</v>
      </c>
      <c r="C3" s="18">
        <v>25.13158</v>
      </c>
      <c r="D3" s="19">
        <v>24.253600000000006</v>
      </c>
      <c r="E3" s="19">
        <v>24.89479</v>
      </c>
      <c r="F3" s="20">
        <v>24.256969999999995</v>
      </c>
      <c r="G3" s="23">
        <v>24.677800000000005</v>
      </c>
      <c r="H3" s="19">
        <v>24.1995</v>
      </c>
      <c r="I3" s="19">
        <v>24.499120000000005</v>
      </c>
      <c r="J3" s="19">
        <v>24.635540000000006</v>
      </c>
      <c r="K3" s="19">
        <v>24.402159999999995</v>
      </c>
      <c r="L3" s="9">
        <f>AVERAGE(C3:K3)</f>
        <v>24.550117777777775</v>
      </c>
      <c r="M3" s="21">
        <f>_xlfn.STDEV.P(C3:K3)</f>
        <v>0.29847398512276063</v>
      </c>
      <c r="O3" s="292" t="s">
        <v>4</v>
      </c>
      <c r="S3" s="2" t="s">
        <v>7</v>
      </c>
      <c r="T3" s="2" t="s">
        <v>8</v>
      </c>
      <c r="U3" s="2" t="s">
        <v>9</v>
      </c>
      <c r="V3" s="2" t="s">
        <v>10</v>
      </c>
      <c r="W3" s="41" t="s">
        <v>11</v>
      </c>
      <c r="X3" s="46" t="s">
        <v>12</v>
      </c>
    </row>
    <row r="4" spans="2:24" ht="15" thickBot="1" x14ac:dyDescent="0.25">
      <c r="B4" s="97">
        <v>2</v>
      </c>
      <c r="C4" s="18">
        <v>25.139309999999995</v>
      </c>
      <c r="D4" s="19">
        <v>24.27073</v>
      </c>
      <c r="E4" s="19">
        <v>24.90428</v>
      </c>
      <c r="F4" s="19">
        <v>24.272720000000007</v>
      </c>
      <c r="G4" s="23">
        <v>24.699889999999996</v>
      </c>
      <c r="H4" s="19">
        <v>24.217330000000004</v>
      </c>
      <c r="I4" s="19">
        <v>24.513459999999995</v>
      </c>
      <c r="J4" s="19">
        <v>24.651079999999993</v>
      </c>
      <c r="K4" s="19">
        <v>24.410449999999997</v>
      </c>
      <c r="L4" s="9">
        <f t="shared" ref="L4:L32" si="0">AVERAGE(C4:K4)</f>
        <v>24.564361111111108</v>
      </c>
      <c r="M4" s="21">
        <f t="shared" ref="M4:M31" si="1">_xlfn.STDEV.P(C4:K4)</f>
        <v>0.29627000329820674</v>
      </c>
      <c r="O4" s="17">
        <f>AVERAGE(C34:K34)</f>
        <v>1.3743886839518568E-2</v>
      </c>
      <c r="S4" s="2" t="str">
        <f>indeter_MI!B5</f>
        <v>Поверка</v>
      </c>
      <c r="T4" s="2">
        <f>indeter_MI!C5</f>
        <v>0.1</v>
      </c>
      <c r="U4" s="2" t="str">
        <f>indeter_MI!D5</f>
        <v>Нормальное</v>
      </c>
      <c r="V4" s="2">
        <f>indeter_MI!E5</f>
        <v>2</v>
      </c>
      <c r="W4" s="59">
        <f>T4/V4</f>
        <v>0.05</v>
      </c>
      <c r="X4" s="52">
        <f t="shared" ref="X4:X9" si="2">W4*W4</f>
        <v>2.5000000000000005E-3</v>
      </c>
    </row>
    <row r="5" spans="2:24" x14ac:dyDescent="0.2">
      <c r="B5" s="96">
        <v>3</v>
      </c>
      <c r="C5" s="18">
        <v>25.132829999999998</v>
      </c>
      <c r="D5" s="19">
        <v>24.264439999999993</v>
      </c>
      <c r="E5" s="19">
        <v>24.918030000000002</v>
      </c>
      <c r="F5" s="19">
        <v>24.286150000000006</v>
      </c>
      <c r="G5" s="23">
        <v>24.709720000000004</v>
      </c>
      <c r="H5" s="19">
        <v>24.219620000000006</v>
      </c>
      <c r="I5" s="19">
        <v>24.518749999999997</v>
      </c>
      <c r="J5" s="19">
        <v>24.659400000000005</v>
      </c>
      <c r="K5" s="19">
        <v>24.407790000000006</v>
      </c>
      <c r="L5" s="9">
        <f t="shared" si="0"/>
        <v>24.56852555555556</v>
      </c>
      <c r="M5" s="21">
        <f t="shared" si="1"/>
        <v>0.29646800266212325</v>
      </c>
      <c r="O5" s="292" t="s">
        <v>5</v>
      </c>
      <c r="S5" s="2" t="str">
        <f>indeter_MI!B6</f>
        <v>Повторяемость*</v>
      </c>
      <c r="T5" s="2">
        <f>indeter_MI!C6</f>
        <v>0.01</v>
      </c>
      <c r="U5" s="2" t="str">
        <f>indeter_MI!D6</f>
        <v>Нормальное</v>
      </c>
      <c r="V5" s="2">
        <f>indeter_MI!E6</f>
        <v>1</v>
      </c>
      <c r="W5" s="59">
        <f t="shared" ref="W5:W13" si="3">T5/V5</f>
        <v>0.01</v>
      </c>
      <c r="X5" s="52">
        <f t="shared" si="2"/>
        <v>1E-4</v>
      </c>
    </row>
    <row r="6" spans="2:24" ht="15" thickBot="1" x14ac:dyDescent="0.25">
      <c r="B6" s="97">
        <v>4</v>
      </c>
      <c r="C6" s="18">
        <v>25.124690000000001</v>
      </c>
      <c r="D6" s="19">
        <v>24.252579999999995</v>
      </c>
      <c r="E6" s="19">
        <v>24.916460000000001</v>
      </c>
      <c r="F6" s="19">
        <v>24.28125</v>
      </c>
      <c r="G6" s="23">
        <v>24.691739999999996</v>
      </c>
      <c r="H6" s="19">
        <v>24.206649999999996</v>
      </c>
      <c r="I6" s="19">
        <v>24.500990000000002</v>
      </c>
      <c r="J6" s="19">
        <v>24.653149999999997</v>
      </c>
      <c r="K6" s="19">
        <v>24.403400000000005</v>
      </c>
      <c r="L6" s="9">
        <f t="shared" si="0"/>
        <v>24.558989999999998</v>
      </c>
      <c r="M6" s="21">
        <f t="shared" si="1"/>
        <v>0.2975888809153408</v>
      </c>
      <c r="O6" s="17">
        <f>O4/(SQRT(270))</f>
        <v>8.3642631664474496E-4</v>
      </c>
      <c r="S6" s="2" t="str">
        <f>indeter_MI!B7</f>
        <v>Гистерезис</v>
      </c>
      <c r="T6" s="2">
        <f>indeter_MI!C7</f>
        <v>0.01</v>
      </c>
      <c r="U6" s="2" t="str">
        <f>indeter_MI!D7</f>
        <v>Прямоугольное</v>
      </c>
      <c r="V6" s="2">
        <f>indeter_MI!E7</f>
        <v>1.73</v>
      </c>
      <c r="W6" s="59">
        <f t="shared" si="3"/>
        <v>5.7803468208092491E-3</v>
      </c>
      <c r="X6" s="52">
        <f t="shared" si="2"/>
        <v>3.3412409368839592E-5</v>
      </c>
    </row>
    <row r="7" spans="2:24" x14ac:dyDescent="0.2">
      <c r="B7" s="96">
        <v>5</v>
      </c>
      <c r="C7" s="18">
        <v>25.124499999999998</v>
      </c>
      <c r="D7" s="19">
        <v>24.246660000000006</v>
      </c>
      <c r="E7" s="19">
        <v>24.909790000000001</v>
      </c>
      <c r="F7" s="19">
        <v>24.274609999999996</v>
      </c>
      <c r="G7" s="23">
        <v>24.675370000000001</v>
      </c>
      <c r="H7" s="19">
        <v>24.200069999999997</v>
      </c>
      <c r="I7" s="19">
        <v>24.486890000000002</v>
      </c>
      <c r="J7" s="19">
        <v>24.640349999999998</v>
      </c>
      <c r="K7" s="19">
        <v>24.397369999999995</v>
      </c>
      <c r="L7" s="9">
        <f t="shared" si="0"/>
        <v>24.550623333333334</v>
      </c>
      <c r="M7" s="21">
        <f t="shared" si="1"/>
        <v>0.29832140724765671</v>
      </c>
      <c r="S7" s="2" t="str">
        <f>indeter_MI!B8</f>
        <v>Влияние температуры</v>
      </c>
      <c r="T7" s="2">
        <f>indeter_MI!C8</f>
        <v>0.01</v>
      </c>
      <c r="U7" s="2" t="str">
        <f>indeter_MI!D8</f>
        <v>Прямоугольное</v>
      </c>
      <c r="V7" s="2">
        <f>indeter_MI!E8</f>
        <v>1.73</v>
      </c>
      <c r="W7" s="59">
        <f t="shared" si="3"/>
        <v>5.7803468208092491E-3</v>
      </c>
      <c r="X7" s="52">
        <f t="shared" si="2"/>
        <v>3.3412409368839592E-5</v>
      </c>
    </row>
    <row r="8" spans="2:24" ht="15" thickBot="1" x14ac:dyDescent="0.25">
      <c r="B8" s="97">
        <v>6</v>
      </c>
      <c r="C8" s="18">
        <v>25.127030000000005</v>
      </c>
      <c r="D8" s="19">
        <v>24.251769999999993</v>
      </c>
      <c r="E8" s="19">
        <v>24.905709999999999</v>
      </c>
      <c r="F8" s="19">
        <v>24.27167</v>
      </c>
      <c r="G8" s="23">
        <v>24.682100000000005</v>
      </c>
      <c r="H8" s="19">
        <v>24.203900000000004</v>
      </c>
      <c r="I8" s="19">
        <v>24.491780000000006</v>
      </c>
      <c r="J8" s="19">
        <v>24.641329999999996</v>
      </c>
      <c r="K8" s="19">
        <v>24.400069999999999</v>
      </c>
      <c r="L8" s="9">
        <f t="shared" si="0"/>
        <v>24.552817777777776</v>
      </c>
      <c r="M8" s="21">
        <f t="shared" si="1"/>
        <v>0.29763434877856448</v>
      </c>
      <c r="S8" s="2" t="str">
        <f>indeter_MI!B9</f>
        <v>Дрейф*</v>
      </c>
      <c r="T8" s="2">
        <f>indeter_MI!C9</f>
        <v>0.1</v>
      </c>
      <c r="U8" s="2" t="str">
        <f>indeter_MI!D9</f>
        <v>Прямоугольное</v>
      </c>
      <c r="V8" s="2">
        <f>indeter_MI!E9</f>
        <v>1.73</v>
      </c>
      <c r="W8" s="59">
        <f t="shared" si="3"/>
        <v>5.7803468208092491E-2</v>
      </c>
      <c r="X8" s="52">
        <f t="shared" si="2"/>
        <v>3.3412409368839594E-3</v>
      </c>
    </row>
    <row r="9" spans="2:24" x14ac:dyDescent="0.2">
      <c r="B9" s="96">
        <v>7</v>
      </c>
      <c r="C9" s="18">
        <v>25.119370000000004</v>
      </c>
      <c r="D9" s="19">
        <v>24.24973</v>
      </c>
      <c r="E9" s="19">
        <v>24.909959999999998</v>
      </c>
      <c r="F9" s="19">
        <v>24.274109999999993</v>
      </c>
      <c r="G9" s="23">
        <v>24.690460000000002</v>
      </c>
      <c r="H9" s="19">
        <v>24.206329999999994</v>
      </c>
      <c r="I9" s="19">
        <v>24.500290000000007</v>
      </c>
      <c r="J9" s="19">
        <v>24.642470000000003</v>
      </c>
      <c r="K9" s="19">
        <v>24.40222</v>
      </c>
      <c r="L9" s="9">
        <f t="shared" si="0"/>
        <v>24.554993333333332</v>
      </c>
      <c r="M9" s="21">
        <f t="shared" si="1"/>
        <v>0.29636785644420782</v>
      </c>
      <c r="O9" s="2" t="s">
        <v>0</v>
      </c>
      <c r="P9" s="2" t="s">
        <v>2</v>
      </c>
      <c r="Q9" s="2" t="s">
        <v>3</v>
      </c>
      <c r="S9" s="2" t="str">
        <f>indeter_MI!B10</f>
        <v>Линейность</v>
      </c>
      <c r="T9" s="2">
        <f>indeter_MI!C10</f>
        <v>0.02</v>
      </c>
      <c r="U9" s="2" t="str">
        <f>indeter_MI!D10</f>
        <v>Прямоугольное</v>
      </c>
      <c r="V9" s="2">
        <f>indeter_MI!E10</f>
        <v>1.73</v>
      </c>
      <c r="W9" s="59">
        <f t="shared" si="3"/>
        <v>1.1560693641618498E-2</v>
      </c>
      <c r="X9" s="52">
        <f t="shared" si="2"/>
        <v>1.3364963747535837E-4</v>
      </c>
    </row>
    <row r="10" spans="2:24" ht="15" thickBot="1" x14ac:dyDescent="0.25">
      <c r="B10" s="97">
        <v>8</v>
      </c>
      <c r="C10" s="18">
        <v>25.118790000000004</v>
      </c>
      <c r="D10" s="19">
        <v>24.257890000000003</v>
      </c>
      <c r="E10" s="19">
        <v>24.908879999999996</v>
      </c>
      <c r="F10" s="19">
        <v>24.275310000000005</v>
      </c>
      <c r="G10" s="23">
        <v>24.696119999999993</v>
      </c>
      <c r="H10" s="19">
        <v>24.207120000000003</v>
      </c>
      <c r="I10" s="19">
        <v>24.506879999999995</v>
      </c>
      <c r="J10" s="19">
        <v>24.647289999999998</v>
      </c>
      <c r="K10" s="19">
        <v>24.401399999999995</v>
      </c>
      <c r="L10" s="9">
        <f t="shared" si="0"/>
        <v>24.55774222222222</v>
      </c>
      <c r="M10" s="21">
        <f t="shared" si="1"/>
        <v>0.29531239127321701</v>
      </c>
      <c r="O10" s="38">
        <f>MAX(M3:M32)</f>
        <v>0.29847398512276063</v>
      </c>
      <c r="P10" s="51">
        <f>MAX(C34:K34)</f>
        <v>1.6305740366168459E-2</v>
      </c>
      <c r="Q10" s="50">
        <f>O6</f>
        <v>8.3642631664474496E-4</v>
      </c>
      <c r="S10" s="2" t="str">
        <f>indeter_MI!B11</f>
        <v>Разрешающая способность</v>
      </c>
      <c r="T10" s="2">
        <f>indeter_MI!C11</f>
        <v>0.01</v>
      </c>
      <c r="U10" s="2" t="str">
        <f>indeter_MI!D11</f>
        <v>Прямоугольное</v>
      </c>
      <c r="V10" s="2">
        <f>indeter_MI!E11</f>
        <v>1.73</v>
      </c>
      <c r="W10" s="59">
        <f t="shared" si="3"/>
        <v>5.7803468208092491E-3</v>
      </c>
      <c r="X10" s="52">
        <f>W10*W10</f>
        <v>3.3412409368839592E-5</v>
      </c>
    </row>
    <row r="11" spans="2:24" x14ac:dyDescent="0.2">
      <c r="B11" s="96">
        <v>9</v>
      </c>
      <c r="C11" s="18">
        <v>25.116829999999993</v>
      </c>
      <c r="D11" s="19">
        <v>24.264600000000002</v>
      </c>
      <c r="E11" s="19">
        <v>24.910629999999998</v>
      </c>
      <c r="F11" s="19">
        <v>24.278729999999996</v>
      </c>
      <c r="G11" s="23">
        <v>24.693920000000006</v>
      </c>
      <c r="H11" s="19">
        <v>24.205029999999994</v>
      </c>
      <c r="I11" s="19">
        <v>24.500590000000003</v>
      </c>
      <c r="J11" s="19">
        <v>24.649760000000001</v>
      </c>
      <c r="K11" s="19">
        <v>24.404499999999999</v>
      </c>
      <c r="L11" s="9">
        <f t="shared" si="0"/>
        <v>24.558287777777778</v>
      </c>
      <c r="M11" s="21">
        <f t="shared" si="1"/>
        <v>0.29421336859790753</v>
      </c>
      <c r="S11" s="36" t="s">
        <v>0</v>
      </c>
      <c r="T11" s="37">
        <f>O10</f>
        <v>0.29847398512276063</v>
      </c>
      <c r="U11" s="36" t="s">
        <v>13</v>
      </c>
      <c r="V11" s="21">
        <v>1</v>
      </c>
      <c r="W11" s="61">
        <f t="shared" si="3"/>
        <v>0.29847398512276063</v>
      </c>
      <c r="X11" s="53">
        <f>W11*W11</f>
        <v>8.9086719795061942E-2</v>
      </c>
    </row>
    <row r="12" spans="2:24" ht="15" thickBot="1" x14ac:dyDescent="0.25">
      <c r="B12" s="97">
        <v>10</v>
      </c>
      <c r="C12" s="18">
        <v>25.130129999999994</v>
      </c>
      <c r="D12" s="19">
        <v>24.274609999999996</v>
      </c>
      <c r="E12" s="19">
        <v>24.911389999999997</v>
      </c>
      <c r="F12" s="19">
        <v>24.291210000000007</v>
      </c>
      <c r="G12" s="23">
        <v>24.710220000000007</v>
      </c>
      <c r="H12" s="19">
        <v>24.228740000000002</v>
      </c>
      <c r="I12" s="19">
        <v>24.519900000000007</v>
      </c>
      <c r="J12" s="19">
        <v>24.658860000000004</v>
      </c>
      <c r="K12" s="19">
        <v>24.4178</v>
      </c>
      <c r="L12" s="9">
        <f t="shared" si="0"/>
        <v>24.571428888888889</v>
      </c>
      <c r="M12" s="21">
        <f t="shared" si="1"/>
        <v>0.29153701409538607</v>
      </c>
      <c r="S12" s="26" t="s">
        <v>21</v>
      </c>
      <c r="T12" s="39">
        <f>P10</f>
        <v>1.6305740366168459E-2</v>
      </c>
      <c r="U12" s="26" t="s">
        <v>13</v>
      </c>
      <c r="V12" s="22">
        <v>1</v>
      </c>
      <c r="W12" s="60">
        <f t="shared" si="3"/>
        <v>1.6305740366168459E-2</v>
      </c>
      <c r="X12" s="54">
        <f>W12*W12</f>
        <v>2.6587716888889552E-4</v>
      </c>
    </row>
    <row r="13" spans="2:24" x14ac:dyDescent="0.2">
      <c r="B13" s="96">
        <v>11</v>
      </c>
      <c r="C13" s="18">
        <v>25.146349999999998</v>
      </c>
      <c r="D13" s="19">
        <v>24.278030000000001</v>
      </c>
      <c r="E13" s="19">
        <v>24.923280000000005</v>
      </c>
      <c r="F13" s="19">
        <v>24.30292</v>
      </c>
      <c r="G13" s="23">
        <v>24.717969999999994</v>
      </c>
      <c r="H13" s="19">
        <v>24.235529999999997</v>
      </c>
      <c r="I13" s="19">
        <v>24.518140000000002</v>
      </c>
      <c r="J13" s="19">
        <v>24.667180000000002</v>
      </c>
      <c r="K13" s="19">
        <v>24.420320000000004</v>
      </c>
      <c r="L13" s="9">
        <f t="shared" si="0"/>
        <v>24.578857777777781</v>
      </c>
      <c r="M13" s="21">
        <f t="shared" si="1"/>
        <v>0.29461103591676707</v>
      </c>
      <c r="S13" s="25" t="s">
        <v>3</v>
      </c>
      <c r="T13" s="40">
        <f>Q10</f>
        <v>8.3642631664474496E-4</v>
      </c>
      <c r="U13" s="25" t="s">
        <v>13</v>
      </c>
      <c r="V13" s="17">
        <v>1</v>
      </c>
      <c r="W13" s="62">
        <f t="shared" si="3"/>
        <v>8.3642631664474496E-4</v>
      </c>
      <c r="X13" s="55">
        <f>W13*W13</f>
        <v>6.996089831758952E-7</v>
      </c>
    </row>
    <row r="14" spans="2:24" ht="15" thickBot="1" x14ac:dyDescent="0.25">
      <c r="B14" s="97">
        <v>12</v>
      </c>
      <c r="C14" s="18">
        <v>25.143979999999999</v>
      </c>
      <c r="D14" s="19">
        <v>24.274280000000005</v>
      </c>
      <c r="E14" s="19">
        <v>24.928280000000001</v>
      </c>
      <c r="F14" s="19">
        <v>24.302549999999997</v>
      </c>
      <c r="G14" s="23">
        <v>24.711780000000005</v>
      </c>
      <c r="H14" s="19">
        <v>24.23236</v>
      </c>
      <c r="I14" s="19">
        <v>24.52261</v>
      </c>
      <c r="J14" s="19">
        <v>24.664699999999996</v>
      </c>
      <c r="K14" s="19">
        <v>24.41583</v>
      </c>
      <c r="L14" s="9">
        <f t="shared" si="0"/>
        <v>24.577374444444441</v>
      </c>
      <c r="M14" s="21">
        <f t="shared" si="1"/>
        <v>0.29540793016178335</v>
      </c>
      <c r="W14" s="56"/>
      <c r="X14" s="56"/>
    </row>
    <row r="15" spans="2:24" x14ac:dyDescent="0.2">
      <c r="B15" s="96">
        <v>13</v>
      </c>
      <c r="C15" s="18">
        <v>25.138490000000004</v>
      </c>
      <c r="D15" s="19">
        <v>24.282049999999998</v>
      </c>
      <c r="E15" s="19">
        <v>24.922349999999994</v>
      </c>
      <c r="F15" s="19">
        <v>24.295019999999994</v>
      </c>
      <c r="G15" s="23">
        <v>24.702789999999993</v>
      </c>
      <c r="H15" s="19">
        <v>24.226479999999995</v>
      </c>
      <c r="I15" s="19">
        <v>24.506429999999995</v>
      </c>
      <c r="J15" s="19">
        <v>24.662019999999998</v>
      </c>
      <c r="K15" s="19">
        <v>24.418090000000007</v>
      </c>
      <c r="L15" s="9">
        <f t="shared" si="0"/>
        <v>24.57263555555555</v>
      </c>
      <c r="M15" s="21">
        <f t="shared" si="1"/>
        <v>0.29382964414818247</v>
      </c>
      <c r="S15" s="35" t="s">
        <v>22</v>
      </c>
      <c r="U15" s="41" t="s">
        <v>82</v>
      </c>
      <c r="V15" s="41"/>
      <c r="W15" s="57" t="s">
        <v>83</v>
      </c>
      <c r="X15" s="57"/>
    </row>
    <row r="16" spans="2:24" ht="15" thickBot="1" x14ac:dyDescent="0.25">
      <c r="B16" s="97">
        <v>14</v>
      </c>
      <c r="C16" s="18">
        <v>25.155230000000003</v>
      </c>
      <c r="D16" s="19">
        <v>24.293319999999994</v>
      </c>
      <c r="E16" s="19">
        <v>24.927700000000002</v>
      </c>
      <c r="F16" s="19">
        <v>24.301069999999996</v>
      </c>
      <c r="G16" s="23">
        <v>24.723939999999999</v>
      </c>
      <c r="H16" s="19">
        <v>24.239879999999999</v>
      </c>
      <c r="I16" s="19">
        <v>24.517899999999997</v>
      </c>
      <c r="J16" s="19">
        <v>24.67456</v>
      </c>
      <c r="K16" s="19">
        <v>24.429699999999997</v>
      </c>
      <c r="L16" s="9">
        <f t="shared" si="0"/>
        <v>24.584811111111108</v>
      </c>
      <c r="M16" s="21">
        <f t="shared" si="1"/>
        <v>0.29502397655650153</v>
      </c>
      <c r="S16" s="42">
        <f>SUM(X4:X13)</f>
        <v>9.5528424375399851E-2</v>
      </c>
      <c r="V16" s="72">
        <f>SQRT(S17)</f>
        <v>0.3090767218669177</v>
      </c>
      <c r="W16" s="65"/>
      <c r="X16" s="72">
        <f>V16*2</f>
        <v>0.61815344373383541</v>
      </c>
    </row>
    <row r="17" spans="2:24" x14ac:dyDescent="0.2">
      <c r="B17" s="96">
        <v>15</v>
      </c>
      <c r="C17" s="18">
        <v>25.146789999999996</v>
      </c>
      <c r="D17" s="19">
        <v>24.282229999999998</v>
      </c>
      <c r="E17" s="19">
        <v>24.93477</v>
      </c>
      <c r="F17" s="19">
        <v>24.313419999999994</v>
      </c>
      <c r="G17" s="23">
        <v>24.726240000000004</v>
      </c>
      <c r="H17" s="19">
        <v>24.240750000000006</v>
      </c>
      <c r="I17" s="19">
        <v>24.521699999999996</v>
      </c>
      <c r="J17" s="19">
        <v>24.671620000000004</v>
      </c>
      <c r="K17" s="19">
        <v>24.426410000000004</v>
      </c>
      <c r="L17" s="9">
        <f t="shared" si="0"/>
        <v>24.584881111111116</v>
      </c>
      <c r="M17" s="21">
        <f t="shared" si="1"/>
        <v>0.29410689698529796</v>
      </c>
      <c r="S17" s="42">
        <f>ROUND(S16,8)</f>
        <v>9.5528420000000003E-2</v>
      </c>
      <c r="V17" s="72">
        <f>ROUND(V16,3)</f>
        <v>0.309</v>
      </c>
      <c r="W17" s="65"/>
      <c r="X17" s="72">
        <f>ROUND(X16,3)</f>
        <v>0.61799999999999999</v>
      </c>
    </row>
    <row r="18" spans="2:24" ht="15" thickBot="1" x14ac:dyDescent="0.25">
      <c r="B18" s="97">
        <v>16</v>
      </c>
      <c r="C18" s="18">
        <v>25.139889999999994</v>
      </c>
      <c r="D18" s="19">
        <v>24.285520000000005</v>
      </c>
      <c r="E18" s="19">
        <v>24.924729999999997</v>
      </c>
      <c r="F18" s="19">
        <v>24.304860000000005</v>
      </c>
      <c r="G18" s="23">
        <v>24.707080000000005</v>
      </c>
      <c r="H18" s="19">
        <v>24.231170000000006</v>
      </c>
      <c r="I18" s="19">
        <v>24.520290000000003</v>
      </c>
      <c r="J18" s="19">
        <v>24.666210000000007</v>
      </c>
      <c r="K18" s="19">
        <v>24.422439999999995</v>
      </c>
      <c r="L18" s="9">
        <f t="shared" si="0"/>
        <v>24.578021111111113</v>
      </c>
      <c r="M18" s="21">
        <f t="shared" si="1"/>
        <v>0.29218622830290075</v>
      </c>
      <c r="W18" s="56"/>
      <c r="X18" s="56"/>
    </row>
    <row r="19" spans="2:24" x14ac:dyDescent="0.2">
      <c r="B19" s="96">
        <v>17</v>
      </c>
      <c r="C19" s="18">
        <v>25.137969999999996</v>
      </c>
      <c r="D19" s="19">
        <v>24.290790000000001</v>
      </c>
      <c r="E19" s="19">
        <v>24.928690000000003</v>
      </c>
      <c r="F19" s="19">
        <v>24.306380000000004</v>
      </c>
      <c r="G19" s="23">
        <v>24.715069999999997</v>
      </c>
      <c r="H19" s="19">
        <v>24.237409999999997</v>
      </c>
      <c r="I19" s="19">
        <v>24.529790000000006</v>
      </c>
      <c r="J19" s="19">
        <v>24.669709999999995</v>
      </c>
      <c r="K19" s="19">
        <v>24.427779999999998</v>
      </c>
      <c r="L19" s="9">
        <f t="shared" si="0"/>
        <v>24.582621111111109</v>
      </c>
      <c r="M19" s="21">
        <f t="shared" si="1"/>
        <v>0.29073000133550475</v>
      </c>
      <c r="O19" s="292" t="s">
        <v>36</v>
      </c>
      <c r="W19" s="56"/>
      <c r="X19" s="56"/>
    </row>
    <row r="20" spans="2:24" ht="15" thickBot="1" x14ac:dyDescent="0.25">
      <c r="B20" s="97">
        <v>18</v>
      </c>
      <c r="C20" s="18">
        <v>25.132800000000003</v>
      </c>
      <c r="D20" s="19">
        <v>24.284289999999999</v>
      </c>
      <c r="E20" s="19">
        <v>24.927890000000005</v>
      </c>
      <c r="F20" s="19">
        <v>24.303820000000002</v>
      </c>
      <c r="G20" s="23">
        <v>24.713130000000007</v>
      </c>
      <c r="H20" s="19">
        <v>24.233029999999999</v>
      </c>
      <c r="I20" s="19">
        <v>24.512950000000004</v>
      </c>
      <c r="J20" s="19">
        <v>24.661389999999997</v>
      </c>
      <c r="K20" s="19">
        <v>24.421189999999996</v>
      </c>
      <c r="L20" s="9">
        <f t="shared" si="0"/>
        <v>24.576721111111109</v>
      </c>
      <c r="M20" s="21">
        <f t="shared" si="1"/>
        <v>0.2914886613172874</v>
      </c>
      <c r="W20" s="56"/>
      <c r="X20" s="56"/>
    </row>
    <row r="21" spans="2:24" x14ac:dyDescent="0.2">
      <c r="B21" s="96">
        <v>19</v>
      </c>
      <c r="C21" s="18">
        <v>25.114149999999995</v>
      </c>
      <c r="D21" s="19">
        <v>24.268739999999994</v>
      </c>
      <c r="E21" s="19">
        <v>24.922690000000003</v>
      </c>
      <c r="F21" s="19">
        <v>24.297899999999998</v>
      </c>
      <c r="G21" s="23">
        <v>24.711349999999996</v>
      </c>
      <c r="H21" s="19">
        <v>24.230220000000003</v>
      </c>
      <c r="I21" s="19">
        <v>24.503399999999999</v>
      </c>
      <c r="J21" s="19">
        <v>24.656229999999994</v>
      </c>
      <c r="K21" s="19">
        <v>24.413070000000005</v>
      </c>
      <c r="L21" s="9">
        <f t="shared" si="0"/>
        <v>24.568638888888888</v>
      </c>
      <c r="M21" s="21">
        <f t="shared" si="1"/>
        <v>0.2900569391015963</v>
      </c>
      <c r="O21" s="63" t="s">
        <v>23</v>
      </c>
      <c r="S21" s="2" t="s">
        <v>7</v>
      </c>
      <c r="T21" s="2" t="s">
        <v>8</v>
      </c>
      <c r="U21" s="2" t="s">
        <v>9</v>
      </c>
      <c r="V21" s="2" t="s">
        <v>10</v>
      </c>
      <c r="W21" s="57" t="s">
        <v>11</v>
      </c>
      <c r="X21" s="58" t="s">
        <v>12</v>
      </c>
    </row>
    <row r="22" spans="2:24" ht="15" thickBot="1" x14ac:dyDescent="0.25">
      <c r="B22" s="97">
        <v>20</v>
      </c>
      <c r="C22" s="18">
        <v>25.099469999999997</v>
      </c>
      <c r="D22" s="19">
        <v>24.260639999999995</v>
      </c>
      <c r="E22" s="19">
        <v>24.909499999999994</v>
      </c>
      <c r="F22" s="19">
        <v>24.283320000000003</v>
      </c>
      <c r="G22" s="23">
        <v>24.691109999999995</v>
      </c>
      <c r="H22" s="19">
        <v>24.212800000000001</v>
      </c>
      <c r="I22" s="19">
        <v>24.485990000000001</v>
      </c>
      <c r="J22" s="19">
        <v>24.648499999999999</v>
      </c>
      <c r="K22" s="19">
        <v>24.402479999999997</v>
      </c>
      <c r="L22" s="9">
        <f t="shared" si="0"/>
        <v>24.55486777777778</v>
      </c>
      <c r="M22" s="21">
        <f t="shared" si="1"/>
        <v>0.28962988990847283</v>
      </c>
      <c r="O22" s="64">
        <f>MAX(C34:K34)</f>
        <v>1.6305740366168459E-2</v>
      </c>
      <c r="S22" s="2" t="str">
        <f>indeter_MI!B16</f>
        <v>Поверка</v>
      </c>
      <c r="T22" s="2">
        <f>indeter_MI!C16</f>
        <v>0.1</v>
      </c>
      <c r="U22" s="2" t="str">
        <f>indeter_MI!D16</f>
        <v>Нормальное</v>
      </c>
      <c r="V22" s="2">
        <f>indeter_MI!E16</f>
        <v>2</v>
      </c>
      <c r="W22" s="59">
        <f>T22/V22</f>
        <v>0.05</v>
      </c>
      <c r="X22" s="59">
        <f t="shared" ref="X22:X29" si="4">W22*W22</f>
        <v>2.5000000000000005E-3</v>
      </c>
    </row>
    <row r="23" spans="2:24" x14ac:dyDescent="0.2">
      <c r="B23" s="96">
        <v>21</v>
      </c>
      <c r="C23" s="18">
        <v>25.09442</v>
      </c>
      <c r="D23" s="19">
        <v>24.262739999999994</v>
      </c>
      <c r="E23" s="19">
        <v>24.901629999999997</v>
      </c>
      <c r="F23" s="19">
        <v>24.280869999999993</v>
      </c>
      <c r="G23" s="23">
        <v>24.689239999999998</v>
      </c>
      <c r="H23" s="19">
        <v>24.211020000000005</v>
      </c>
      <c r="I23" s="19">
        <v>24.480329999999995</v>
      </c>
      <c r="J23" s="19">
        <v>24.646010000000004</v>
      </c>
      <c r="K23" s="19">
        <v>24.40061</v>
      </c>
      <c r="L23" s="9">
        <f t="shared" si="0"/>
        <v>24.551874444444437</v>
      </c>
      <c r="M23" s="21">
        <f t="shared" si="1"/>
        <v>0.28783460818521467</v>
      </c>
      <c r="S23" s="2" t="str">
        <f>indeter_MI!B17</f>
        <v>Повторяемость*</v>
      </c>
      <c r="T23" s="2">
        <f>indeter_MI!C17</f>
        <v>0.01</v>
      </c>
      <c r="U23" s="2" t="str">
        <f>indeter_MI!D17</f>
        <v>Нормальное</v>
      </c>
      <c r="V23" s="2">
        <f>indeter_MI!E17</f>
        <v>1</v>
      </c>
      <c r="W23" s="59">
        <f t="shared" ref="W23:W28" si="5">T23/V23</f>
        <v>0.01</v>
      </c>
      <c r="X23" s="59">
        <f t="shared" si="4"/>
        <v>1E-4</v>
      </c>
    </row>
    <row r="24" spans="2:24" ht="15" thickBot="1" x14ac:dyDescent="0.25">
      <c r="B24" s="97">
        <v>22</v>
      </c>
      <c r="C24" s="18">
        <v>25.114590000000007</v>
      </c>
      <c r="D24" s="19">
        <v>24.282290000000003</v>
      </c>
      <c r="E24" s="19">
        <v>24.903670000000005</v>
      </c>
      <c r="F24" s="19">
        <v>24.285480000000007</v>
      </c>
      <c r="G24" s="23">
        <v>24.703460000000007</v>
      </c>
      <c r="H24" s="19">
        <v>24.222520000000003</v>
      </c>
      <c r="I24" s="19">
        <v>24.508420000000001</v>
      </c>
      <c r="J24" s="19">
        <v>24.658280000000005</v>
      </c>
      <c r="K24" s="19">
        <v>24.412430000000001</v>
      </c>
      <c r="L24" s="9">
        <f t="shared" si="0"/>
        <v>24.565682222222225</v>
      </c>
      <c r="M24" s="21">
        <f t="shared" si="1"/>
        <v>0.28798968043925954</v>
      </c>
      <c r="S24" s="2" t="str">
        <f>indeter_MI!B18</f>
        <v>Гистерезис</v>
      </c>
      <c r="T24" s="2">
        <f>indeter_MI!C18</f>
        <v>0.01</v>
      </c>
      <c r="U24" s="2" t="str">
        <f>indeter_MI!D18</f>
        <v>Прямоугольное</v>
      </c>
      <c r="V24" s="2">
        <f>indeter_MI!E18</f>
        <v>1.73</v>
      </c>
      <c r="W24" s="59">
        <f t="shared" si="5"/>
        <v>5.7803468208092491E-3</v>
      </c>
      <c r="X24" s="59">
        <f t="shared" si="4"/>
        <v>3.3412409368839592E-5</v>
      </c>
    </row>
    <row r="25" spans="2:24" x14ac:dyDescent="0.2">
      <c r="B25" s="96">
        <v>23</v>
      </c>
      <c r="C25" s="18">
        <v>25.131519999999995</v>
      </c>
      <c r="D25" s="19">
        <v>24.300460000000001</v>
      </c>
      <c r="E25" s="19">
        <v>24.917739999999995</v>
      </c>
      <c r="F25" s="19">
        <v>24.299469999999999</v>
      </c>
      <c r="G25" s="23">
        <v>24.728300000000004</v>
      </c>
      <c r="H25" s="19">
        <v>24.245090000000005</v>
      </c>
      <c r="I25" s="19">
        <v>24.523150000000001</v>
      </c>
      <c r="J25" s="19">
        <v>24.671030000000002</v>
      </c>
      <c r="K25" s="19">
        <v>24.426640000000006</v>
      </c>
      <c r="L25" s="9">
        <f t="shared" si="0"/>
        <v>24.582599999999999</v>
      </c>
      <c r="M25" s="21">
        <f t="shared" si="1"/>
        <v>0.28755999211758443</v>
      </c>
      <c r="S25" s="2" t="str">
        <f>indeter_MI!B19</f>
        <v>Влияние температуры</v>
      </c>
      <c r="T25" s="2">
        <f>indeter_MI!C19</f>
        <v>0.01</v>
      </c>
      <c r="U25" s="2" t="str">
        <f>indeter_MI!D19</f>
        <v>Прямоугольное</v>
      </c>
      <c r="V25" s="2">
        <f>indeter_MI!E19</f>
        <v>1.73</v>
      </c>
      <c r="W25" s="59">
        <f t="shared" si="5"/>
        <v>5.7803468208092491E-3</v>
      </c>
      <c r="X25" s="59">
        <f t="shared" si="4"/>
        <v>3.3412409368839592E-5</v>
      </c>
    </row>
    <row r="26" spans="2:24" ht="15" thickBot="1" x14ac:dyDescent="0.25">
      <c r="B26" s="97">
        <v>24</v>
      </c>
      <c r="C26" s="18">
        <v>25.141300000000001</v>
      </c>
      <c r="D26" s="19">
        <v>24.307509999999994</v>
      </c>
      <c r="E26" s="19">
        <v>24.934569999999994</v>
      </c>
      <c r="F26" s="19">
        <v>24.317599999999999</v>
      </c>
      <c r="G26" s="23">
        <v>24.748350000000002</v>
      </c>
      <c r="H26" s="19">
        <v>24.261960000000002</v>
      </c>
      <c r="I26" s="19">
        <v>24.534639999999996</v>
      </c>
      <c r="J26" s="19">
        <v>24.687060000000002</v>
      </c>
      <c r="K26" s="19">
        <v>24.437070000000006</v>
      </c>
      <c r="L26" s="9">
        <f t="shared" si="0"/>
        <v>24.596673333333332</v>
      </c>
      <c r="M26" s="21">
        <f t="shared" si="1"/>
        <v>0.28767644958258992</v>
      </c>
      <c r="S26" s="2" t="str">
        <f>indeter_MI!B20</f>
        <v>Дрейф*</v>
      </c>
      <c r="T26" s="2">
        <f>indeter_MI!C20</f>
        <v>0.1</v>
      </c>
      <c r="U26" s="2" t="str">
        <f>indeter_MI!D20</f>
        <v>Прямоугольное</v>
      </c>
      <c r="V26" s="2">
        <f>indeter_MI!E20</f>
        <v>1.73</v>
      </c>
      <c r="W26" s="59">
        <f t="shared" si="5"/>
        <v>5.7803468208092491E-2</v>
      </c>
      <c r="X26" s="59">
        <f t="shared" si="4"/>
        <v>3.3412409368839594E-3</v>
      </c>
    </row>
    <row r="27" spans="2:24" x14ac:dyDescent="0.2">
      <c r="B27" s="96">
        <v>25</v>
      </c>
      <c r="C27" s="18">
        <v>25.133210000000005</v>
      </c>
      <c r="D27" s="19">
        <v>24.289289999999994</v>
      </c>
      <c r="E27" s="19">
        <v>24.941299999999998</v>
      </c>
      <c r="F27" s="19">
        <v>24.317840000000004</v>
      </c>
      <c r="G27" s="23">
        <v>24.733429999999998</v>
      </c>
      <c r="H27" s="19">
        <v>24.251099999999994</v>
      </c>
      <c r="I27" s="19">
        <v>24.52852</v>
      </c>
      <c r="J27" s="19">
        <v>24.676869999999994</v>
      </c>
      <c r="K27" s="19">
        <v>24.428100000000001</v>
      </c>
      <c r="L27" s="9">
        <f t="shared" si="0"/>
        <v>24.588851111111111</v>
      </c>
      <c r="M27" s="21">
        <f t="shared" si="1"/>
        <v>0.28981558436911364</v>
      </c>
      <c r="S27" s="2" t="str">
        <f>indeter_MI!B21</f>
        <v>Линейность</v>
      </c>
      <c r="T27" s="2">
        <f>indeter_MI!C21</f>
        <v>0.02</v>
      </c>
      <c r="U27" s="2" t="str">
        <f>indeter_MI!D21</f>
        <v>Прямоугольное</v>
      </c>
      <c r="V27" s="2">
        <f>indeter_MI!E21</f>
        <v>1.73</v>
      </c>
      <c r="W27" s="59">
        <f t="shared" si="5"/>
        <v>1.1560693641618498E-2</v>
      </c>
      <c r="X27" s="59">
        <f t="shared" si="4"/>
        <v>1.3364963747535837E-4</v>
      </c>
    </row>
    <row r="28" spans="2:24" ht="15" thickBot="1" x14ac:dyDescent="0.25">
      <c r="B28" s="97">
        <v>26</v>
      </c>
      <c r="C28" s="18">
        <v>25.126499999999993</v>
      </c>
      <c r="D28" s="19">
        <v>24.26849</v>
      </c>
      <c r="E28" s="19">
        <v>24.927400000000006</v>
      </c>
      <c r="F28" s="19">
        <v>24.30068</v>
      </c>
      <c r="G28" s="23">
        <v>24.709919999999997</v>
      </c>
      <c r="H28" s="19">
        <v>24.230220000000003</v>
      </c>
      <c r="I28" s="19">
        <v>24.512100000000004</v>
      </c>
      <c r="J28" s="19">
        <v>24.660780000000003</v>
      </c>
      <c r="K28" s="19">
        <v>24.418059999999997</v>
      </c>
      <c r="L28" s="9">
        <f t="shared" si="0"/>
        <v>24.57268333333333</v>
      </c>
      <c r="M28" s="21">
        <f t="shared" si="1"/>
        <v>0.29259585073385108</v>
      </c>
      <c r="S28" s="2" t="str">
        <f>indeter_MI!B22</f>
        <v>Разрешающая способность</v>
      </c>
      <c r="T28" s="2">
        <f>indeter_MI!C22</f>
        <v>0.01</v>
      </c>
      <c r="U28" s="2" t="str">
        <f>indeter_MI!D22</f>
        <v>Прямоугольное</v>
      </c>
      <c r="V28" s="2">
        <f>indeter_MI!E22</f>
        <v>1.73</v>
      </c>
      <c r="W28" s="59">
        <f t="shared" si="5"/>
        <v>5.7803468208092491E-3</v>
      </c>
      <c r="X28" s="59">
        <f t="shared" si="4"/>
        <v>3.3412409368839592E-5</v>
      </c>
    </row>
    <row r="29" spans="2:24" x14ac:dyDescent="0.2">
      <c r="B29" s="96">
        <v>27</v>
      </c>
      <c r="C29" s="18">
        <v>25.108819999999994</v>
      </c>
      <c r="D29" s="19">
        <v>24.260339999999999</v>
      </c>
      <c r="E29" s="19">
        <v>24.916719999999998</v>
      </c>
      <c r="F29" s="19">
        <v>24.286559999999994</v>
      </c>
      <c r="G29" s="23">
        <v>24.693449999999999</v>
      </c>
      <c r="H29" s="19">
        <v>24.21687</v>
      </c>
      <c r="I29" s="19">
        <v>24.497119999999995</v>
      </c>
      <c r="J29" s="19">
        <v>24.650999999999996</v>
      </c>
      <c r="K29" s="19">
        <v>24.410510000000002</v>
      </c>
      <c r="L29" s="9">
        <f t="shared" si="0"/>
        <v>24.560154444444443</v>
      </c>
      <c r="M29" s="21">
        <f t="shared" si="1"/>
        <v>0.29119431069347201</v>
      </c>
      <c r="S29" s="48" t="s">
        <v>21</v>
      </c>
      <c r="T29" s="49">
        <f>O22</f>
        <v>1.6305740366168459E-2</v>
      </c>
      <c r="U29" s="49" t="s">
        <v>13</v>
      </c>
      <c r="V29" s="16">
        <v>1</v>
      </c>
      <c r="W29" s="60">
        <f>T29/V29</f>
        <v>1.6305740366168459E-2</v>
      </c>
      <c r="X29" s="60">
        <f t="shared" si="4"/>
        <v>2.6587716888889552E-4</v>
      </c>
    </row>
    <row r="30" spans="2:24" ht="15" thickBot="1" x14ac:dyDescent="0.25">
      <c r="B30" s="97">
        <v>28</v>
      </c>
      <c r="C30" s="18">
        <v>25.104489999999998</v>
      </c>
      <c r="D30" s="19">
        <v>24.268969999999996</v>
      </c>
      <c r="E30" s="19">
        <v>24.911389999999997</v>
      </c>
      <c r="F30" s="19">
        <v>24.283230000000003</v>
      </c>
      <c r="G30" s="23">
        <v>24.695160000000001</v>
      </c>
      <c r="H30" s="19">
        <v>24.217439999999996</v>
      </c>
      <c r="I30" s="19">
        <v>24.504819999999995</v>
      </c>
      <c r="J30" s="19">
        <v>24.653649999999999</v>
      </c>
      <c r="K30" s="19">
        <v>24.413899999999998</v>
      </c>
      <c r="L30" s="9">
        <f t="shared" si="0"/>
        <v>24.561449999999997</v>
      </c>
      <c r="M30" s="21">
        <f t="shared" si="1"/>
        <v>0.2886754054874322</v>
      </c>
      <c r="X30" s="56"/>
    </row>
    <row r="31" spans="2:24" ht="15" thickBot="1" x14ac:dyDescent="0.25">
      <c r="B31" s="98">
        <v>29</v>
      </c>
      <c r="C31" s="18">
        <v>25.094989999999996</v>
      </c>
      <c r="D31" s="19">
        <v>24.26567</v>
      </c>
      <c r="E31" s="19">
        <v>24.909589999999994</v>
      </c>
      <c r="F31" s="19">
        <v>24.287949999999995</v>
      </c>
      <c r="G31" s="23">
        <v>24.703689999999995</v>
      </c>
      <c r="H31" s="19">
        <v>24.223590000000002</v>
      </c>
      <c r="I31" s="19">
        <v>24.503619999999998</v>
      </c>
      <c r="J31" s="19">
        <v>24.656019999999998</v>
      </c>
      <c r="K31" s="19">
        <v>24.416960000000003</v>
      </c>
      <c r="L31" s="9">
        <f t="shared" si="0"/>
        <v>24.562453333333337</v>
      </c>
      <c r="M31" s="21">
        <f t="shared" si="1"/>
        <v>0.285908326527537</v>
      </c>
      <c r="S31" s="35" t="s">
        <v>22</v>
      </c>
      <c r="U31" s="41" t="s">
        <v>82</v>
      </c>
      <c r="V31" s="41"/>
      <c r="W31" s="41" t="s">
        <v>83</v>
      </c>
      <c r="X31" s="57"/>
    </row>
    <row r="32" spans="2:24" ht="15" thickBot="1" x14ac:dyDescent="0.25">
      <c r="B32" s="98">
        <v>30</v>
      </c>
      <c r="C32" s="18">
        <v>25.103179999999995</v>
      </c>
      <c r="D32" s="19">
        <v>24.278149999999997</v>
      </c>
      <c r="E32" s="19">
        <v>24.904489999999996</v>
      </c>
      <c r="F32" s="19">
        <v>24.287840000000003</v>
      </c>
      <c r="G32" s="23">
        <v>24.704599999999999</v>
      </c>
      <c r="H32" s="19">
        <v>24.225980000000007</v>
      </c>
      <c r="I32" s="19">
        <v>24.508499999999998</v>
      </c>
      <c r="J32" s="19">
        <v>24.652630000000002</v>
      </c>
      <c r="K32" s="19">
        <v>24.420439999999999</v>
      </c>
      <c r="L32" s="9">
        <f t="shared" si="0"/>
        <v>24.565089999999998</v>
      </c>
      <c r="M32" s="21">
        <f>_xlfn.STDEV.P(C32:K32)</f>
        <v>0.28483587254573028</v>
      </c>
      <c r="S32" s="42">
        <f>SUM(X22:X29)</f>
        <v>6.4410049713547321E-3</v>
      </c>
      <c r="V32" s="72">
        <f>SQRT(S32)</f>
        <v>8.0255871880845778E-2</v>
      </c>
      <c r="X32" s="72">
        <f>V32*2</f>
        <v>0.16051174376169156</v>
      </c>
    </row>
    <row r="33" spans="2:24" ht="19.5" thickBot="1" x14ac:dyDescent="0.4">
      <c r="B33" s="93" t="s">
        <v>40</v>
      </c>
      <c r="C33" s="30">
        <f>AVERAGE(C3:C32)</f>
        <v>25.125773333333331</v>
      </c>
      <c r="D33" s="31">
        <f t="shared" ref="D33:K33" si="6">AVERAGE(D3:D32)</f>
        <v>24.272347000000003</v>
      </c>
      <c r="E33" s="31">
        <f t="shared" si="6"/>
        <v>24.916943333333329</v>
      </c>
      <c r="F33" s="31">
        <f t="shared" si="6"/>
        <v>24.290716999999997</v>
      </c>
      <c r="G33" s="31">
        <f t="shared" si="6"/>
        <v>24.70524666666666</v>
      </c>
      <c r="H33" s="31">
        <f t="shared" si="6"/>
        <v>24.22399033333334</v>
      </c>
      <c r="I33" s="31">
        <f t="shared" si="6"/>
        <v>24.509302333333331</v>
      </c>
      <c r="J33" s="31">
        <f t="shared" si="6"/>
        <v>24.657822666666668</v>
      </c>
      <c r="K33" s="31">
        <f t="shared" si="6"/>
        <v>24.414306333333339</v>
      </c>
      <c r="M33" s="177"/>
      <c r="S33" s="42">
        <f>ROUND(S32,8)</f>
        <v>6.4409999999999997E-3</v>
      </c>
      <c r="V33" s="72">
        <f>ROUND(V32,3)</f>
        <v>0.08</v>
      </c>
      <c r="X33" s="72">
        <f>ROUND(X32,3)</f>
        <v>0.161</v>
      </c>
    </row>
    <row r="34" spans="2:24" ht="19.5" thickBot="1" x14ac:dyDescent="0.4">
      <c r="B34" s="93" t="s">
        <v>39</v>
      </c>
      <c r="C34" s="27">
        <f>_xlfn.STDEV.P(C3:C32)</f>
        <v>1.5860574040333725E-2</v>
      </c>
      <c r="D34" s="22">
        <f t="shared" ref="D34:K34" si="7">_xlfn.STDEV.P(D3:D32)</f>
        <v>1.5170173180729328E-2</v>
      </c>
      <c r="E34" s="22">
        <f t="shared" si="7"/>
        <v>1.1131499250126643E-2</v>
      </c>
      <c r="F34" s="22">
        <f t="shared" si="7"/>
        <v>1.4553187543169912E-2</v>
      </c>
      <c r="G34" s="22">
        <f t="shared" si="7"/>
        <v>1.6305740366168459E-2</v>
      </c>
      <c r="H34" s="22">
        <f t="shared" si="7"/>
        <v>1.5348389379852497E-2</v>
      </c>
      <c r="I34" s="22">
        <f t="shared" si="7"/>
        <v>1.3215685045514002E-2</v>
      </c>
      <c r="J34" s="22">
        <f t="shared" si="7"/>
        <v>1.1730107681612445E-2</v>
      </c>
      <c r="K34" s="22">
        <f t="shared" si="7"/>
        <v>1.0379625068160071E-2</v>
      </c>
      <c r="L34" s="65"/>
    </row>
    <row r="35" spans="2:24" ht="19.5" thickBot="1" x14ac:dyDescent="0.4">
      <c r="B35" s="93" t="s">
        <v>52</v>
      </c>
      <c r="C35" s="11">
        <f>MAX(C3:C32)-C33</f>
        <v>2.9456666666671794E-2</v>
      </c>
      <c r="D35" s="12">
        <f t="shared" ref="D35:K35" si="8">MAX(D3:D32)-D33</f>
        <v>3.5162999999990063E-2</v>
      </c>
      <c r="E35" s="12">
        <f t="shared" si="8"/>
        <v>2.4356666666669469E-2</v>
      </c>
      <c r="F35" s="12">
        <f t="shared" si="8"/>
        <v>2.712300000000667E-2</v>
      </c>
      <c r="G35" s="24">
        <f t="shared" si="8"/>
        <v>4.3103333333341709E-2</v>
      </c>
      <c r="H35" s="12">
        <f t="shared" si="8"/>
        <v>3.7969666666661794E-2</v>
      </c>
      <c r="I35" s="12">
        <f t="shared" si="8"/>
        <v>2.533766666666537E-2</v>
      </c>
      <c r="J35" s="12">
        <f t="shared" si="8"/>
        <v>2.9237333333334448E-2</v>
      </c>
      <c r="K35" s="12">
        <f t="shared" si="8"/>
        <v>2.2763666666666182E-2</v>
      </c>
    </row>
    <row r="36" spans="2:24" ht="19.5" thickBot="1" x14ac:dyDescent="0.4">
      <c r="B36" s="93" t="s">
        <v>51</v>
      </c>
      <c r="C36" s="11">
        <f>C33-MIN(C3:C32)</f>
        <v>3.135333333333179E-2</v>
      </c>
      <c r="D36" s="12">
        <f t="shared" ref="D36:K36" si="9">D33-MIN(D3:D32)</f>
        <v>2.5686999999997795E-2</v>
      </c>
      <c r="E36" s="12">
        <f t="shared" si="9"/>
        <v>2.2153333333328362E-2</v>
      </c>
      <c r="F36" s="12">
        <f t="shared" si="9"/>
        <v>3.3747000000001748E-2</v>
      </c>
      <c r="G36" s="24">
        <f t="shared" si="9"/>
        <v>2.9876666666659446E-2</v>
      </c>
      <c r="H36" s="12">
        <f t="shared" si="9"/>
        <v>2.449033333333972E-2</v>
      </c>
      <c r="I36" s="12">
        <f t="shared" si="9"/>
        <v>2.8972333333335598E-2</v>
      </c>
      <c r="J36" s="12">
        <f t="shared" si="9"/>
        <v>2.228266666666201E-2</v>
      </c>
      <c r="K36" s="12">
        <f t="shared" si="9"/>
        <v>1.6936333333344322E-2</v>
      </c>
    </row>
    <row r="37" spans="2:24" ht="20.25" thickBot="1" x14ac:dyDescent="0.4">
      <c r="B37" s="94" t="s">
        <v>44</v>
      </c>
      <c r="C37" s="14">
        <f>(C35+C36)/2</f>
        <v>3.0405000000001792E-2</v>
      </c>
      <c r="D37" s="15">
        <f t="shared" ref="D37:K37" si="10">(D35+D36)/2</f>
        <v>3.0424999999993929E-2</v>
      </c>
      <c r="E37" s="15">
        <f t="shared" si="10"/>
        <v>2.3254999999998915E-2</v>
      </c>
      <c r="F37" s="15">
        <f t="shared" si="10"/>
        <v>3.0435000000004209E-2</v>
      </c>
      <c r="G37" s="15">
        <f t="shared" si="10"/>
        <v>3.6490000000000578E-2</v>
      </c>
      <c r="H37" s="15">
        <f t="shared" si="10"/>
        <v>3.1230000000000757E-2</v>
      </c>
      <c r="I37" s="15">
        <f t="shared" si="10"/>
        <v>2.7155000000000484E-2</v>
      </c>
      <c r="J37" s="15">
        <f t="shared" si="10"/>
        <v>2.5759999999998229E-2</v>
      </c>
      <c r="K37" s="15">
        <f t="shared" si="10"/>
        <v>1.9850000000005252E-2</v>
      </c>
    </row>
    <row r="38" spans="2:24" ht="19.5" thickBot="1" x14ac:dyDescent="0.4">
      <c r="B38" s="95" t="s">
        <v>43</v>
      </c>
      <c r="C38" s="43">
        <f>C33-$G33</f>
        <v>0.42052666666667093</v>
      </c>
      <c r="D38" s="13">
        <f t="shared" ref="D38:K38" si="11">D33-$G33</f>
        <v>-0.43289966666665691</v>
      </c>
      <c r="E38" s="13">
        <f t="shared" si="11"/>
        <v>0.21169666666666842</v>
      </c>
      <c r="F38" s="13">
        <f t="shared" si="11"/>
        <v>-0.41452966666666313</v>
      </c>
      <c r="G38" s="13">
        <f>G33-$G33</f>
        <v>0</v>
      </c>
      <c r="H38" s="13">
        <f t="shared" si="11"/>
        <v>-0.48125633333332019</v>
      </c>
      <c r="I38" s="13">
        <f t="shared" si="11"/>
        <v>-0.19594433333332972</v>
      </c>
      <c r="J38" s="13">
        <f t="shared" si="11"/>
        <v>-4.7423999999992361E-2</v>
      </c>
      <c r="K38" s="13">
        <f t="shared" si="11"/>
        <v>-0.29094033333332092</v>
      </c>
    </row>
    <row r="39" spans="2:24" ht="18.75" x14ac:dyDescent="0.35">
      <c r="B39" s="99" t="s">
        <v>45</v>
      </c>
      <c r="C39" s="45">
        <v>25</v>
      </c>
    </row>
    <row r="40" spans="2:24" ht="18.75" x14ac:dyDescent="0.2">
      <c r="B40" s="100" t="s">
        <v>46</v>
      </c>
      <c r="C40" s="44">
        <f>AVERAGE(C3:K32)</f>
        <v>24.568494333333334</v>
      </c>
    </row>
    <row r="41" spans="2:24" ht="18.75" x14ac:dyDescent="0.2">
      <c r="B41" s="101" t="s">
        <v>47</v>
      </c>
      <c r="C41" s="28">
        <f>C40-C39</f>
        <v>-0.43150566666666634</v>
      </c>
    </row>
    <row r="42" spans="2:24" ht="18.75" x14ac:dyDescent="0.2">
      <c r="B42" s="102" t="s">
        <v>48</v>
      </c>
      <c r="C42" s="29">
        <f>MAX(C33:K33)-MIN(C33:K33)</f>
        <v>0.90178299999999112</v>
      </c>
      <c r="D42" s="65"/>
    </row>
    <row r="43" spans="2:24" ht="18.75" x14ac:dyDescent="0.2">
      <c r="B43" s="103" t="s">
        <v>49</v>
      </c>
      <c r="C43" s="32">
        <f>MAX(C38:K38)</f>
        <v>0.42052666666667093</v>
      </c>
    </row>
    <row r="44" spans="2:24" x14ac:dyDescent="0.2">
      <c r="B44" s="104"/>
      <c r="C44" s="32">
        <f>MIN(C38:K38)</f>
        <v>-0.48125633333332019</v>
      </c>
    </row>
    <row r="45" spans="2:24" ht="18.75" x14ac:dyDescent="0.2">
      <c r="B45" s="105" t="s">
        <v>50</v>
      </c>
      <c r="C45" s="182">
        <f>AVERAGE(C37:K37)</f>
        <v>2.8333888888889349E-2</v>
      </c>
      <c r="D45" s="178"/>
      <c r="E45" s="178"/>
      <c r="F45" s="178"/>
      <c r="G45" s="178"/>
      <c r="H45" s="178"/>
      <c r="I45" s="178"/>
      <c r="J45" s="178"/>
      <c r="K45" s="178"/>
    </row>
    <row r="46" spans="2:24" ht="18.75" x14ac:dyDescent="0.35">
      <c r="B46" s="180" t="s">
        <v>259</v>
      </c>
      <c r="C46" s="181">
        <f>_xlfn.STDEV.P(C3:K32)</f>
        <v>0.29273049864533757</v>
      </c>
    </row>
    <row r="47" spans="2:24" x14ac:dyDescent="0.2">
      <c r="C47" s="179"/>
      <c r="D47" s="179"/>
      <c r="E47" s="179"/>
      <c r="F47" s="179"/>
      <c r="G47" s="179"/>
      <c r="H47" s="179"/>
      <c r="I47" s="179"/>
      <c r="J47" s="179"/>
      <c r="K47" s="179"/>
    </row>
  </sheetData>
  <pageMargins left="0.7" right="0.7" top="0.75" bottom="0.75" header="0.3" footer="0.3"/>
  <pageSetup paperSize="9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8"/>
  <dimension ref="B1:X47"/>
  <sheetViews>
    <sheetView zoomScale="55" zoomScaleNormal="55" workbookViewId="0">
      <selection activeCell="H46" sqref="H46"/>
    </sheetView>
  </sheetViews>
  <sheetFormatPr defaultRowHeight="14.25" x14ac:dyDescent="0.2"/>
  <cols>
    <col min="1" max="1" width="10.75" style="292" customWidth="1"/>
    <col min="2" max="2" width="6.25" style="292" customWidth="1"/>
    <col min="3" max="11" width="6" style="292" customWidth="1"/>
    <col min="12" max="12" width="8.875" style="292" customWidth="1"/>
    <col min="13" max="13" width="10" style="292" customWidth="1"/>
    <col min="14" max="14" width="4.875" style="292" customWidth="1"/>
    <col min="15" max="15" width="11.375" style="292" customWidth="1"/>
    <col min="16" max="16" width="11" style="292" customWidth="1"/>
    <col min="17" max="17" width="14.875" style="292" customWidth="1"/>
    <col min="18" max="18" width="5.5" style="292" customWidth="1"/>
    <col min="19" max="19" width="25.375" style="292" customWidth="1"/>
    <col min="20" max="20" width="12.375" style="292" customWidth="1"/>
    <col min="21" max="21" width="14.75" style="292" customWidth="1"/>
    <col min="22" max="22" width="9.75" style="292" customWidth="1"/>
    <col min="23" max="23" width="14.375" style="292" customWidth="1"/>
    <col min="24" max="24" width="28.25" style="292" customWidth="1"/>
    <col min="25" max="16384" width="9" style="292"/>
  </cols>
  <sheetData>
    <row r="1" spans="2:24" ht="15" thickBot="1" x14ac:dyDescent="0.25">
      <c r="O1" s="292" t="s">
        <v>6</v>
      </c>
    </row>
    <row r="2" spans="2:24" ht="19.5" thickBot="1" x14ac:dyDescent="0.4">
      <c r="B2" s="292" t="s">
        <v>29</v>
      </c>
      <c r="C2" s="3">
        <v>1</v>
      </c>
      <c r="D2" s="3">
        <v>2</v>
      </c>
      <c r="E2" s="3">
        <v>3</v>
      </c>
      <c r="F2" s="3">
        <v>4</v>
      </c>
      <c r="G2" s="4">
        <v>5</v>
      </c>
      <c r="H2" s="3">
        <v>6</v>
      </c>
      <c r="I2" s="3">
        <v>7</v>
      </c>
      <c r="J2" s="3">
        <v>8</v>
      </c>
      <c r="K2" s="5">
        <v>9</v>
      </c>
      <c r="L2" s="93" t="s">
        <v>41</v>
      </c>
      <c r="M2" s="8" t="s">
        <v>42</v>
      </c>
      <c r="O2" s="293" t="s">
        <v>24</v>
      </c>
    </row>
    <row r="3" spans="2:24" x14ac:dyDescent="0.2">
      <c r="B3" s="96">
        <v>1</v>
      </c>
      <c r="C3" s="18">
        <v>45.13158</v>
      </c>
      <c r="D3" s="19">
        <v>44.253600000000006</v>
      </c>
      <c r="E3" s="19">
        <v>44.89479</v>
      </c>
      <c r="F3" s="20">
        <v>44.256969999999995</v>
      </c>
      <c r="G3" s="23">
        <v>44.677800000000005</v>
      </c>
      <c r="H3" s="19">
        <v>44.1995</v>
      </c>
      <c r="I3" s="19">
        <v>44.499120000000005</v>
      </c>
      <c r="J3" s="19">
        <v>44.635540000000006</v>
      </c>
      <c r="K3" s="19">
        <v>44.402159999999995</v>
      </c>
      <c r="L3" s="9">
        <f>AVERAGE(C3:K3)</f>
        <v>44.550117777777778</v>
      </c>
      <c r="M3" s="21">
        <f>_xlfn.STDEV.P(C3:K3)</f>
        <v>0.29847398512276063</v>
      </c>
      <c r="O3" s="292" t="s">
        <v>4</v>
      </c>
      <c r="S3" s="2" t="s">
        <v>7</v>
      </c>
      <c r="T3" s="2" t="s">
        <v>8</v>
      </c>
      <c r="U3" s="2" t="s">
        <v>9</v>
      </c>
      <c r="V3" s="2" t="s">
        <v>10</v>
      </c>
      <c r="W3" s="41" t="s">
        <v>11</v>
      </c>
      <c r="X3" s="46" t="s">
        <v>12</v>
      </c>
    </row>
    <row r="4" spans="2:24" ht="15" thickBot="1" x14ac:dyDescent="0.25">
      <c r="B4" s="97">
        <v>2</v>
      </c>
      <c r="C4" s="18">
        <v>45.139309999999995</v>
      </c>
      <c r="D4" s="19">
        <v>44.27073</v>
      </c>
      <c r="E4" s="19">
        <v>44.90428</v>
      </c>
      <c r="F4" s="19">
        <v>44.272720000000007</v>
      </c>
      <c r="G4" s="23">
        <v>44.699889999999996</v>
      </c>
      <c r="H4" s="19">
        <v>44.217330000000004</v>
      </c>
      <c r="I4" s="19">
        <v>44.513459999999995</v>
      </c>
      <c r="J4" s="19">
        <v>44.651079999999993</v>
      </c>
      <c r="K4" s="19">
        <v>44.410449999999997</v>
      </c>
      <c r="L4" s="9">
        <f t="shared" ref="L4:L32" si="0">AVERAGE(C4:K4)</f>
        <v>44.564361111111111</v>
      </c>
      <c r="M4" s="21">
        <f t="shared" ref="M4:M31" si="1">_xlfn.STDEV.P(C4:K4)</f>
        <v>0.2962700032982068</v>
      </c>
      <c r="O4" s="17">
        <f>AVERAGE(C34:K34)</f>
        <v>1.3743886839518566E-2</v>
      </c>
      <c r="S4" s="2" t="str">
        <f>indeter_MI!B5</f>
        <v>Поверка</v>
      </c>
      <c r="T4" s="2">
        <f>indeter_MI!C5</f>
        <v>0.1</v>
      </c>
      <c r="U4" s="2" t="str">
        <f>indeter_MI!D5</f>
        <v>Нормальное</v>
      </c>
      <c r="V4" s="2">
        <f>indeter_MI!E5</f>
        <v>2</v>
      </c>
      <c r="W4" s="59">
        <f>T4/V4</f>
        <v>0.05</v>
      </c>
      <c r="X4" s="52">
        <f t="shared" ref="X4:X9" si="2">W4*W4</f>
        <v>2.5000000000000005E-3</v>
      </c>
    </row>
    <row r="5" spans="2:24" x14ac:dyDescent="0.2">
      <c r="B5" s="96">
        <v>3</v>
      </c>
      <c r="C5" s="18">
        <v>45.132829999999998</v>
      </c>
      <c r="D5" s="19">
        <v>44.264439999999993</v>
      </c>
      <c r="E5" s="19">
        <v>44.918030000000002</v>
      </c>
      <c r="F5" s="19">
        <v>44.286150000000006</v>
      </c>
      <c r="G5" s="23">
        <v>44.709720000000004</v>
      </c>
      <c r="H5" s="19">
        <v>44.219620000000006</v>
      </c>
      <c r="I5" s="19">
        <v>44.518749999999997</v>
      </c>
      <c r="J5" s="19">
        <v>44.659400000000005</v>
      </c>
      <c r="K5" s="19">
        <v>44.407790000000006</v>
      </c>
      <c r="L5" s="9">
        <f t="shared" si="0"/>
        <v>44.568525555555567</v>
      </c>
      <c r="M5" s="21">
        <f t="shared" si="1"/>
        <v>0.29646800266212325</v>
      </c>
      <c r="O5" s="292" t="s">
        <v>5</v>
      </c>
      <c r="S5" s="2" t="str">
        <f>indeter_MI!B6</f>
        <v>Повторяемость*</v>
      </c>
      <c r="T5" s="2">
        <f>indeter_MI!C6</f>
        <v>0.01</v>
      </c>
      <c r="U5" s="2" t="str">
        <f>indeter_MI!D6</f>
        <v>Нормальное</v>
      </c>
      <c r="V5" s="2">
        <f>indeter_MI!E6</f>
        <v>1</v>
      </c>
      <c r="W5" s="59">
        <f t="shared" ref="W5:W13" si="3">T5/V5</f>
        <v>0.01</v>
      </c>
      <c r="X5" s="52">
        <f t="shared" si="2"/>
        <v>1E-4</v>
      </c>
    </row>
    <row r="6" spans="2:24" ht="15" thickBot="1" x14ac:dyDescent="0.25">
      <c r="B6" s="97">
        <v>4</v>
      </c>
      <c r="C6" s="18">
        <v>45.124690000000001</v>
      </c>
      <c r="D6" s="19">
        <v>44.252579999999995</v>
      </c>
      <c r="E6" s="19">
        <v>44.916460000000001</v>
      </c>
      <c r="F6" s="19">
        <v>44.28125</v>
      </c>
      <c r="G6" s="23">
        <v>44.691739999999996</v>
      </c>
      <c r="H6" s="19">
        <v>44.206649999999996</v>
      </c>
      <c r="I6" s="19">
        <v>44.500990000000002</v>
      </c>
      <c r="J6" s="19">
        <v>44.653149999999997</v>
      </c>
      <c r="K6" s="19">
        <v>44.403400000000005</v>
      </c>
      <c r="L6" s="9">
        <f t="shared" si="0"/>
        <v>44.558989999999994</v>
      </c>
      <c r="M6" s="21">
        <f t="shared" si="1"/>
        <v>0.29758888091534086</v>
      </c>
      <c r="O6" s="17">
        <f>O4/(SQRT(270))</f>
        <v>8.3642631664474485E-4</v>
      </c>
      <c r="S6" s="2" t="str">
        <f>indeter_MI!B7</f>
        <v>Гистерезис</v>
      </c>
      <c r="T6" s="2">
        <f>indeter_MI!C7</f>
        <v>0.01</v>
      </c>
      <c r="U6" s="2" t="str">
        <f>indeter_MI!D7</f>
        <v>Прямоугольное</v>
      </c>
      <c r="V6" s="2">
        <f>indeter_MI!E7</f>
        <v>1.73</v>
      </c>
      <c r="W6" s="59">
        <f t="shared" si="3"/>
        <v>5.7803468208092491E-3</v>
      </c>
      <c r="X6" s="52">
        <f t="shared" si="2"/>
        <v>3.3412409368839592E-5</v>
      </c>
    </row>
    <row r="7" spans="2:24" x14ac:dyDescent="0.2">
      <c r="B7" s="96">
        <v>5</v>
      </c>
      <c r="C7" s="18">
        <v>45.124499999999998</v>
      </c>
      <c r="D7" s="19">
        <v>44.246660000000006</v>
      </c>
      <c r="E7" s="19">
        <v>44.909790000000001</v>
      </c>
      <c r="F7" s="19">
        <v>44.274609999999996</v>
      </c>
      <c r="G7" s="23">
        <v>44.675370000000001</v>
      </c>
      <c r="H7" s="19">
        <v>44.200069999999997</v>
      </c>
      <c r="I7" s="19">
        <v>44.486890000000002</v>
      </c>
      <c r="J7" s="19">
        <v>44.640349999999998</v>
      </c>
      <c r="K7" s="19">
        <v>44.397369999999995</v>
      </c>
      <c r="L7" s="9">
        <f t="shared" si="0"/>
        <v>44.550623333333334</v>
      </c>
      <c r="M7" s="21">
        <f t="shared" si="1"/>
        <v>0.29832140724765671</v>
      </c>
      <c r="S7" s="2" t="str">
        <f>indeter_MI!B8</f>
        <v>Влияние температуры</v>
      </c>
      <c r="T7" s="2">
        <f>indeter_MI!C8</f>
        <v>0.01</v>
      </c>
      <c r="U7" s="2" t="str">
        <f>indeter_MI!D8</f>
        <v>Прямоугольное</v>
      </c>
      <c r="V7" s="2">
        <f>indeter_MI!E8</f>
        <v>1.73</v>
      </c>
      <c r="W7" s="59">
        <f t="shared" si="3"/>
        <v>5.7803468208092491E-3</v>
      </c>
      <c r="X7" s="52">
        <f t="shared" si="2"/>
        <v>3.3412409368839592E-5</v>
      </c>
    </row>
    <row r="8" spans="2:24" ht="15" thickBot="1" x14ac:dyDescent="0.25">
      <c r="B8" s="97">
        <v>6</v>
      </c>
      <c r="C8" s="18">
        <v>45.127030000000005</v>
      </c>
      <c r="D8" s="19">
        <v>44.251769999999993</v>
      </c>
      <c r="E8" s="19">
        <v>44.905709999999999</v>
      </c>
      <c r="F8" s="19">
        <v>44.27167</v>
      </c>
      <c r="G8" s="23">
        <v>44.682100000000005</v>
      </c>
      <c r="H8" s="19">
        <v>44.203900000000004</v>
      </c>
      <c r="I8" s="19">
        <v>44.491780000000006</v>
      </c>
      <c r="J8" s="19">
        <v>44.641329999999996</v>
      </c>
      <c r="K8" s="19">
        <v>44.400069999999999</v>
      </c>
      <c r="L8" s="9">
        <f t="shared" si="0"/>
        <v>44.552817777777783</v>
      </c>
      <c r="M8" s="21">
        <f t="shared" si="1"/>
        <v>0.29763434877856448</v>
      </c>
      <c r="S8" s="2" t="str">
        <f>indeter_MI!B9</f>
        <v>Дрейф*</v>
      </c>
      <c r="T8" s="2">
        <f>indeter_MI!C9</f>
        <v>0.1</v>
      </c>
      <c r="U8" s="2" t="str">
        <f>indeter_MI!D9</f>
        <v>Прямоугольное</v>
      </c>
      <c r="V8" s="2">
        <f>indeter_MI!E9</f>
        <v>1.73</v>
      </c>
      <c r="W8" s="59">
        <f t="shared" si="3"/>
        <v>5.7803468208092491E-2</v>
      </c>
      <c r="X8" s="52">
        <f t="shared" si="2"/>
        <v>3.3412409368839594E-3</v>
      </c>
    </row>
    <row r="9" spans="2:24" x14ac:dyDescent="0.2">
      <c r="B9" s="96">
        <v>7</v>
      </c>
      <c r="C9" s="18">
        <v>45.119370000000004</v>
      </c>
      <c r="D9" s="19">
        <v>44.24973</v>
      </c>
      <c r="E9" s="19">
        <v>44.909959999999998</v>
      </c>
      <c r="F9" s="19">
        <v>44.274109999999993</v>
      </c>
      <c r="G9" s="23">
        <v>44.690460000000002</v>
      </c>
      <c r="H9" s="19">
        <v>44.206329999999994</v>
      </c>
      <c r="I9" s="19">
        <v>44.500290000000007</v>
      </c>
      <c r="J9" s="19">
        <v>44.642470000000003</v>
      </c>
      <c r="K9" s="19">
        <v>44.40222</v>
      </c>
      <c r="L9" s="9">
        <f t="shared" si="0"/>
        <v>44.554993333333336</v>
      </c>
      <c r="M9" s="21">
        <f t="shared" si="1"/>
        <v>0.29636785644420782</v>
      </c>
      <c r="O9" s="2" t="s">
        <v>0</v>
      </c>
      <c r="P9" s="2" t="s">
        <v>2</v>
      </c>
      <c r="Q9" s="2" t="s">
        <v>3</v>
      </c>
      <c r="S9" s="2" t="str">
        <f>indeter_MI!B10</f>
        <v>Линейность</v>
      </c>
      <c r="T9" s="2">
        <f>indeter_MI!C10</f>
        <v>0.02</v>
      </c>
      <c r="U9" s="2" t="str">
        <f>indeter_MI!D10</f>
        <v>Прямоугольное</v>
      </c>
      <c r="V9" s="2">
        <f>indeter_MI!E10</f>
        <v>1.73</v>
      </c>
      <c r="W9" s="59">
        <f t="shared" si="3"/>
        <v>1.1560693641618498E-2</v>
      </c>
      <c r="X9" s="52">
        <f t="shared" si="2"/>
        <v>1.3364963747535837E-4</v>
      </c>
    </row>
    <row r="10" spans="2:24" ht="15" thickBot="1" x14ac:dyDescent="0.25">
      <c r="B10" s="97">
        <v>8</v>
      </c>
      <c r="C10" s="18">
        <v>45.118790000000004</v>
      </c>
      <c r="D10" s="19">
        <v>44.257890000000003</v>
      </c>
      <c r="E10" s="19">
        <v>44.908879999999996</v>
      </c>
      <c r="F10" s="19">
        <v>44.275310000000005</v>
      </c>
      <c r="G10" s="23">
        <v>44.696119999999993</v>
      </c>
      <c r="H10" s="19">
        <v>44.207120000000003</v>
      </c>
      <c r="I10" s="19">
        <v>44.506879999999995</v>
      </c>
      <c r="J10" s="19">
        <v>44.647289999999998</v>
      </c>
      <c r="K10" s="19">
        <v>44.401399999999995</v>
      </c>
      <c r="L10" s="9">
        <f t="shared" si="0"/>
        <v>44.557742222222224</v>
      </c>
      <c r="M10" s="21">
        <f t="shared" si="1"/>
        <v>0.29531239127321701</v>
      </c>
      <c r="O10" s="38">
        <f>MAX(M3:M32)</f>
        <v>0.29847398512276063</v>
      </c>
      <c r="P10" s="51">
        <f>MAX(C34:K34)</f>
        <v>1.6305740366168459E-2</v>
      </c>
      <c r="Q10" s="50">
        <f>O6</f>
        <v>8.3642631664474485E-4</v>
      </c>
      <c r="S10" s="2" t="str">
        <f>indeter_MI!B11</f>
        <v>Разрешающая способность</v>
      </c>
      <c r="T10" s="2">
        <f>indeter_MI!C11</f>
        <v>0.01</v>
      </c>
      <c r="U10" s="2" t="str">
        <f>indeter_MI!D11</f>
        <v>Прямоугольное</v>
      </c>
      <c r="V10" s="2">
        <f>indeter_MI!E11</f>
        <v>1.73</v>
      </c>
      <c r="W10" s="59">
        <f t="shared" si="3"/>
        <v>5.7803468208092491E-3</v>
      </c>
      <c r="X10" s="52">
        <f>W10*W10</f>
        <v>3.3412409368839592E-5</v>
      </c>
    </row>
    <row r="11" spans="2:24" x14ac:dyDescent="0.2">
      <c r="B11" s="96">
        <v>9</v>
      </c>
      <c r="C11" s="18">
        <v>45.116829999999993</v>
      </c>
      <c r="D11" s="19">
        <v>44.264600000000002</v>
      </c>
      <c r="E11" s="19">
        <v>44.910629999999998</v>
      </c>
      <c r="F11" s="19">
        <v>44.278729999999996</v>
      </c>
      <c r="G11" s="23">
        <v>44.693920000000006</v>
      </c>
      <c r="H11" s="19">
        <v>44.205029999999994</v>
      </c>
      <c r="I11" s="19">
        <v>44.500590000000003</v>
      </c>
      <c r="J11" s="19">
        <v>44.649760000000001</v>
      </c>
      <c r="K11" s="19">
        <v>44.404499999999999</v>
      </c>
      <c r="L11" s="9">
        <f t="shared" si="0"/>
        <v>44.558287777777778</v>
      </c>
      <c r="M11" s="21">
        <f t="shared" si="1"/>
        <v>0.29421336859790753</v>
      </c>
      <c r="S11" s="36" t="s">
        <v>0</v>
      </c>
      <c r="T11" s="37">
        <f>O10</f>
        <v>0.29847398512276063</v>
      </c>
      <c r="U11" s="36" t="s">
        <v>13</v>
      </c>
      <c r="V11" s="21">
        <v>1</v>
      </c>
      <c r="W11" s="61">
        <f t="shared" si="3"/>
        <v>0.29847398512276063</v>
      </c>
      <c r="X11" s="53">
        <f>W11*W11</f>
        <v>8.9086719795061942E-2</v>
      </c>
    </row>
    <row r="12" spans="2:24" ht="15" thickBot="1" x14ac:dyDescent="0.25">
      <c r="B12" s="97">
        <v>10</v>
      </c>
      <c r="C12" s="18">
        <v>45.130129999999994</v>
      </c>
      <c r="D12" s="19">
        <v>44.274609999999996</v>
      </c>
      <c r="E12" s="19">
        <v>44.911389999999997</v>
      </c>
      <c r="F12" s="19">
        <v>44.291210000000007</v>
      </c>
      <c r="G12" s="23">
        <v>44.710220000000007</v>
      </c>
      <c r="H12" s="19">
        <v>44.228740000000002</v>
      </c>
      <c r="I12" s="19">
        <v>44.519900000000007</v>
      </c>
      <c r="J12" s="19">
        <v>44.658860000000004</v>
      </c>
      <c r="K12" s="19">
        <v>44.4178</v>
      </c>
      <c r="L12" s="9">
        <f t="shared" si="0"/>
        <v>44.571428888888896</v>
      </c>
      <c r="M12" s="21">
        <f t="shared" si="1"/>
        <v>0.29153701409538607</v>
      </c>
      <c r="S12" s="26" t="s">
        <v>21</v>
      </c>
      <c r="T12" s="39">
        <f>P10</f>
        <v>1.6305740366168459E-2</v>
      </c>
      <c r="U12" s="26" t="s">
        <v>13</v>
      </c>
      <c r="V12" s="22">
        <v>1</v>
      </c>
      <c r="W12" s="60">
        <f t="shared" si="3"/>
        <v>1.6305740366168459E-2</v>
      </c>
      <c r="X12" s="54">
        <f>W12*W12</f>
        <v>2.6587716888889552E-4</v>
      </c>
    </row>
    <row r="13" spans="2:24" x14ac:dyDescent="0.2">
      <c r="B13" s="96">
        <v>11</v>
      </c>
      <c r="C13" s="18">
        <v>45.146349999999998</v>
      </c>
      <c r="D13" s="19">
        <v>44.278030000000001</v>
      </c>
      <c r="E13" s="19">
        <v>44.923280000000005</v>
      </c>
      <c r="F13" s="19">
        <v>44.30292</v>
      </c>
      <c r="G13" s="23">
        <v>44.717969999999994</v>
      </c>
      <c r="H13" s="19">
        <v>44.235529999999997</v>
      </c>
      <c r="I13" s="19">
        <v>44.518140000000002</v>
      </c>
      <c r="J13" s="19">
        <v>44.667180000000002</v>
      </c>
      <c r="K13" s="19">
        <v>44.420320000000004</v>
      </c>
      <c r="L13" s="9">
        <f t="shared" si="0"/>
        <v>44.578857777777777</v>
      </c>
      <c r="M13" s="21">
        <f t="shared" si="1"/>
        <v>0.29461103591676707</v>
      </c>
      <c r="S13" s="25" t="s">
        <v>3</v>
      </c>
      <c r="T13" s="40">
        <f>Q10</f>
        <v>8.3642631664474485E-4</v>
      </c>
      <c r="U13" s="25" t="s">
        <v>13</v>
      </c>
      <c r="V13" s="17">
        <v>1</v>
      </c>
      <c r="W13" s="62">
        <f t="shared" si="3"/>
        <v>8.3642631664474485E-4</v>
      </c>
      <c r="X13" s="55">
        <f>W13*W13</f>
        <v>6.9960898317589499E-7</v>
      </c>
    </row>
    <row r="14" spans="2:24" ht="15" thickBot="1" x14ac:dyDescent="0.25">
      <c r="B14" s="97">
        <v>12</v>
      </c>
      <c r="C14" s="18">
        <v>45.143979999999999</v>
      </c>
      <c r="D14" s="19">
        <v>44.274280000000005</v>
      </c>
      <c r="E14" s="19">
        <v>44.928280000000001</v>
      </c>
      <c r="F14" s="19">
        <v>44.302549999999997</v>
      </c>
      <c r="G14" s="23">
        <v>44.711780000000005</v>
      </c>
      <c r="H14" s="19">
        <v>44.23236</v>
      </c>
      <c r="I14" s="19">
        <v>44.52261</v>
      </c>
      <c r="J14" s="19">
        <v>44.664699999999996</v>
      </c>
      <c r="K14" s="19">
        <v>44.41583</v>
      </c>
      <c r="L14" s="9">
        <f t="shared" si="0"/>
        <v>44.577374444444445</v>
      </c>
      <c r="M14" s="21">
        <f t="shared" si="1"/>
        <v>0.29540793016178335</v>
      </c>
      <c r="W14" s="56"/>
      <c r="X14" s="56"/>
    </row>
    <row r="15" spans="2:24" x14ac:dyDescent="0.2">
      <c r="B15" s="96">
        <v>13</v>
      </c>
      <c r="C15" s="18">
        <v>45.138490000000004</v>
      </c>
      <c r="D15" s="19">
        <v>44.282049999999998</v>
      </c>
      <c r="E15" s="19">
        <v>44.922349999999994</v>
      </c>
      <c r="F15" s="19">
        <v>44.295019999999994</v>
      </c>
      <c r="G15" s="23">
        <v>44.702789999999993</v>
      </c>
      <c r="H15" s="19">
        <v>44.226479999999995</v>
      </c>
      <c r="I15" s="19">
        <v>44.506429999999995</v>
      </c>
      <c r="J15" s="19">
        <v>44.662019999999998</v>
      </c>
      <c r="K15" s="19">
        <v>44.418090000000007</v>
      </c>
      <c r="L15" s="9">
        <f t="shared" si="0"/>
        <v>44.572635555555557</v>
      </c>
      <c r="M15" s="21">
        <f t="shared" si="1"/>
        <v>0.29382964414818247</v>
      </c>
      <c r="S15" s="35" t="s">
        <v>22</v>
      </c>
      <c r="U15" s="41" t="s">
        <v>82</v>
      </c>
      <c r="V15" s="41"/>
      <c r="W15" s="57" t="s">
        <v>83</v>
      </c>
      <c r="X15" s="57"/>
    </row>
    <row r="16" spans="2:24" ht="15" thickBot="1" x14ac:dyDescent="0.25">
      <c r="B16" s="97">
        <v>14</v>
      </c>
      <c r="C16" s="18">
        <v>45.155230000000003</v>
      </c>
      <c r="D16" s="19">
        <v>44.293319999999994</v>
      </c>
      <c r="E16" s="19">
        <v>44.927700000000002</v>
      </c>
      <c r="F16" s="19">
        <v>44.301069999999996</v>
      </c>
      <c r="G16" s="23">
        <v>44.723939999999999</v>
      </c>
      <c r="H16" s="19">
        <v>44.239879999999999</v>
      </c>
      <c r="I16" s="19">
        <v>44.517899999999997</v>
      </c>
      <c r="J16" s="19">
        <v>44.67456</v>
      </c>
      <c r="K16" s="19">
        <v>44.429699999999997</v>
      </c>
      <c r="L16" s="9">
        <f t="shared" si="0"/>
        <v>44.584811111111108</v>
      </c>
      <c r="M16" s="21">
        <f t="shared" si="1"/>
        <v>0.29502397655650153</v>
      </c>
      <c r="S16" s="42">
        <f>SUM(X4:X13)</f>
        <v>9.5528424375399851E-2</v>
      </c>
      <c r="V16" s="72">
        <f>SQRT(S17)</f>
        <v>0.3090767218669177</v>
      </c>
      <c r="W16" s="65"/>
      <c r="X16" s="72">
        <f>V16*2</f>
        <v>0.61815344373383541</v>
      </c>
    </row>
    <row r="17" spans="2:24" x14ac:dyDescent="0.2">
      <c r="B17" s="96">
        <v>15</v>
      </c>
      <c r="C17" s="18">
        <v>45.146789999999996</v>
      </c>
      <c r="D17" s="19">
        <v>44.282229999999998</v>
      </c>
      <c r="E17" s="19">
        <v>44.93477</v>
      </c>
      <c r="F17" s="19">
        <v>44.313419999999994</v>
      </c>
      <c r="G17" s="23">
        <v>44.726240000000004</v>
      </c>
      <c r="H17" s="19">
        <v>44.240750000000006</v>
      </c>
      <c r="I17" s="19">
        <v>44.521699999999996</v>
      </c>
      <c r="J17" s="19">
        <v>44.671620000000004</v>
      </c>
      <c r="K17" s="19">
        <v>44.426410000000004</v>
      </c>
      <c r="L17" s="9">
        <f t="shared" si="0"/>
        <v>44.584881111111116</v>
      </c>
      <c r="M17" s="21">
        <f t="shared" si="1"/>
        <v>0.29410689698529796</v>
      </c>
      <c r="S17" s="42">
        <f>ROUND(S16,8)</f>
        <v>9.5528420000000003E-2</v>
      </c>
      <c r="V17" s="72">
        <f>ROUND(V16,3)</f>
        <v>0.309</v>
      </c>
      <c r="W17" s="65"/>
      <c r="X17" s="72">
        <f>ROUND(X16,3)</f>
        <v>0.61799999999999999</v>
      </c>
    </row>
    <row r="18" spans="2:24" ht="15" thickBot="1" x14ac:dyDescent="0.25">
      <c r="B18" s="97">
        <v>16</v>
      </c>
      <c r="C18" s="18">
        <v>45.139889999999994</v>
      </c>
      <c r="D18" s="19">
        <v>44.285520000000005</v>
      </c>
      <c r="E18" s="19">
        <v>44.924729999999997</v>
      </c>
      <c r="F18" s="19">
        <v>44.304860000000005</v>
      </c>
      <c r="G18" s="23">
        <v>44.707080000000005</v>
      </c>
      <c r="H18" s="19">
        <v>44.231170000000006</v>
      </c>
      <c r="I18" s="19">
        <v>44.520290000000003</v>
      </c>
      <c r="J18" s="19">
        <v>44.666210000000007</v>
      </c>
      <c r="K18" s="19">
        <v>44.422439999999995</v>
      </c>
      <c r="L18" s="9">
        <f t="shared" si="0"/>
        <v>44.578021111111113</v>
      </c>
      <c r="M18" s="21">
        <f t="shared" si="1"/>
        <v>0.29218622830290075</v>
      </c>
      <c r="W18" s="56"/>
      <c r="X18" s="56"/>
    </row>
    <row r="19" spans="2:24" x14ac:dyDescent="0.2">
      <c r="B19" s="96">
        <v>17</v>
      </c>
      <c r="C19" s="18">
        <v>45.137969999999996</v>
      </c>
      <c r="D19" s="19">
        <v>44.290790000000001</v>
      </c>
      <c r="E19" s="19">
        <v>44.928690000000003</v>
      </c>
      <c r="F19" s="19">
        <v>44.306380000000004</v>
      </c>
      <c r="G19" s="23">
        <v>44.715069999999997</v>
      </c>
      <c r="H19" s="19">
        <v>44.237409999999997</v>
      </c>
      <c r="I19" s="19">
        <v>44.529790000000006</v>
      </c>
      <c r="J19" s="19">
        <v>44.669709999999995</v>
      </c>
      <c r="K19" s="19">
        <v>44.427779999999998</v>
      </c>
      <c r="L19" s="9">
        <f t="shared" si="0"/>
        <v>44.582621111111109</v>
      </c>
      <c r="M19" s="21">
        <f t="shared" si="1"/>
        <v>0.29073000133550475</v>
      </c>
      <c r="O19" s="292" t="s">
        <v>36</v>
      </c>
      <c r="W19" s="56"/>
      <c r="X19" s="56"/>
    </row>
    <row r="20" spans="2:24" ht="15" thickBot="1" x14ac:dyDescent="0.25">
      <c r="B20" s="97">
        <v>18</v>
      </c>
      <c r="C20" s="18">
        <v>45.132800000000003</v>
      </c>
      <c r="D20" s="19">
        <v>44.284289999999999</v>
      </c>
      <c r="E20" s="19">
        <v>44.927890000000005</v>
      </c>
      <c r="F20" s="19">
        <v>44.303820000000002</v>
      </c>
      <c r="G20" s="23">
        <v>44.713130000000007</v>
      </c>
      <c r="H20" s="19">
        <v>44.233029999999999</v>
      </c>
      <c r="I20" s="19">
        <v>44.512950000000004</v>
      </c>
      <c r="J20" s="19">
        <v>44.661389999999997</v>
      </c>
      <c r="K20" s="19">
        <v>44.421189999999996</v>
      </c>
      <c r="L20" s="9">
        <f t="shared" si="0"/>
        <v>44.576721111111105</v>
      </c>
      <c r="M20" s="21">
        <f t="shared" si="1"/>
        <v>0.2914886613172874</v>
      </c>
      <c r="W20" s="56"/>
      <c r="X20" s="56"/>
    </row>
    <row r="21" spans="2:24" x14ac:dyDescent="0.2">
      <c r="B21" s="96">
        <v>19</v>
      </c>
      <c r="C21" s="18">
        <v>45.114149999999995</v>
      </c>
      <c r="D21" s="19">
        <v>44.268739999999994</v>
      </c>
      <c r="E21" s="19">
        <v>44.922690000000003</v>
      </c>
      <c r="F21" s="19">
        <v>44.297899999999998</v>
      </c>
      <c r="G21" s="23">
        <v>44.711349999999996</v>
      </c>
      <c r="H21" s="19">
        <v>44.230220000000003</v>
      </c>
      <c r="I21" s="19">
        <v>44.503399999999999</v>
      </c>
      <c r="J21" s="19">
        <v>44.656229999999994</v>
      </c>
      <c r="K21" s="19">
        <v>44.413070000000005</v>
      </c>
      <c r="L21" s="9">
        <f t="shared" si="0"/>
        <v>44.568638888888884</v>
      </c>
      <c r="M21" s="21">
        <f t="shared" si="1"/>
        <v>0.2900569391015963</v>
      </c>
      <c r="O21" s="63" t="s">
        <v>23</v>
      </c>
      <c r="S21" s="2" t="s">
        <v>7</v>
      </c>
      <c r="T21" s="2" t="s">
        <v>8</v>
      </c>
      <c r="U21" s="2" t="s">
        <v>9</v>
      </c>
      <c r="V21" s="2" t="s">
        <v>10</v>
      </c>
      <c r="W21" s="57" t="s">
        <v>11</v>
      </c>
      <c r="X21" s="58" t="s">
        <v>12</v>
      </c>
    </row>
    <row r="22" spans="2:24" ht="15" thickBot="1" x14ac:dyDescent="0.25">
      <c r="B22" s="97">
        <v>20</v>
      </c>
      <c r="C22" s="18">
        <v>45.099469999999997</v>
      </c>
      <c r="D22" s="19">
        <v>44.260639999999995</v>
      </c>
      <c r="E22" s="19">
        <v>44.909499999999994</v>
      </c>
      <c r="F22" s="19">
        <v>44.283320000000003</v>
      </c>
      <c r="G22" s="23">
        <v>44.691109999999995</v>
      </c>
      <c r="H22" s="19">
        <v>44.212800000000001</v>
      </c>
      <c r="I22" s="19">
        <v>44.485990000000001</v>
      </c>
      <c r="J22" s="19">
        <v>44.648499999999999</v>
      </c>
      <c r="K22" s="19">
        <v>44.402479999999997</v>
      </c>
      <c r="L22" s="9">
        <f t="shared" si="0"/>
        <v>44.554867777777787</v>
      </c>
      <c r="M22" s="21">
        <f t="shared" si="1"/>
        <v>0.28962988990847288</v>
      </c>
      <c r="O22" s="64">
        <f>MAX(C34:K34)</f>
        <v>1.6305740366168459E-2</v>
      </c>
      <c r="S22" s="2" t="str">
        <f>indeter_MI!B16</f>
        <v>Поверка</v>
      </c>
      <c r="T22" s="2">
        <f>indeter_MI!C16</f>
        <v>0.1</v>
      </c>
      <c r="U22" s="2" t="str">
        <f>indeter_MI!D16</f>
        <v>Нормальное</v>
      </c>
      <c r="V22" s="2">
        <f>indeter_MI!E16</f>
        <v>2</v>
      </c>
      <c r="W22" s="59">
        <f>T22/V22</f>
        <v>0.05</v>
      </c>
      <c r="X22" s="59">
        <f t="shared" ref="X22:X29" si="4">W22*W22</f>
        <v>2.5000000000000005E-3</v>
      </c>
    </row>
    <row r="23" spans="2:24" x14ac:dyDescent="0.2">
      <c r="B23" s="96">
        <v>21</v>
      </c>
      <c r="C23" s="18">
        <v>45.09442</v>
      </c>
      <c r="D23" s="19">
        <v>44.262739999999994</v>
      </c>
      <c r="E23" s="19">
        <v>44.901629999999997</v>
      </c>
      <c r="F23" s="19">
        <v>44.280869999999993</v>
      </c>
      <c r="G23" s="23">
        <v>44.689239999999998</v>
      </c>
      <c r="H23" s="19">
        <v>44.211020000000005</v>
      </c>
      <c r="I23" s="19">
        <v>44.480329999999995</v>
      </c>
      <c r="J23" s="19">
        <v>44.646010000000004</v>
      </c>
      <c r="K23" s="19">
        <v>44.40061</v>
      </c>
      <c r="L23" s="9">
        <f t="shared" si="0"/>
        <v>44.551874444444444</v>
      </c>
      <c r="M23" s="21">
        <f t="shared" si="1"/>
        <v>0.28783460818521472</v>
      </c>
      <c r="S23" s="2" t="str">
        <f>indeter_MI!B17</f>
        <v>Повторяемость*</v>
      </c>
      <c r="T23" s="2">
        <f>indeter_MI!C17</f>
        <v>0.01</v>
      </c>
      <c r="U23" s="2" t="str">
        <f>indeter_MI!D17</f>
        <v>Нормальное</v>
      </c>
      <c r="V23" s="2">
        <f>indeter_MI!E17</f>
        <v>1</v>
      </c>
      <c r="W23" s="59">
        <f t="shared" ref="W23:W28" si="5">T23/V23</f>
        <v>0.01</v>
      </c>
      <c r="X23" s="59">
        <f t="shared" si="4"/>
        <v>1E-4</v>
      </c>
    </row>
    <row r="24" spans="2:24" ht="15" thickBot="1" x14ac:dyDescent="0.25">
      <c r="B24" s="97">
        <v>22</v>
      </c>
      <c r="C24" s="18">
        <v>45.114590000000007</v>
      </c>
      <c r="D24" s="19">
        <v>44.282290000000003</v>
      </c>
      <c r="E24" s="19">
        <v>44.903670000000005</v>
      </c>
      <c r="F24" s="19">
        <v>44.285480000000007</v>
      </c>
      <c r="G24" s="23">
        <v>44.703460000000007</v>
      </c>
      <c r="H24" s="19">
        <v>44.222520000000003</v>
      </c>
      <c r="I24" s="19">
        <v>44.508420000000001</v>
      </c>
      <c r="J24" s="19">
        <v>44.658280000000005</v>
      </c>
      <c r="K24" s="19">
        <v>44.412430000000001</v>
      </c>
      <c r="L24" s="9">
        <f t="shared" si="0"/>
        <v>44.565682222222222</v>
      </c>
      <c r="M24" s="21">
        <f t="shared" si="1"/>
        <v>0.28798968043925949</v>
      </c>
      <c r="S24" s="2" t="str">
        <f>indeter_MI!B18</f>
        <v>Гистерезис</v>
      </c>
      <c r="T24" s="2">
        <f>indeter_MI!C18</f>
        <v>0.01</v>
      </c>
      <c r="U24" s="2" t="str">
        <f>indeter_MI!D18</f>
        <v>Прямоугольное</v>
      </c>
      <c r="V24" s="2">
        <f>indeter_MI!E18</f>
        <v>1.73</v>
      </c>
      <c r="W24" s="59">
        <f t="shared" si="5"/>
        <v>5.7803468208092491E-3</v>
      </c>
      <c r="X24" s="59">
        <f t="shared" si="4"/>
        <v>3.3412409368839592E-5</v>
      </c>
    </row>
    <row r="25" spans="2:24" x14ac:dyDescent="0.2">
      <c r="B25" s="96">
        <v>23</v>
      </c>
      <c r="C25" s="18">
        <v>45.131519999999995</v>
      </c>
      <c r="D25" s="19">
        <v>44.300460000000001</v>
      </c>
      <c r="E25" s="19">
        <v>44.917739999999995</v>
      </c>
      <c r="F25" s="19">
        <v>44.299469999999999</v>
      </c>
      <c r="G25" s="23">
        <v>44.728300000000004</v>
      </c>
      <c r="H25" s="19">
        <v>44.245090000000005</v>
      </c>
      <c r="I25" s="19">
        <v>44.523150000000001</v>
      </c>
      <c r="J25" s="19">
        <v>44.671030000000002</v>
      </c>
      <c r="K25" s="19">
        <v>44.426640000000006</v>
      </c>
      <c r="L25" s="9">
        <f t="shared" si="0"/>
        <v>44.582599999999992</v>
      </c>
      <c r="M25" s="21">
        <f t="shared" si="1"/>
        <v>0.28755999211758443</v>
      </c>
      <c r="S25" s="2" t="str">
        <f>indeter_MI!B19</f>
        <v>Влияние температуры</v>
      </c>
      <c r="T25" s="2">
        <f>indeter_MI!C19</f>
        <v>0.01</v>
      </c>
      <c r="U25" s="2" t="str">
        <f>indeter_MI!D19</f>
        <v>Прямоугольное</v>
      </c>
      <c r="V25" s="2">
        <f>indeter_MI!E19</f>
        <v>1.73</v>
      </c>
      <c r="W25" s="59">
        <f t="shared" si="5"/>
        <v>5.7803468208092491E-3</v>
      </c>
      <c r="X25" s="59">
        <f t="shared" si="4"/>
        <v>3.3412409368839592E-5</v>
      </c>
    </row>
    <row r="26" spans="2:24" ht="15" thickBot="1" x14ac:dyDescent="0.25">
      <c r="B26" s="97">
        <v>24</v>
      </c>
      <c r="C26" s="18">
        <v>45.141300000000001</v>
      </c>
      <c r="D26" s="19">
        <v>44.307509999999994</v>
      </c>
      <c r="E26" s="19">
        <v>44.934569999999994</v>
      </c>
      <c r="F26" s="19">
        <v>44.317599999999999</v>
      </c>
      <c r="G26" s="23">
        <v>44.748350000000002</v>
      </c>
      <c r="H26" s="19">
        <v>44.261960000000002</v>
      </c>
      <c r="I26" s="19">
        <v>44.534639999999996</v>
      </c>
      <c r="J26" s="19">
        <v>44.687060000000002</v>
      </c>
      <c r="K26" s="19">
        <v>44.437070000000006</v>
      </c>
      <c r="L26" s="9">
        <f t="shared" si="0"/>
        <v>44.596673333333321</v>
      </c>
      <c r="M26" s="21">
        <f t="shared" si="1"/>
        <v>0.28767644958258998</v>
      </c>
      <c r="S26" s="2" t="str">
        <f>indeter_MI!B20</f>
        <v>Дрейф*</v>
      </c>
      <c r="T26" s="2">
        <f>indeter_MI!C20</f>
        <v>0.1</v>
      </c>
      <c r="U26" s="2" t="str">
        <f>indeter_MI!D20</f>
        <v>Прямоугольное</v>
      </c>
      <c r="V26" s="2">
        <f>indeter_MI!E20</f>
        <v>1.73</v>
      </c>
      <c r="W26" s="59">
        <f t="shared" si="5"/>
        <v>5.7803468208092491E-2</v>
      </c>
      <c r="X26" s="59">
        <f t="shared" si="4"/>
        <v>3.3412409368839594E-3</v>
      </c>
    </row>
    <row r="27" spans="2:24" x14ac:dyDescent="0.2">
      <c r="B27" s="96">
        <v>25</v>
      </c>
      <c r="C27" s="18">
        <v>45.133210000000005</v>
      </c>
      <c r="D27" s="19">
        <v>44.289289999999994</v>
      </c>
      <c r="E27" s="19">
        <v>44.941299999999998</v>
      </c>
      <c r="F27" s="19">
        <v>44.317840000000004</v>
      </c>
      <c r="G27" s="23">
        <v>44.733429999999998</v>
      </c>
      <c r="H27" s="19">
        <v>44.251099999999994</v>
      </c>
      <c r="I27" s="19">
        <v>44.52852</v>
      </c>
      <c r="J27" s="19">
        <v>44.676869999999994</v>
      </c>
      <c r="K27" s="19">
        <v>44.428100000000001</v>
      </c>
      <c r="L27" s="9">
        <f t="shared" si="0"/>
        <v>44.588851111111111</v>
      </c>
      <c r="M27" s="21">
        <f t="shared" si="1"/>
        <v>0.28981558436911364</v>
      </c>
      <c r="S27" s="2" t="str">
        <f>indeter_MI!B21</f>
        <v>Линейность</v>
      </c>
      <c r="T27" s="2">
        <f>indeter_MI!C21</f>
        <v>0.02</v>
      </c>
      <c r="U27" s="2" t="str">
        <f>indeter_MI!D21</f>
        <v>Прямоугольное</v>
      </c>
      <c r="V27" s="2">
        <f>indeter_MI!E21</f>
        <v>1.73</v>
      </c>
      <c r="W27" s="59">
        <f t="shared" si="5"/>
        <v>1.1560693641618498E-2</v>
      </c>
      <c r="X27" s="59">
        <f t="shared" si="4"/>
        <v>1.3364963747535837E-4</v>
      </c>
    </row>
    <row r="28" spans="2:24" ht="15" thickBot="1" x14ac:dyDescent="0.25">
      <c r="B28" s="97">
        <v>26</v>
      </c>
      <c r="C28" s="18">
        <v>45.126499999999993</v>
      </c>
      <c r="D28" s="19">
        <v>44.26849</v>
      </c>
      <c r="E28" s="19">
        <v>44.927400000000006</v>
      </c>
      <c r="F28" s="19">
        <v>44.30068</v>
      </c>
      <c r="G28" s="23">
        <v>44.709919999999997</v>
      </c>
      <c r="H28" s="19">
        <v>44.230220000000003</v>
      </c>
      <c r="I28" s="19">
        <v>44.512100000000004</v>
      </c>
      <c r="J28" s="19">
        <v>44.660780000000003</v>
      </c>
      <c r="K28" s="19">
        <v>44.418059999999997</v>
      </c>
      <c r="L28" s="9">
        <f t="shared" si="0"/>
        <v>44.572683333333345</v>
      </c>
      <c r="M28" s="21">
        <f t="shared" si="1"/>
        <v>0.29259585073385108</v>
      </c>
      <c r="S28" s="2" t="str">
        <f>indeter_MI!B22</f>
        <v>Разрешающая способность</v>
      </c>
      <c r="T28" s="2">
        <f>indeter_MI!C22</f>
        <v>0.01</v>
      </c>
      <c r="U28" s="2" t="str">
        <f>indeter_MI!D22</f>
        <v>Прямоугольное</v>
      </c>
      <c r="V28" s="2">
        <f>indeter_MI!E22</f>
        <v>1.73</v>
      </c>
      <c r="W28" s="59">
        <f t="shared" si="5"/>
        <v>5.7803468208092491E-3</v>
      </c>
      <c r="X28" s="59">
        <f t="shared" si="4"/>
        <v>3.3412409368839592E-5</v>
      </c>
    </row>
    <row r="29" spans="2:24" x14ac:dyDescent="0.2">
      <c r="B29" s="96">
        <v>27</v>
      </c>
      <c r="C29" s="18">
        <v>45.108819999999994</v>
      </c>
      <c r="D29" s="19">
        <v>44.260339999999999</v>
      </c>
      <c r="E29" s="19">
        <v>44.916719999999998</v>
      </c>
      <c r="F29" s="19">
        <v>44.286559999999994</v>
      </c>
      <c r="G29" s="23">
        <v>44.693449999999999</v>
      </c>
      <c r="H29" s="19">
        <v>44.21687</v>
      </c>
      <c r="I29" s="19">
        <v>44.497119999999995</v>
      </c>
      <c r="J29" s="19">
        <v>44.650999999999996</v>
      </c>
      <c r="K29" s="19">
        <v>44.410510000000002</v>
      </c>
      <c r="L29" s="9">
        <f t="shared" si="0"/>
        <v>44.560154444444443</v>
      </c>
      <c r="M29" s="21">
        <f t="shared" si="1"/>
        <v>0.29119431069347201</v>
      </c>
      <c r="S29" s="48" t="s">
        <v>21</v>
      </c>
      <c r="T29" s="49">
        <f>O22</f>
        <v>1.6305740366168459E-2</v>
      </c>
      <c r="U29" s="49" t="s">
        <v>13</v>
      </c>
      <c r="V29" s="16">
        <v>1</v>
      </c>
      <c r="W29" s="60">
        <f>T29/V29</f>
        <v>1.6305740366168459E-2</v>
      </c>
      <c r="X29" s="60">
        <f t="shared" si="4"/>
        <v>2.6587716888889552E-4</v>
      </c>
    </row>
    <row r="30" spans="2:24" ht="15" thickBot="1" x14ac:dyDescent="0.25">
      <c r="B30" s="97">
        <v>28</v>
      </c>
      <c r="C30" s="18">
        <v>45.104489999999998</v>
      </c>
      <c r="D30" s="19">
        <v>44.268969999999996</v>
      </c>
      <c r="E30" s="19">
        <v>44.911389999999997</v>
      </c>
      <c r="F30" s="19">
        <v>44.283230000000003</v>
      </c>
      <c r="G30" s="23">
        <v>44.695160000000001</v>
      </c>
      <c r="H30" s="19">
        <v>44.217439999999996</v>
      </c>
      <c r="I30" s="19">
        <v>44.504819999999995</v>
      </c>
      <c r="J30" s="19">
        <v>44.653649999999999</v>
      </c>
      <c r="K30" s="19">
        <v>44.413899999999998</v>
      </c>
      <c r="L30" s="9">
        <f t="shared" si="0"/>
        <v>44.561450000000001</v>
      </c>
      <c r="M30" s="21">
        <f t="shared" si="1"/>
        <v>0.28867540548743226</v>
      </c>
      <c r="X30" s="56"/>
    </row>
    <row r="31" spans="2:24" ht="15" thickBot="1" x14ac:dyDescent="0.25">
      <c r="B31" s="98">
        <v>29</v>
      </c>
      <c r="C31" s="18">
        <v>45.094989999999996</v>
      </c>
      <c r="D31" s="19">
        <v>44.26567</v>
      </c>
      <c r="E31" s="19">
        <v>44.909589999999994</v>
      </c>
      <c r="F31" s="19">
        <v>44.287949999999995</v>
      </c>
      <c r="G31" s="23">
        <v>44.703689999999995</v>
      </c>
      <c r="H31" s="19">
        <v>44.223590000000002</v>
      </c>
      <c r="I31" s="19">
        <v>44.503619999999998</v>
      </c>
      <c r="J31" s="19">
        <v>44.656019999999998</v>
      </c>
      <c r="K31" s="19">
        <v>44.416960000000003</v>
      </c>
      <c r="L31" s="9">
        <f t="shared" si="0"/>
        <v>44.56245333333333</v>
      </c>
      <c r="M31" s="21">
        <f t="shared" si="1"/>
        <v>0.285908326527537</v>
      </c>
      <c r="S31" s="35" t="s">
        <v>22</v>
      </c>
      <c r="U31" s="41" t="s">
        <v>82</v>
      </c>
      <c r="V31" s="41"/>
      <c r="W31" s="41" t="s">
        <v>83</v>
      </c>
      <c r="X31" s="57"/>
    </row>
    <row r="32" spans="2:24" ht="15" thickBot="1" x14ac:dyDescent="0.25">
      <c r="B32" s="98">
        <v>30</v>
      </c>
      <c r="C32" s="18">
        <v>45.103179999999995</v>
      </c>
      <c r="D32" s="19">
        <v>44.278149999999997</v>
      </c>
      <c r="E32" s="19">
        <v>44.904489999999996</v>
      </c>
      <c r="F32" s="19">
        <v>44.287840000000003</v>
      </c>
      <c r="G32" s="23">
        <v>44.704599999999999</v>
      </c>
      <c r="H32" s="19">
        <v>44.225980000000007</v>
      </c>
      <c r="I32" s="19">
        <v>44.508499999999998</v>
      </c>
      <c r="J32" s="19">
        <v>44.652630000000002</v>
      </c>
      <c r="K32" s="19">
        <v>44.420439999999999</v>
      </c>
      <c r="L32" s="9">
        <f t="shared" si="0"/>
        <v>44.565089999999998</v>
      </c>
      <c r="M32" s="21">
        <f>_xlfn.STDEV.P(C32:K32)</f>
        <v>0.28483587254573028</v>
      </c>
      <c r="S32" s="42">
        <f>SUM(X22:X29)</f>
        <v>6.4410049713547321E-3</v>
      </c>
      <c r="V32" s="72">
        <f>SQRT(S32)</f>
        <v>8.0255871880845778E-2</v>
      </c>
      <c r="X32" s="72">
        <f>V32*2</f>
        <v>0.16051174376169156</v>
      </c>
    </row>
    <row r="33" spans="2:24" ht="19.5" thickBot="1" x14ac:dyDescent="0.4">
      <c r="B33" s="93" t="s">
        <v>40</v>
      </c>
      <c r="C33" s="30">
        <f>AVERAGE(C3:C32)</f>
        <v>45.125773333333335</v>
      </c>
      <c r="D33" s="31">
        <f t="shared" ref="D33:K33" si="6">AVERAGE(D3:D32)</f>
        <v>44.272346999999996</v>
      </c>
      <c r="E33" s="31">
        <f t="shared" si="6"/>
        <v>44.916943333333315</v>
      </c>
      <c r="F33" s="31">
        <f t="shared" si="6"/>
        <v>44.290716999999994</v>
      </c>
      <c r="G33" s="31">
        <f t="shared" si="6"/>
        <v>44.705246666666667</v>
      </c>
      <c r="H33" s="31">
        <f t="shared" si="6"/>
        <v>44.223990333333326</v>
      </c>
      <c r="I33" s="31">
        <f t="shared" si="6"/>
        <v>44.509302333333338</v>
      </c>
      <c r="J33" s="31">
        <f t="shared" si="6"/>
        <v>44.657822666666668</v>
      </c>
      <c r="K33" s="31">
        <f t="shared" si="6"/>
        <v>44.414306333333343</v>
      </c>
      <c r="M33" s="177"/>
      <c r="S33" s="42">
        <f>ROUND(S32,8)</f>
        <v>6.4409999999999997E-3</v>
      </c>
      <c r="V33" s="72">
        <f>ROUND(V32,3)</f>
        <v>0.08</v>
      </c>
      <c r="X33" s="72">
        <f>ROUND(X32,3)</f>
        <v>0.161</v>
      </c>
    </row>
    <row r="34" spans="2:24" ht="19.5" thickBot="1" x14ac:dyDescent="0.4">
      <c r="B34" s="93" t="s">
        <v>39</v>
      </c>
      <c r="C34" s="27">
        <f>_xlfn.STDEV.P(C3:C32)</f>
        <v>1.5860574040333721E-2</v>
      </c>
      <c r="D34" s="22">
        <f t="shared" ref="D34:K34" si="7">_xlfn.STDEV.P(D3:D32)</f>
        <v>1.5170173180729326E-2</v>
      </c>
      <c r="E34" s="22">
        <f t="shared" si="7"/>
        <v>1.1131499250126643E-2</v>
      </c>
      <c r="F34" s="22">
        <f t="shared" si="7"/>
        <v>1.4553187543169914E-2</v>
      </c>
      <c r="G34" s="22">
        <f t="shared" si="7"/>
        <v>1.6305740366168459E-2</v>
      </c>
      <c r="H34" s="22">
        <f t="shared" si="7"/>
        <v>1.5348389379852497E-2</v>
      </c>
      <c r="I34" s="22">
        <f t="shared" si="7"/>
        <v>1.3215685045514E-2</v>
      </c>
      <c r="J34" s="22">
        <f t="shared" si="7"/>
        <v>1.1730107681612445E-2</v>
      </c>
      <c r="K34" s="22">
        <f t="shared" si="7"/>
        <v>1.0379625068160073E-2</v>
      </c>
      <c r="L34" s="65"/>
    </row>
    <row r="35" spans="2:24" ht="19.5" thickBot="1" x14ac:dyDescent="0.4">
      <c r="B35" s="93" t="s">
        <v>52</v>
      </c>
      <c r="C35" s="11">
        <f>MAX(C3:C32)-C33</f>
        <v>2.9456666666668241E-2</v>
      </c>
      <c r="D35" s="12">
        <f t="shared" ref="D35:K35" si="8">MAX(D3:D32)-D33</f>
        <v>3.5162999999997169E-2</v>
      </c>
      <c r="E35" s="12">
        <f t="shared" si="8"/>
        <v>2.435666666668368E-2</v>
      </c>
      <c r="F35" s="12">
        <f t="shared" si="8"/>
        <v>2.7123000000010222E-2</v>
      </c>
      <c r="G35" s="24">
        <f t="shared" si="8"/>
        <v>4.3103333333334604E-2</v>
      </c>
      <c r="H35" s="12">
        <f t="shared" si="8"/>
        <v>3.7969666666676005E-2</v>
      </c>
      <c r="I35" s="12">
        <f t="shared" si="8"/>
        <v>2.5337666666658265E-2</v>
      </c>
      <c r="J35" s="12">
        <f t="shared" si="8"/>
        <v>2.9237333333334448E-2</v>
      </c>
      <c r="K35" s="12">
        <f t="shared" si="8"/>
        <v>2.276366666666263E-2</v>
      </c>
    </row>
    <row r="36" spans="2:24" ht="19.5" thickBot="1" x14ac:dyDescent="0.4">
      <c r="B36" s="93" t="s">
        <v>51</v>
      </c>
      <c r="C36" s="11">
        <f>C33-MIN(C3:C32)</f>
        <v>3.1353333333335343E-2</v>
      </c>
      <c r="D36" s="12">
        <f t="shared" ref="D36:K36" si="9">D33-MIN(D3:D32)</f>
        <v>2.568699999999069E-2</v>
      </c>
      <c r="E36" s="12">
        <f t="shared" si="9"/>
        <v>2.2153333333314151E-2</v>
      </c>
      <c r="F36" s="12">
        <f t="shared" si="9"/>
        <v>3.3746999999998195E-2</v>
      </c>
      <c r="G36" s="24">
        <f t="shared" si="9"/>
        <v>2.9876666666666551E-2</v>
      </c>
      <c r="H36" s="12">
        <f t="shared" si="9"/>
        <v>2.4490333333325509E-2</v>
      </c>
      <c r="I36" s="12">
        <f t="shared" si="9"/>
        <v>2.8972333333342704E-2</v>
      </c>
      <c r="J36" s="12">
        <f t="shared" si="9"/>
        <v>2.228266666666201E-2</v>
      </c>
      <c r="K36" s="12">
        <f t="shared" si="9"/>
        <v>1.6936333333347875E-2</v>
      </c>
    </row>
    <row r="37" spans="2:24" ht="20.25" thickBot="1" x14ac:dyDescent="0.4">
      <c r="B37" s="94" t="s">
        <v>44</v>
      </c>
      <c r="C37" s="14">
        <f>(C35+C36)/2</f>
        <v>3.0405000000001792E-2</v>
      </c>
      <c r="D37" s="15">
        <f t="shared" ref="D37:K37" si="10">(D35+D36)/2</f>
        <v>3.0424999999993929E-2</v>
      </c>
      <c r="E37" s="15">
        <f t="shared" si="10"/>
        <v>2.3254999999998915E-2</v>
      </c>
      <c r="F37" s="15">
        <f t="shared" si="10"/>
        <v>3.0435000000004209E-2</v>
      </c>
      <c r="G37" s="15">
        <f t="shared" si="10"/>
        <v>3.6490000000000578E-2</v>
      </c>
      <c r="H37" s="15">
        <f t="shared" si="10"/>
        <v>3.1230000000000757E-2</v>
      </c>
      <c r="I37" s="15">
        <f t="shared" si="10"/>
        <v>2.7155000000000484E-2</v>
      </c>
      <c r="J37" s="15">
        <f t="shared" si="10"/>
        <v>2.5759999999998229E-2</v>
      </c>
      <c r="K37" s="15">
        <f t="shared" si="10"/>
        <v>1.9850000000005252E-2</v>
      </c>
    </row>
    <row r="38" spans="2:24" ht="19.5" thickBot="1" x14ac:dyDescent="0.4">
      <c r="B38" s="95" t="s">
        <v>43</v>
      </c>
      <c r="C38" s="43">
        <f>C33-$G33</f>
        <v>0.42052666666666738</v>
      </c>
      <c r="D38" s="13">
        <f t="shared" ref="D38:K38" si="11">D33-$G33</f>
        <v>-0.43289966666667112</v>
      </c>
      <c r="E38" s="13">
        <f t="shared" si="11"/>
        <v>0.2116966666666471</v>
      </c>
      <c r="F38" s="13">
        <f t="shared" si="11"/>
        <v>-0.41452966666667379</v>
      </c>
      <c r="G38" s="13">
        <f>G33-$G33</f>
        <v>0</v>
      </c>
      <c r="H38" s="13">
        <f t="shared" si="11"/>
        <v>-0.4812563333333415</v>
      </c>
      <c r="I38" s="13">
        <f t="shared" si="11"/>
        <v>-0.19594433333332972</v>
      </c>
      <c r="J38" s="13">
        <f t="shared" si="11"/>
        <v>-4.7423999999999467E-2</v>
      </c>
      <c r="K38" s="13">
        <f t="shared" si="11"/>
        <v>-0.29094033333332447</v>
      </c>
    </row>
    <row r="39" spans="2:24" ht="18.75" x14ac:dyDescent="0.35">
      <c r="B39" s="99" t="s">
        <v>45</v>
      </c>
      <c r="C39" s="45">
        <v>45</v>
      </c>
    </row>
    <row r="40" spans="2:24" ht="18.75" x14ac:dyDescent="0.2">
      <c r="B40" s="100" t="s">
        <v>46</v>
      </c>
      <c r="C40" s="44">
        <f>AVERAGE(C3:K32)</f>
        <v>44.568494333333348</v>
      </c>
    </row>
    <row r="41" spans="2:24" ht="18.75" x14ac:dyDescent="0.2">
      <c r="B41" s="101" t="s">
        <v>47</v>
      </c>
      <c r="C41" s="28">
        <f>C40-C39</f>
        <v>-0.43150566666665213</v>
      </c>
    </row>
    <row r="42" spans="2:24" ht="18.75" x14ac:dyDescent="0.2">
      <c r="B42" s="102" t="s">
        <v>48</v>
      </c>
      <c r="C42" s="29">
        <f>MAX(C33:K33)-MIN(C33:K33)</f>
        <v>0.90178300000000888</v>
      </c>
      <c r="D42" s="65"/>
    </row>
    <row r="43" spans="2:24" ht="18.75" x14ac:dyDescent="0.2">
      <c r="B43" s="103" t="s">
        <v>49</v>
      </c>
      <c r="C43" s="32">
        <f>MAX(C38:K38)</f>
        <v>0.42052666666666738</v>
      </c>
    </row>
    <row r="44" spans="2:24" x14ac:dyDescent="0.2">
      <c r="B44" s="104"/>
      <c r="C44" s="32">
        <f>MIN(C38:K38)</f>
        <v>-0.4812563333333415</v>
      </c>
    </row>
    <row r="45" spans="2:24" ht="18.75" x14ac:dyDescent="0.2">
      <c r="B45" s="105" t="s">
        <v>50</v>
      </c>
      <c r="C45" s="182">
        <f>AVERAGE(C37:K37)</f>
        <v>2.8333888888889349E-2</v>
      </c>
      <c r="D45" s="178"/>
      <c r="E45" s="178"/>
      <c r="F45" s="178"/>
      <c r="G45" s="178"/>
      <c r="H45" s="178"/>
      <c r="I45" s="178"/>
      <c r="J45" s="178"/>
      <c r="K45" s="178"/>
    </row>
    <row r="46" spans="2:24" ht="18.75" x14ac:dyDescent="0.35">
      <c r="B46" s="180" t="s">
        <v>259</v>
      </c>
      <c r="C46" s="181">
        <f>_xlfn.STDEV.P(C3:K32)</f>
        <v>0.29273049864533746</v>
      </c>
    </row>
    <row r="47" spans="2:24" x14ac:dyDescent="0.2">
      <c r="C47" s="179"/>
      <c r="D47" s="179"/>
      <c r="E47" s="179"/>
      <c r="F47" s="179"/>
      <c r="G47" s="179"/>
      <c r="H47" s="179"/>
      <c r="I47" s="179"/>
      <c r="J47" s="179"/>
      <c r="K47" s="179"/>
    </row>
  </sheetData>
  <pageMargins left="0.7" right="0.7" top="0.75" bottom="0.75" header="0.3" footer="0.3"/>
  <pageSetup paperSize="9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Лист17"/>
  <dimension ref="B1:X47"/>
  <sheetViews>
    <sheetView zoomScale="55" zoomScaleNormal="55" workbookViewId="0">
      <selection activeCell="H46" sqref="H46"/>
    </sheetView>
  </sheetViews>
  <sheetFormatPr defaultRowHeight="14.25" x14ac:dyDescent="0.2"/>
  <cols>
    <col min="1" max="1" width="10.75" style="292" customWidth="1"/>
    <col min="2" max="2" width="6.25" style="292" customWidth="1"/>
    <col min="3" max="11" width="6" style="292" customWidth="1"/>
    <col min="12" max="12" width="8.875" style="292" customWidth="1"/>
    <col min="13" max="13" width="10" style="292" customWidth="1"/>
    <col min="14" max="14" width="4.875" style="292" customWidth="1"/>
    <col min="15" max="15" width="11.375" style="292" customWidth="1"/>
    <col min="16" max="16" width="11" style="292" customWidth="1"/>
    <col min="17" max="17" width="14.875" style="292" customWidth="1"/>
    <col min="18" max="18" width="5.5" style="292" customWidth="1"/>
    <col min="19" max="19" width="25.375" style="292" customWidth="1"/>
    <col min="20" max="20" width="12.375" style="292" customWidth="1"/>
    <col min="21" max="21" width="14.75" style="292" customWidth="1"/>
    <col min="22" max="22" width="9.75" style="292" customWidth="1"/>
    <col min="23" max="23" width="14.375" style="292" customWidth="1"/>
    <col min="24" max="24" width="28.25" style="292" customWidth="1"/>
    <col min="25" max="16384" width="9" style="292"/>
  </cols>
  <sheetData>
    <row r="1" spans="2:24" ht="15" thickBot="1" x14ac:dyDescent="0.25">
      <c r="O1" s="292" t="s">
        <v>6</v>
      </c>
    </row>
    <row r="2" spans="2:24" ht="19.5" thickBot="1" x14ac:dyDescent="0.4">
      <c r="B2" s="292" t="s">
        <v>29</v>
      </c>
      <c r="C2" s="3">
        <v>1</v>
      </c>
      <c r="D2" s="3">
        <v>2</v>
      </c>
      <c r="E2" s="3">
        <v>3</v>
      </c>
      <c r="F2" s="3">
        <v>4</v>
      </c>
      <c r="G2" s="4">
        <v>5</v>
      </c>
      <c r="H2" s="3">
        <v>6</v>
      </c>
      <c r="I2" s="3">
        <v>7</v>
      </c>
      <c r="J2" s="3">
        <v>8</v>
      </c>
      <c r="K2" s="5">
        <v>9</v>
      </c>
      <c r="L2" s="93" t="s">
        <v>41</v>
      </c>
      <c r="M2" s="8" t="s">
        <v>42</v>
      </c>
      <c r="O2" s="293" t="s">
        <v>24</v>
      </c>
    </row>
    <row r="3" spans="2:24" x14ac:dyDescent="0.2">
      <c r="B3" s="96">
        <v>1</v>
      </c>
      <c r="C3" s="18">
        <v>65.13158</v>
      </c>
      <c r="D3" s="19">
        <v>64.253600000000006</v>
      </c>
      <c r="E3" s="19">
        <v>64.89479</v>
      </c>
      <c r="F3" s="20">
        <v>64.256969999999995</v>
      </c>
      <c r="G3" s="23">
        <v>64.677800000000005</v>
      </c>
      <c r="H3" s="19">
        <v>64.1995</v>
      </c>
      <c r="I3" s="19">
        <v>64.499120000000005</v>
      </c>
      <c r="J3" s="19">
        <v>64.635540000000006</v>
      </c>
      <c r="K3" s="19">
        <v>64.402159999999995</v>
      </c>
      <c r="L3" s="9">
        <f>AVERAGE(C3:K3)</f>
        <v>64.550117777777771</v>
      </c>
      <c r="M3" s="21">
        <f>_xlfn.STDEV.P(C3:K3)</f>
        <v>0.29847398512276063</v>
      </c>
      <c r="O3" s="292" t="s">
        <v>4</v>
      </c>
      <c r="S3" s="2" t="s">
        <v>7</v>
      </c>
      <c r="T3" s="2" t="s">
        <v>8</v>
      </c>
      <c r="U3" s="2" t="s">
        <v>9</v>
      </c>
      <c r="V3" s="2" t="s">
        <v>10</v>
      </c>
      <c r="W3" s="41" t="s">
        <v>11</v>
      </c>
      <c r="X3" s="46" t="s">
        <v>12</v>
      </c>
    </row>
    <row r="4" spans="2:24" ht="15" thickBot="1" x14ac:dyDescent="0.25">
      <c r="B4" s="97">
        <v>2</v>
      </c>
      <c r="C4" s="18">
        <v>65.139309999999995</v>
      </c>
      <c r="D4" s="19">
        <v>64.27073</v>
      </c>
      <c r="E4" s="19">
        <v>64.90428</v>
      </c>
      <c r="F4" s="19">
        <v>64.272720000000007</v>
      </c>
      <c r="G4" s="23">
        <v>64.699889999999996</v>
      </c>
      <c r="H4" s="19">
        <v>64.217330000000004</v>
      </c>
      <c r="I4" s="19">
        <v>64.513459999999995</v>
      </c>
      <c r="J4" s="19">
        <v>64.651079999999993</v>
      </c>
      <c r="K4" s="19">
        <v>64.410449999999997</v>
      </c>
      <c r="L4" s="9">
        <f t="shared" ref="L4:L32" si="0">AVERAGE(C4:K4)</f>
        <v>64.564361111111111</v>
      </c>
      <c r="M4" s="21">
        <f t="shared" ref="M4:M31" si="1">_xlfn.STDEV.P(C4:K4)</f>
        <v>0.2962700032982068</v>
      </c>
      <c r="O4" s="17">
        <f>AVERAGE(C34:K34)</f>
        <v>1.3743886839518564E-2</v>
      </c>
      <c r="S4" s="2" t="str">
        <f>indeter_MI!B5</f>
        <v>Поверка</v>
      </c>
      <c r="T4" s="2">
        <f>indeter_MI!C5</f>
        <v>0.1</v>
      </c>
      <c r="U4" s="2" t="str">
        <f>indeter_MI!D5</f>
        <v>Нормальное</v>
      </c>
      <c r="V4" s="2">
        <f>indeter_MI!E5</f>
        <v>2</v>
      </c>
      <c r="W4" s="59">
        <f>T4/V4</f>
        <v>0.05</v>
      </c>
      <c r="X4" s="52">
        <f t="shared" ref="X4:X9" si="2">W4*W4</f>
        <v>2.5000000000000005E-3</v>
      </c>
    </row>
    <row r="5" spans="2:24" x14ac:dyDescent="0.2">
      <c r="B5" s="96">
        <v>3</v>
      </c>
      <c r="C5" s="18">
        <v>65.132829999999998</v>
      </c>
      <c r="D5" s="19">
        <v>64.264439999999993</v>
      </c>
      <c r="E5" s="19">
        <v>64.918030000000002</v>
      </c>
      <c r="F5" s="19">
        <v>64.286150000000006</v>
      </c>
      <c r="G5" s="23">
        <v>64.709720000000004</v>
      </c>
      <c r="H5" s="19">
        <v>64.219620000000006</v>
      </c>
      <c r="I5" s="19">
        <v>64.518749999999997</v>
      </c>
      <c r="J5" s="19">
        <v>64.659400000000005</v>
      </c>
      <c r="K5" s="19">
        <v>64.407790000000006</v>
      </c>
      <c r="L5" s="9">
        <f t="shared" si="0"/>
        <v>64.568525555555553</v>
      </c>
      <c r="M5" s="21">
        <f t="shared" si="1"/>
        <v>0.29646800266212325</v>
      </c>
      <c r="O5" s="292" t="s">
        <v>5</v>
      </c>
      <c r="S5" s="2" t="str">
        <f>indeter_MI!B6</f>
        <v>Повторяемость*</v>
      </c>
      <c r="T5" s="2">
        <f>indeter_MI!C6</f>
        <v>0.01</v>
      </c>
      <c r="U5" s="2" t="str">
        <f>indeter_MI!D6</f>
        <v>Нормальное</v>
      </c>
      <c r="V5" s="2">
        <f>indeter_MI!E6</f>
        <v>1</v>
      </c>
      <c r="W5" s="59">
        <f t="shared" ref="W5:W13" si="3">T5/V5</f>
        <v>0.01</v>
      </c>
      <c r="X5" s="52">
        <f t="shared" si="2"/>
        <v>1E-4</v>
      </c>
    </row>
    <row r="6" spans="2:24" ht="15" thickBot="1" x14ac:dyDescent="0.25">
      <c r="B6" s="97">
        <v>4</v>
      </c>
      <c r="C6" s="18">
        <v>65.124690000000001</v>
      </c>
      <c r="D6" s="19">
        <v>64.252579999999995</v>
      </c>
      <c r="E6" s="19">
        <v>64.916460000000001</v>
      </c>
      <c r="F6" s="19">
        <v>64.28125</v>
      </c>
      <c r="G6" s="23">
        <v>64.691739999999996</v>
      </c>
      <c r="H6" s="19">
        <v>64.206649999999996</v>
      </c>
      <c r="I6" s="19">
        <v>64.500990000000002</v>
      </c>
      <c r="J6" s="19">
        <v>64.653149999999997</v>
      </c>
      <c r="K6" s="19">
        <v>64.403400000000005</v>
      </c>
      <c r="L6" s="9">
        <f t="shared" si="0"/>
        <v>64.558989999999994</v>
      </c>
      <c r="M6" s="21">
        <f t="shared" si="1"/>
        <v>0.29758888091534086</v>
      </c>
      <c r="O6" s="17">
        <f>O4/(SQRT(270))</f>
        <v>8.3642631664474474E-4</v>
      </c>
      <c r="S6" s="2" t="str">
        <f>indeter_MI!B7</f>
        <v>Гистерезис</v>
      </c>
      <c r="T6" s="2">
        <f>indeter_MI!C7</f>
        <v>0.01</v>
      </c>
      <c r="U6" s="2" t="str">
        <f>indeter_MI!D7</f>
        <v>Прямоугольное</v>
      </c>
      <c r="V6" s="2">
        <f>indeter_MI!E7</f>
        <v>1.73</v>
      </c>
      <c r="W6" s="59">
        <f t="shared" si="3"/>
        <v>5.7803468208092491E-3</v>
      </c>
      <c r="X6" s="52">
        <f t="shared" si="2"/>
        <v>3.3412409368839592E-5</v>
      </c>
    </row>
    <row r="7" spans="2:24" x14ac:dyDescent="0.2">
      <c r="B7" s="96">
        <v>5</v>
      </c>
      <c r="C7" s="18">
        <v>65.124499999999998</v>
      </c>
      <c r="D7" s="19">
        <v>64.246660000000006</v>
      </c>
      <c r="E7" s="19">
        <v>64.909790000000001</v>
      </c>
      <c r="F7" s="19">
        <v>64.274609999999996</v>
      </c>
      <c r="G7" s="23">
        <v>64.675370000000001</v>
      </c>
      <c r="H7" s="19">
        <v>64.200069999999997</v>
      </c>
      <c r="I7" s="19">
        <v>64.486890000000002</v>
      </c>
      <c r="J7" s="19">
        <v>64.640349999999998</v>
      </c>
      <c r="K7" s="19">
        <v>64.397369999999995</v>
      </c>
      <c r="L7" s="9">
        <f t="shared" si="0"/>
        <v>64.550623333333334</v>
      </c>
      <c r="M7" s="21">
        <f t="shared" si="1"/>
        <v>0.29832140724765671</v>
      </c>
      <c r="S7" s="2" t="str">
        <f>indeter_MI!B8</f>
        <v>Влияние температуры</v>
      </c>
      <c r="T7" s="2">
        <f>indeter_MI!C8</f>
        <v>0.01</v>
      </c>
      <c r="U7" s="2" t="str">
        <f>indeter_MI!D8</f>
        <v>Прямоугольное</v>
      </c>
      <c r="V7" s="2">
        <f>indeter_MI!E8</f>
        <v>1.73</v>
      </c>
      <c r="W7" s="59">
        <f t="shared" si="3"/>
        <v>5.7803468208092491E-3</v>
      </c>
      <c r="X7" s="52">
        <f t="shared" si="2"/>
        <v>3.3412409368839592E-5</v>
      </c>
    </row>
    <row r="8" spans="2:24" ht="15" thickBot="1" x14ac:dyDescent="0.25">
      <c r="B8" s="97">
        <v>6</v>
      </c>
      <c r="C8" s="18">
        <v>65.127030000000005</v>
      </c>
      <c r="D8" s="19">
        <v>64.251769999999993</v>
      </c>
      <c r="E8" s="19">
        <v>64.905709999999999</v>
      </c>
      <c r="F8" s="19">
        <v>64.27167</v>
      </c>
      <c r="G8" s="23">
        <v>64.682100000000005</v>
      </c>
      <c r="H8" s="19">
        <v>64.203900000000004</v>
      </c>
      <c r="I8" s="19">
        <v>64.491780000000006</v>
      </c>
      <c r="J8" s="19">
        <v>64.641329999999996</v>
      </c>
      <c r="K8" s="19">
        <v>64.400069999999999</v>
      </c>
      <c r="L8" s="9">
        <f t="shared" si="0"/>
        <v>64.552817777777776</v>
      </c>
      <c r="M8" s="21">
        <f t="shared" si="1"/>
        <v>0.29763434877856448</v>
      </c>
      <c r="S8" s="2" t="str">
        <f>indeter_MI!B9</f>
        <v>Дрейф*</v>
      </c>
      <c r="T8" s="2">
        <f>indeter_MI!C9</f>
        <v>0.1</v>
      </c>
      <c r="U8" s="2" t="str">
        <f>indeter_MI!D9</f>
        <v>Прямоугольное</v>
      </c>
      <c r="V8" s="2">
        <f>indeter_MI!E9</f>
        <v>1.73</v>
      </c>
      <c r="W8" s="59">
        <f t="shared" si="3"/>
        <v>5.7803468208092491E-2</v>
      </c>
      <c r="X8" s="52">
        <f t="shared" si="2"/>
        <v>3.3412409368839594E-3</v>
      </c>
    </row>
    <row r="9" spans="2:24" x14ac:dyDescent="0.2">
      <c r="B9" s="96">
        <v>7</v>
      </c>
      <c r="C9" s="18">
        <v>65.119370000000004</v>
      </c>
      <c r="D9" s="19">
        <v>64.24973</v>
      </c>
      <c r="E9" s="19">
        <v>64.909959999999998</v>
      </c>
      <c r="F9" s="19">
        <v>64.274109999999993</v>
      </c>
      <c r="G9" s="23">
        <v>64.690460000000002</v>
      </c>
      <c r="H9" s="19">
        <v>64.206329999999994</v>
      </c>
      <c r="I9" s="19">
        <v>64.500290000000007</v>
      </c>
      <c r="J9" s="19">
        <v>64.642470000000003</v>
      </c>
      <c r="K9" s="19">
        <v>64.40222</v>
      </c>
      <c r="L9" s="9">
        <f t="shared" si="0"/>
        <v>64.554993333333343</v>
      </c>
      <c r="M9" s="21">
        <f t="shared" si="1"/>
        <v>0.29636785644420782</v>
      </c>
      <c r="O9" s="2" t="s">
        <v>0</v>
      </c>
      <c r="P9" s="2" t="s">
        <v>2</v>
      </c>
      <c r="Q9" s="2" t="s">
        <v>3</v>
      </c>
      <c r="S9" s="2" t="str">
        <f>indeter_MI!B10</f>
        <v>Линейность</v>
      </c>
      <c r="T9" s="2">
        <f>indeter_MI!C10</f>
        <v>0.02</v>
      </c>
      <c r="U9" s="2" t="str">
        <f>indeter_MI!D10</f>
        <v>Прямоугольное</v>
      </c>
      <c r="V9" s="2">
        <f>indeter_MI!E10</f>
        <v>1.73</v>
      </c>
      <c r="W9" s="59">
        <f t="shared" si="3"/>
        <v>1.1560693641618498E-2</v>
      </c>
      <c r="X9" s="52">
        <f t="shared" si="2"/>
        <v>1.3364963747535837E-4</v>
      </c>
    </row>
    <row r="10" spans="2:24" ht="15" thickBot="1" x14ac:dyDescent="0.25">
      <c r="B10" s="97">
        <v>8</v>
      </c>
      <c r="C10" s="18">
        <v>65.118790000000004</v>
      </c>
      <c r="D10" s="19">
        <v>64.257890000000003</v>
      </c>
      <c r="E10" s="19">
        <v>64.908879999999996</v>
      </c>
      <c r="F10" s="19">
        <v>64.275310000000005</v>
      </c>
      <c r="G10" s="23">
        <v>64.696119999999993</v>
      </c>
      <c r="H10" s="19">
        <v>64.207120000000003</v>
      </c>
      <c r="I10" s="19">
        <v>64.506879999999995</v>
      </c>
      <c r="J10" s="19">
        <v>64.647289999999998</v>
      </c>
      <c r="K10" s="19">
        <v>64.401399999999995</v>
      </c>
      <c r="L10" s="9">
        <f t="shared" si="0"/>
        <v>64.557742222222217</v>
      </c>
      <c r="M10" s="21">
        <f t="shared" si="1"/>
        <v>0.29531239127321696</v>
      </c>
      <c r="O10" s="38">
        <f>MAX(M3:M32)</f>
        <v>0.29847398512276063</v>
      </c>
      <c r="P10" s="51">
        <f>MAX(C34:K34)</f>
        <v>1.6305740366168459E-2</v>
      </c>
      <c r="Q10" s="50">
        <f>O6</f>
        <v>8.3642631664474474E-4</v>
      </c>
      <c r="S10" s="2" t="str">
        <f>indeter_MI!B11</f>
        <v>Разрешающая способность</v>
      </c>
      <c r="T10" s="2">
        <f>indeter_MI!C11</f>
        <v>0.01</v>
      </c>
      <c r="U10" s="2" t="str">
        <f>indeter_MI!D11</f>
        <v>Прямоугольное</v>
      </c>
      <c r="V10" s="2">
        <f>indeter_MI!E11</f>
        <v>1.73</v>
      </c>
      <c r="W10" s="59">
        <f t="shared" si="3"/>
        <v>5.7803468208092491E-3</v>
      </c>
      <c r="X10" s="52">
        <f>W10*W10</f>
        <v>3.3412409368839592E-5</v>
      </c>
    </row>
    <row r="11" spans="2:24" x14ac:dyDescent="0.2">
      <c r="B11" s="96">
        <v>9</v>
      </c>
      <c r="C11" s="18">
        <v>65.116829999999993</v>
      </c>
      <c r="D11" s="19">
        <v>64.264600000000002</v>
      </c>
      <c r="E11" s="19">
        <v>64.910629999999998</v>
      </c>
      <c r="F11" s="19">
        <v>64.278729999999996</v>
      </c>
      <c r="G11" s="23">
        <v>64.693920000000006</v>
      </c>
      <c r="H11" s="19">
        <v>64.205029999999994</v>
      </c>
      <c r="I11" s="19">
        <v>64.500590000000003</v>
      </c>
      <c r="J11" s="19">
        <v>64.649760000000001</v>
      </c>
      <c r="K11" s="19">
        <v>64.404499999999999</v>
      </c>
      <c r="L11" s="9">
        <f t="shared" si="0"/>
        <v>64.558287777777778</v>
      </c>
      <c r="M11" s="21">
        <f t="shared" si="1"/>
        <v>0.29421336859790753</v>
      </c>
      <c r="S11" s="36" t="s">
        <v>0</v>
      </c>
      <c r="T11" s="37">
        <f>O10</f>
        <v>0.29847398512276063</v>
      </c>
      <c r="U11" s="36" t="s">
        <v>13</v>
      </c>
      <c r="V11" s="21">
        <v>1</v>
      </c>
      <c r="W11" s="61">
        <f t="shared" si="3"/>
        <v>0.29847398512276063</v>
      </c>
      <c r="X11" s="53">
        <f>W11*W11</f>
        <v>8.9086719795061942E-2</v>
      </c>
    </row>
    <row r="12" spans="2:24" ht="15" thickBot="1" x14ac:dyDescent="0.25">
      <c r="B12" s="97">
        <v>10</v>
      </c>
      <c r="C12" s="18">
        <v>65.130129999999994</v>
      </c>
      <c r="D12" s="19">
        <v>64.274609999999996</v>
      </c>
      <c r="E12" s="19">
        <v>64.911389999999997</v>
      </c>
      <c r="F12" s="19">
        <v>64.291210000000007</v>
      </c>
      <c r="G12" s="23">
        <v>64.710220000000007</v>
      </c>
      <c r="H12" s="19">
        <v>64.228740000000002</v>
      </c>
      <c r="I12" s="19">
        <v>64.519900000000007</v>
      </c>
      <c r="J12" s="19">
        <v>64.658860000000004</v>
      </c>
      <c r="K12" s="19">
        <v>64.4178</v>
      </c>
      <c r="L12" s="9">
        <f t="shared" si="0"/>
        <v>64.571428888888875</v>
      </c>
      <c r="M12" s="21">
        <f t="shared" si="1"/>
        <v>0.29153701409538607</v>
      </c>
      <c r="S12" s="26" t="s">
        <v>21</v>
      </c>
      <c r="T12" s="39">
        <f>P10</f>
        <v>1.6305740366168459E-2</v>
      </c>
      <c r="U12" s="26" t="s">
        <v>13</v>
      </c>
      <c r="V12" s="22">
        <v>1</v>
      </c>
      <c r="W12" s="60">
        <f t="shared" si="3"/>
        <v>1.6305740366168459E-2</v>
      </c>
      <c r="X12" s="54">
        <f>W12*W12</f>
        <v>2.6587716888889552E-4</v>
      </c>
    </row>
    <row r="13" spans="2:24" x14ac:dyDescent="0.2">
      <c r="B13" s="96">
        <v>11</v>
      </c>
      <c r="C13" s="18">
        <v>65.146349999999998</v>
      </c>
      <c r="D13" s="19">
        <v>64.278030000000001</v>
      </c>
      <c r="E13" s="19">
        <v>64.923280000000005</v>
      </c>
      <c r="F13" s="19">
        <v>64.30292</v>
      </c>
      <c r="G13" s="23">
        <v>64.717969999999994</v>
      </c>
      <c r="H13" s="19">
        <v>64.235529999999997</v>
      </c>
      <c r="I13" s="19">
        <v>64.518140000000002</v>
      </c>
      <c r="J13" s="19">
        <v>64.667180000000002</v>
      </c>
      <c r="K13" s="19">
        <v>64.420320000000004</v>
      </c>
      <c r="L13" s="9">
        <f t="shared" si="0"/>
        <v>64.578857777777785</v>
      </c>
      <c r="M13" s="21">
        <f t="shared" si="1"/>
        <v>0.29461103591676707</v>
      </c>
      <c r="S13" s="25" t="s">
        <v>3</v>
      </c>
      <c r="T13" s="40">
        <f>Q10</f>
        <v>8.3642631664474474E-4</v>
      </c>
      <c r="U13" s="25" t="s">
        <v>13</v>
      </c>
      <c r="V13" s="17">
        <v>1</v>
      </c>
      <c r="W13" s="62">
        <f t="shared" si="3"/>
        <v>8.3642631664474474E-4</v>
      </c>
      <c r="X13" s="55">
        <f>W13*W13</f>
        <v>6.9960898317589478E-7</v>
      </c>
    </row>
    <row r="14" spans="2:24" ht="15" thickBot="1" x14ac:dyDescent="0.25">
      <c r="B14" s="97">
        <v>12</v>
      </c>
      <c r="C14" s="18">
        <v>65.143979999999999</v>
      </c>
      <c r="D14" s="19">
        <v>64.274280000000005</v>
      </c>
      <c r="E14" s="19">
        <v>64.928280000000001</v>
      </c>
      <c r="F14" s="19">
        <v>64.302549999999997</v>
      </c>
      <c r="G14" s="23">
        <v>64.711780000000005</v>
      </c>
      <c r="H14" s="19">
        <v>64.23236</v>
      </c>
      <c r="I14" s="19">
        <v>64.52261</v>
      </c>
      <c r="J14" s="19">
        <v>64.664699999999996</v>
      </c>
      <c r="K14" s="19">
        <v>64.41583</v>
      </c>
      <c r="L14" s="9">
        <f t="shared" si="0"/>
        <v>64.577374444444445</v>
      </c>
      <c r="M14" s="21">
        <f t="shared" si="1"/>
        <v>0.29540793016178335</v>
      </c>
      <c r="W14" s="56"/>
      <c r="X14" s="56"/>
    </row>
    <row r="15" spans="2:24" x14ac:dyDescent="0.2">
      <c r="B15" s="96">
        <v>13</v>
      </c>
      <c r="C15" s="18">
        <v>65.138490000000004</v>
      </c>
      <c r="D15" s="19">
        <v>64.282049999999998</v>
      </c>
      <c r="E15" s="19">
        <v>64.922349999999994</v>
      </c>
      <c r="F15" s="19">
        <v>64.295019999999994</v>
      </c>
      <c r="G15" s="23">
        <v>64.702789999999993</v>
      </c>
      <c r="H15" s="19">
        <v>64.226479999999995</v>
      </c>
      <c r="I15" s="19">
        <v>64.506429999999995</v>
      </c>
      <c r="J15" s="19">
        <v>64.662019999999998</v>
      </c>
      <c r="K15" s="19">
        <v>64.418090000000007</v>
      </c>
      <c r="L15" s="9">
        <f t="shared" si="0"/>
        <v>64.572635555555564</v>
      </c>
      <c r="M15" s="21">
        <f t="shared" si="1"/>
        <v>0.29382964414818247</v>
      </c>
      <c r="S15" s="35" t="s">
        <v>22</v>
      </c>
      <c r="U15" s="41" t="s">
        <v>82</v>
      </c>
      <c r="V15" s="41"/>
      <c r="W15" s="57" t="s">
        <v>83</v>
      </c>
      <c r="X15" s="57"/>
    </row>
    <row r="16" spans="2:24" ht="15" thickBot="1" x14ac:dyDescent="0.25">
      <c r="B16" s="97">
        <v>14</v>
      </c>
      <c r="C16" s="18">
        <v>65.155230000000003</v>
      </c>
      <c r="D16" s="19">
        <v>64.293319999999994</v>
      </c>
      <c r="E16" s="19">
        <v>64.927700000000002</v>
      </c>
      <c r="F16" s="19">
        <v>64.301069999999996</v>
      </c>
      <c r="G16" s="23">
        <v>64.723939999999999</v>
      </c>
      <c r="H16" s="19">
        <v>64.239879999999999</v>
      </c>
      <c r="I16" s="19">
        <v>64.517899999999997</v>
      </c>
      <c r="J16" s="19">
        <v>64.67456</v>
      </c>
      <c r="K16" s="19">
        <v>64.429699999999997</v>
      </c>
      <c r="L16" s="9">
        <f t="shared" si="0"/>
        <v>64.584811111111108</v>
      </c>
      <c r="M16" s="21">
        <f t="shared" si="1"/>
        <v>0.29502397655650153</v>
      </c>
      <c r="S16" s="42">
        <f>SUM(X4:X13)</f>
        <v>9.5528424375399851E-2</v>
      </c>
      <c r="V16" s="72">
        <f>SQRT(S17)</f>
        <v>0.3090767218669177</v>
      </c>
      <c r="W16" s="65"/>
      <c r="X16" s="72">
        <f>V16*2</f>
        <v>0.61815344373383541</v>
      </c>
    </row>
    <row r="17" spans="2:24" x14ac:dyDescent="0.2">
      <c r="B17" s="96">
        <v>15</v>
      </c>
      <c r="C17" s="18">
        <v>65.146789999999996</v>
      </c>
      <c r="D17" s="19">
        <v>64.282229999999998</v>
      </c>
      <c r="E17" s="19">
        <v>64.93477</v>
      </c>
      <c r="F17" s="19">
        <v>64.313419999999994</v>
      </c>
      <c r="G17" s="23">
        <v>64.726240000000004</v>
      </c>
      <c r="H17" s="19">
        <v>64.240750000000006</v>
      </c>
      <c r="I17" s="19">
        <v>64.521699999999996</v>
      </c>
      <c r="J17" s="19">
        <v>64.671620000000004</v>
      </c>
      <c r="K17" s="19">
        <v>64.426410000000004</v>
      </c>
      <c r="L17" s="9">
        <f t="shared" si="0"/>
        <v>64.584881111111116</v>
      </c>
      <c r="M17" s="21">
        <f t="shared" si="1"/>
        <v>0.29410689698529796</v>
      </c>
      <c r="S17" s="42">
        <f>ROUND(S16,8)</f>
        <v>9.5528420000000003E-2</v>
      </c>
      <c r="V17" s="72">
        <f>ROUND(V16,3)</f>
        <v>0.309</v>
      </c>
      <c r="W17" s="65"/>
      <c r="X17" s="72">
        <f>ROUND(X16,3)</f>
        <v>0.61799999999999999</v>
      </c>
    </row>
    <row r="18" spans="2:24" ht="15" thickBot="1" x14ac:dyDescent="0.25">
      <c r="B18" s="97">
        <v>16</v>
      </c>
      <c r="C18" s="18">
        <v>65.139889999999994</v>
      </c>
      <c r="D18" s="19">
        <v>64.285520000000005</v>
      </c>
      <c r="E18" s="19">
        <v>64.924729999999997</v>
      </c>
      <c r="F18" s="19">
        <v>64.304860000000005</v>
      </c>
      <c r="G18" s="23">
        <v>64.707080000000005</v>
      </c>
      <c r="H18" s="19">
        <v>64.231170000000006</v>
      </c>
      <c r="I18" s="19">
        <v>64.520290000000003</v>
      </c>
      <c r="J18" s="19">
        <v>64.666210000000007</v>
      </c>
      <c r="K18" s="19">
        <v>64.422439999999995</v>
      </c>
      <c r="L18" s="9">
        <f t="shared" si="0"/>
        <v>64.578021111111113</v>
      </c>
      <c r="M18" s="21">
        <f t="shared" si="1"/>
        <v>0.29218622830290075</v>
      </c>
      <c r="W18" s="56"/>
      <c r="X18" s="56"/>
    </row>
    <row r="19" spans="2:24" x14ac:dyDescent="0.2">
      <c r="B19" s="96">
        <v>17</v>
      </c>
      <c r="C19" s="18">
        <v>65.137969999999996</v>
      </c>
      <c r="D19" s="19">
        <v>64.290790000000001</v>
      </c>
      <c r="E19" s="19">
        <v>64.928690000000003</v>
      </c>
      <c r="F19" s="19">
        <v>64.306380000000004</v>
      </c>
      <c r="G19" s="23">
        <v>64.715069999999997</v>
      </c>
      <c r="H19" s="19">
        <v>64.237409999999997</v>
      </c>
      <c r="I19" s="19">
        <v>64.529790000000006</v>
      </c>
      <c r="J19" s="19">
        <v>64.669709999999995</v>
      </c>
      <c r="K19" s="19">
        <v>64.427779999999998</v>
      </c>
      <c r="L19" s="9">
        <f t="shared" si="0"/>
        <v>64.582621111111109</v>
      </c>
      <c r="M19" s="21">
        <f t="shared" si="1"/>
        <v>0.29073000133550475</v>
      </c>
      <c r="O19" s="292" t="s">
        <v>36</v>
      </c>
      <c r="W19" s="56"/>
      <c r="X19" s="56"/>
    </row>
    <row r="20" spans="2:24" ht="15" thickBot="1" x14ac:dyDescent="0.25">
      <c r="B20" s="97">
        <v>18</v>
      </c>
      <c r="C20" s="18">
        <v>65.132800000000003</v>
      </c>
      <c r="D20" s="19">
        <v>64.284289999999999</v>
      </c>
      <c r="E20" s="19">
        <v>64.927890000000005</v>
      </c>
      <c r="F20" s="19">
        <v>64.303820000000002</v>
      </c>
      <c r="G20" s="23">
        <v>64.713130000000007</v>
      </c>
      <c r="H20" s="19">
        <v>64.233029999999999</v>
      </c>
      <c r="I20" s="19">
        <v>64.512950000000004</v>
      </c>
      <c r="J20" s="19">
        <v>64.661389999999997</v>
      </c>
      <c r="K20" s="19">
        <v>64.421189999999996</v>
      </c>
      <c r="L20" s="9">
        <f t="shared" si="0"/>
        <v>64.576721111111112</v>
      </c>
      <c r="M20" s="21">
        <f t="shared" si="1"/>
        <v>0.2914886613172874</v>
      </c>
      <c r="W20" s="56"/>
      <c r="X20" s="56"/>
    </row>
    <row r="21" spans="2:24" x14ac:dyDescent="0.2">
      <c r="B21" s="96">
        <v>19</v>
      </c>
      <c r="C21" s="18">
        <v>65.114149999999995</v>
      </c>
      <c r="D21" s="19">
        <v>64.268739999999994</v>
      </c>
      <c r="E21" s="19">
        <v>64.922690000000003</v>
      </c>
      <c r="F21" s="19">
        <v>64.297899999999998</v>
      </c>
      <c r="G21" s="23">
        <v>64.711349999999996</v>
      </c>
      <c r="H21" s="19">
        <v>64.230220000000003</v>
      </c>
      <c r="I21" s="19">
        <v>64.503399999999999</v>
      </c>
      <c r="J21" s="19">
        <v>64.656229999999994</v>
      </c>
      <c r="K21" s="19">
        <v>64.413070000000005</v>
      </c>
      <c r="L21" s="9">
        <f t="shared" si="0"/>
        <v>64.56863888888887</v>
      </c>
      <c r="M21" s="21">
        <f t="shared" si="1"/>
        <v>0.2900569391015963</v>
      </c>
      <c r="O21" s="63" t="s">
        <v>23</v>
      </c>
      <c r="S21" s="2" t="s">
        <v>7</v>
      </c>
      <c r="T21" s="2" t="s">
        <v>8</v>
      </c>
      <c r="U21" s="2" t="s">
        <v>9</v>
      </c>
      <c r="V21" s="2" t="s">
        <v>10</v>
      </c>
      <c r="W21" s="57" t="s">
        <v>11</v>
      </c>
      <c r="X21" s="58" t="s">
        <v>12</v>
      </c>
    </row>
    <row r="22" spans="2:24" ht="15" thickBot="1" x14ac:dyDescent="0.25">
      <c r="B22" s="97">
        <v>20</v>
      </c>
      <c r="C22" s="18">
        <v>65.099469999999997</v>
      </c>
      <c r="D22" s="19">
        <v>64.260639999999995</v>
      </c>
      <c r="E22" s="19">
        <v>64.909499999999994</v>
      </c>
      <c r="F22" s="19">
        <v>64.283320000000003</v>
      </c>
      <c r="G22" s="23">
        <v>64.691109999999995</v>
      </c>
      <c r="H22" s="19">
        <v>64.212800000000001</v>
      </c>
      <c r="I22" s="19">
        <v>64.485990000000001</v>
      </c>
      <c r="J22" s="19">
        <v>64.648499999999999</v>
      </c>
      <c r="K22" s="19">
        <v>64.402479999999997</v>
      </c>
      <c r="L22" s="9">
        <f t="shared" si="0"/>
        <v>64.554867777777773</v>
      </c>
      <c r="M22" s="21">
        <f t="shared" si="1"/>
        <v>0.28962988990847283</v>
      </c>
      <c r="O22" s="64">
        <f>MAX(C34:K34)</f>
        <v>1.6305740366168459E-2</v>
      </c>
      <c r="S22" s="2" t="str">
        <f>indeter_MI!B16</f>
        <v>Поверка</v>
      </c>
      <c r="T22" s="2">
        <f>indeter_MI!C16</f>
        <v>0.1</v>
      </c>
      <c r="U22" s="2" t="str">
        <f>indeter_MI!D16</f>
        <v>Нормальное</v>
      </c>
      <c r="V22" s="2">
        <f>indeter_MI!E16</f>
        <v>2</v>
      </c>
      <c r="W22" s="59">
        <f>T22/V22</f>
        <v>0.05</v>
      </c>
      <c r="X22" s="59">
        <f t="shared" ref="X22:X29" si="4">W22*W22</f>
        <v>2.5000000000000005E-3</v>
      </c>
    </row>
    <row r="23" spans="2:24" x14ac:dyDescent="0.2">
      <c r="B23" s="96">
        <v>21</v>
      </c>
      <c r="C23" s="18">
        <v>65.09442</v>
      </c>
      <c r="D23" s="19">
        <v>64.262739999999994</v>
      </c>
      <c r="E23" s="19">
        <v>64.901629999999997</v>
      </c>
      <c r="F23" s="19">
        <v>64.280869999999993</v>
      </c>
      <c r="G23" s="23">
        <v>64.689239999999998</v>
      </c>
      <c r="H23" s="19">
        <v>64.211020000000005</v>
      </c>
      <c r="I23" s="19">
        <v>64.480329999999995</v>
      </c>
      <c r="J23" s="19">
        <v>64.646010000000004</v>
      </c>
      <c r="K23" s="19">
        <v>64.40061</v>
      </c>
      <c r="L23" s="9">
        <f t="shared" si="0"/>
        <v>64.551874444444437</v>
      </c>
      <c r="M23" s="21">
        <f t="shared" si="1"/>
        <v>0.28783460818521467</v>
      </c>
      <c r="S23" s="2" t="str">
        <f>indeter_MI!B17</f>
        <v>Повторяемость*</v>
      </c>
      <c r="T23" s="2">
        <f>indeter_MI!C17</f>
        <v>0.01</v>
      </c>
      <c r="U23" s="2" t="str">
        <f>indeter_MI!D17</f>
        <v>Нормальное</v>
      </c>
      <c r="V23" s="2">
        <f>indeter_MI!E17</f>
        <v>1</v>
      </c>
      <c r="W23" s="59">
        <f t="shared" ref="W23:W28" si="5">T23/V23</f>
        <v>0.01</v>
      </c>
      <c r="X23" s="59">
        <f t="shared" si="4"/>
        <v>1E-4</v>
      </c>
    </row>
    <row r="24" spans="2:24" ht="15" thickBot="1" x14ac:dyDescent="0.25">
      <c r="B24" s="97">
        <v>22</v>
      </c>
      <c r="C24" s="18">
        <v>65.114590000000007</v>
      </c>
      <c r="D24" s="19">
        <v>64.282290000000003</v>
      </c>
      <c r="E24" s="19">
        <v>64.903670000000005</v>
      </c>
      <c r="F24" s="19">
        <v>64.285480000000007</v>
      </c>
      <c r="G24" s="23">
        <v>64.703460000000007</v>
      </c>
      <c r="H24" s="19">
        <v>64.222520000000003</v>
      </c>
      <c r="I24" s="19">
        <v>64.508420000000001</v>
      </c>
      <c r="J24" s="19">
        <v>64.658280000000005</v>
      </c>
      <c r="K24" s="19">
        <v>64.412430000000001</v>
      </c>
      <c r="L24" s="9">
        <f t="shared" si="0"/>
        <v>64.565682222222222</v>
      </c>
      <c r="M24" s="21">
        <f t="shared" si="1"/>
        <v>0.28798968043925949</v>
      </c>
      <c r="S24" s="2" t="str">
        <f>indeter_MI!B18</f>
        <v>Гистерезис</v>
      </c>
      <c r="T24" s="2">
        <f>indeter_MI!C18</f>
        <v>0.01</v>
      </c>
      <c r="U24" s="2" t="str">
        <f>indeter_MI!D18</f>
        <v>Прямоугольное</v>
      </c>
      <c r="V24" s="2">
        <f>indeter_MI!E18</f>
        <v>1.73</v>
      </c>
      <c r="W24" s="59">
        <f t="shared" si="5"/>
        <v>5.7803468208092491E-3</v>
      </c>
      <c r="X24" s="59">
        <f t="shared" si="4"/>
        <v>3.3412409368839592E-5</v>
      </c>
    </row>
    <row r="25" spans="2:24" x14ac:dyDescent="0.2">
      <c r="B25" s="96">
        <v>23</v>
      </c>
      <c r="C25" s="18">
        <v>65.131519999999995</v>
      </c>
      <c r="D25" s="19">
        <v>64.300460000000001</v>
      </c>
      <c r="E25" s="19">
        <v>64.917739999999995</v>
      </c>
      <c r="F25" s="19">
        <v>64.299469999999999</v>
      </c>
      <c r="G25" s="23">
        <v>64.728300000000004</v>
      </c>
      <c r="H25" s="19">
        <v>64.245090000000005</v>
      </c>
      <c r="I25" s="19">
        <v>64.523150000000001</v>
      </c>
      <c r="J25" s="19">
        <v>64.671030000000002</v>
      </c>
      <c r="K25" s="19">
        <v>64.426640000000006</v>
      </c>
      <c r="L25" s="9">
        <f t="shared" si="0"/>
        <v>64.582599999999999</v>
      </c>
      <c r="M25" s="21">
        <f t="shared" si="1"/>
        <v>0.28755999211758443</v>
      </c>
      <c r="S25" s="2" t="str">
        <f>indeter_MI!B19</f>
        <v>Влияние температуры</v>
      </c>
      <c r="T25" s="2">
        <f>indeter_MI!C19</f>
        <v>0.01</v>
      </c>
      <c r="U25" s="2" t="str">
        <f>indeter_MI!D19</f>
        <v>Прямоугольное</v>
      </c>
      <c r="V25" s="2">
        <f>indeter_MI!E19</f>
        <v>1.73</v>
      </c>
      <c r="W25" s="59">
        <f t="shared" si="5"/>
        <v>5.7803468208092491E-3</v>
      </c>
      <c r="X25" s="59">
        <f t="shared" si="4"/>
        <v>3.3412409368839592E-5</v>
      </c>
    </row>
    <row r="26" spans="2:24" ht="15" thickBot="1" x14ac:dyDescent="0.25">
      <c r="B26" s="97">
        <v>24</v>
      </c>
      <c r="C26" s="18">
        <v>65.141300000000001</v>
      </c>
      <c r="D26" s="19">
        <v>64.307509999999994</v>
      </c>
      <c r="E26" s="19">
        <v>64.934569999999994</v>
      </c>
      <c r="F26" s="19">
        <v>64.317599999999999</v>
      </c>
      <c r="G26" s="23">
        <v>64.748350000000002</v>
      </c>
      <c r="H26" s="19">
        <v>64.261960000000002</v>
      </c>
      <c r="I26" s="19">
        <v>64.534639999999996</v>
      </c>
      <c r="J26" s="19">
        <v>64.687060000000002</v>
      </c>
      <c r="K26" s="19">
        <v>64.437070000000006</v>
      </c>
      <c r="L26" s="9">
        <f t="shared" si="0"/>
        <v>64.596673333333328</v>
      </c>
      <c r="M26" s="21">
        <f t="shared" si="1"/>
        <v>0.28767644958258998</v>
      </c>
      <c r="S26" s="2" t="str">
        <f>indeter_MI!B20</f>
        <v>Дрейф*</v>
      </c>
      <c r="T26" s="2">
        <f>indeter_MI!C20</f>
        <v>0.1</v>
      </c>
      <c r="U26" s="2" t="str">
        <f>indeter_MI!D20</f>
        <v>Прямоугольное</v>
      </c>
      <c r="V26" s="2">
        <f>indeter_MI!E20</f>
        <v>1.73</v>
      </c>
      <c r="W26" s="59">
        <f t="shared" si="5"/>
        <v>5.7803468208092491E-2</v>
      </c>
      <c r="X26" s="59">
        <f t="shared" si="4"/>
        <v>3.3412409368839594E-3</v>
      </c>
    </row>
    <row r="27" spans="2:24" x14ac:dyDescent="0.2">
      <c r="B27" s="96">
        <v>25</v>
      </c>
      <c r="C27" s="18">
        <v>65.133210000000005</v>
      </c>
      <c r="D27" s="19">
        <v>64.289289999999994</v>
      </c>
      <c r="E27" s="19">
        <v>64.941299999999998</v>
      </c>
      <c r="F27" s="19">
        <v>64.317840000000004</v>
      </c>
      <c r="G27" s="23">
        <v>64.733429999999998</v>
      </c>
      <c r="H27" s="19">
        <v>64.251099999999994</v>
      </c>
      <c r="I27" s="19">
        <v>64.52852</v>
      </c>
      <c r="J27" s="19">
        <v>64.676869999999994</v>
      </c>
      <c r="K27" s="19">
        <v>64.428100000000001</v>
      </c>
      <c r="L27" s="9">
        <f t="shared" si="0"/>
        <v>64.588851111111111</v>
      </c>
      <c r="M27" s="21">
        <f t="shared" si="1"/>
        <v>0.28981558436911364</v>
      </c>
      <c r="S27" s="2" t="str">
        <f>indeter_MI!B21</f>
        <v>Линейность</v>
      </c>
      <c r="T27" s="2">
        <f>indeter_MI!C21</f>
        <v>0.02</v>
      </c>
      <c r="U27" s="2" t="str">
        <f>indeter_MI!D21</f>
        <v>Прямоугольное</v>
      </c>
      <c r="V27" s="2">
        <f>indeter_MI!E21</f>
        <v>1.73</v>
      </c>
      <c r="W27" s="59">
        <f t="shared" si="5"/>
        <v>1.1560693641618498E-2</v>
      </c>
      <c r="X27" s="59">
        <f t="shared" si="4"/>
        <v>1.3364963747535837E-4</v>
      </c>
    </row>
    <row r="28" spans="2:24" ht="15" thickBot="1" x14ac:dyDescent="0.25">
      <c r="B28" s="97">
        <v>26</v>
      </c>
      <c r="C28" s="18">
        <v>65.126499999999993</v>
      </c>
      <c r="D28" s="19">
        <v>64.26849</v>
      </c>
      <c r="E28" s="19">
        <v>64.927400000000006</v>
      </c>
      <c r="F28" s="19">
        <v>64.30068</v>
      </c>
      <c r="G28" s="23">
        <v>64.709919999999997</v>
      </c>
      <c r="H28" s="19">
        <v>64.230220000000003</v>
      </c>
      <c r="I28" s="19">
        <v>64.512100000000004</v>
      </c>
      <c r="J28" s="19">
        <v>64.660780000000003</v>
      </c>
      <c r="K28" s="19">
        <v>64.418059999999997</v>
      </c>
      <c r="L28" s="9">
        <f t="shared" si="0"/>
        <v>64.572683333333345</v>
      </c>
      <c r="M28" s="21">
        <f t="shared" si="1"/>
        <v>0.29259585073385108</v>
      </c>
      <c r="S28" s="2" t="str">
        <f>indeter_MI!B22</f>
        <v>Разрешающая способность</v>
      </c>
      <c r="T28" s="2">
        <f>indeter_MI!C22</f>
        <v>0.01</v>
      </c>
      <c r="U28" s="2" t="str">
        <f>indeter_MI!D22</f>
        <v>Прямоугольное</v>
      </c>
      <c r="V28" s="2">
        <f>indeter_MI!E22</f>
        <v>1.73</v>
      </c>
      <c r="W28" s="59">
        <f t="shared" si="5"/>
        <v>5.7803468208092491E-3</v>
      </c>
      <c r="X28" s="59">
        <f t="shared" si="4"/>
        <v>3.3412409368839592E-5</v>
      </c>
    </row>
    <row r="29" spans="2:24" x14ac:dyDescent="0.2">
      <c r="B29" s="96">
        <v>27</v>
      </c>
      <c r="C29" s="18">
        <v>65.108819999999994</v>
      </c>
      <c r="D29" s="19">
        <v>64.260339999999999</v>
      </c>
      <c r="E29" s="19">
        <v>64.916719999999998</v>
      </c>
      <c r="F29" s="19">
        <v>64.286559999999994</v>
      </c>
      <c r="G29" s="23">
        <v>64.693449999999999</v>
      </c>
      <c r="H29" s="19">
        <v>64.21687</v>
      </c>
      <c r="I29" s="19">
        <v>64.497119999999995</v>
      </c>
      <c r="J29" s="19">
        <v>64.650999999999996</v>
      </c>
      <c r="K29" s="19">
        <v>64.410510000000002</v>
      </c>
      <c r="L29" s="9">
        <f t="shared" si="0"/>
        <v>64.560154444444436</v>
      </c>
      <c r="M29" s="21">
        <f t="shared" si="1"/>
        <v>0.29119431069347201</v>
      </c>
      <c r="S29" s="48" t="s">
        <v>21</v>
      </c>
      <c r="T29" s="49">
        <f>O22</f>
        <v>1.6305740366168459E-2</v>
      </c>
      <c r="U29" s="49" t="s">
        <v>13</v>
      </c>
      <c r="V29" s="16">
        <v>1</v>
      </c>
      <c r="W29" s="60">
        <f>T29/V29</f>
        <v>1.6305740366168459E-2</v>
      </c>
      <c r="X29" s="60">
        <f t="shared" si="4"/>
        <v>2.6587716888889552E-4</v>
      </c>
    </row>
    <row r="30" spans="2:24" ht="15" thickBot="1" x14ac:dyDescent="0.25">
      <c r="B30" s="97">
        <v>28</v>
      </c>
      <c r="C30" s="18">
        <v>65.104489999999998</v>
      </c>
      <c r="D30" s="19">
        <v>64.268969999999996</v>
      </c>
      <c r="E30" s="19">
        <v>64.911389999999997</v>
      </c>
      <c r="F30" s="19">
        <v>64.283230000000003</v>
      </c>
      <c r="G30" s="23">
        <v>64.695160000000001</v>
      </c>
      <c r="H30" s="19">
        <v>64.217439999999996</v>
      </c>
      <c r="I30" s="19">
        <v>64.504819999999995</v>
      </c>
      <c r="J30" s="19">
        <v>64.653649999999999</v>
      </c>
      <c r="K30" s="19">
        <v>64.413899999999998</v>
      </c>
      <c r="L30" s="9">
        <f t="shared" si="0"/>
        <v>64.561449999999994</v>
      </c>
      <c r="M30" s="21">
        <f t="shared" si="1"/>
        <v>0.28867540548743226</v>
      </c>
      <c r="X30" s="56"/>
    </row>
    <row r="31" spans="2:24" ht="15" thickBot="1" x14ac:dyDescent="0.25">
      <c r="B31" s="98">
        <v>29</v>
      </c>
      <c r="C31" s="18">
        <v>65.094989999999996</v>
      </c>
      <c r="D31" s="19">
        <v>64.26567</v>
      </c>
      <c r="E31" s="19">
        <v>64.909589999999994</v>
      </c>
      <c r="F31" s="19">
        <v>64.287949999999995</v>
      </c>
      <c r="G31" s="23">
        <v>64.703689999999995</v>
      </c>
      <c r="H31" s="19">
        <v>64.223590000000002</v>
      </c>
      <c r="I31" s="19">
        <v>64.503619999999998</v>
      </c>
      <c r="J31" s="19">
        <v>64.656019999999998</v>
      </c>
      <c r="K31" s="19">
        <v>64.416960000000003</v>
      </c>
      <c r="L31" s="9">
        <f t="shared" si="0"/>
        <v>64.562453333333323</v>
      </c>
      <c r="M31" s="21">
        <f t="shared" si="1"/>
        <v>0.28590832652753706</v>
      </c>
      <c r="S31" s="35" t="s">
        <v>22</v>
      </c>
      <c r="U31" s="41" t="s">
        <v>82</v>
      </c>
      <c r="V31" s="41"/>
      <c r="W31" s="41" t="s">
        <v>83</v>
      </c>
      <c r="X31" s="57"/>
    </row>
    <row r="32" spans="2:24" ht="15" thickBot="1" x14ac:dyDescent="0.25">
      <c r="B32" s="98">
        <v>30</v>
      </c>
      <c r="C32" s="18">
        <v>65.103179999999995</v>
      </c>
      <c r="D32" s="19">
        <v>64.278149999999997</v>
      </c>
      <c r="E32" s="19">
        <v>64.904489999999996</v>
      </c>
      <c r="F32" s="19">
        <v>64.287840000000003</v>
      </c>
      <c r="G32" s="23">
        <v>64.704599999999999</v>
      </c>
      <c r="H32" s="19">
        <v>64.225980000000007</v>
      </c>
      <c r="I32" s="19">
        <v>64.508499999999998</v>
      </c>
      <c r="J32" s="19">
        <v>64.652630000000002</v>
      </c>
      <c r="K32" s="19">
        <v>64.420439999999999</v>
      </c>
      <c r="L32" s="9">
        <f t="shared" si="0"/>
        <v>64.565089999999998</v>
      </c>
      <c r="M32" s="21">
        <f>_xlfn.STDEV.P(C32:K32)</f>
        <v>0.28483587254573028</v>
      </c>
      <c r="S32" s="42">
        <f>SUM(X22:X29)</f>
        <v>6.4410049713547321E-3</v>
      </c>
      <c r="V32" s="72">
        <f>SQRT(S32)</f>
        <v>8.0255871880845778E-2</v>
      </c>
      <c r="X32" s="72">
        <f>V32*2</f>
        <v>0.16051174376169156</v>
      </c>
    </row>
    <row r="33" spans="2:24" ht="19.5" thickBot="1" x14ac:dyDescent="0.4">
      <c r="B33" s="93" t="s">
        <v>40</v>
      </c>
      <c r="C33" s="30">
        <f>AVERAGE(C3:C32)</f>
        <v>65.125773333333342</v>
      </c>
      <c r="D33" s="31">
        <f t="shared" ref="D33:K33" si="6">AVERAGE(D3:D32)</f>
        <v>64.272346999999996</v>
      </c>
      <c r="E33" s="31">
        <f t="shared" si="6"/>
        <v>64.916943333333322</v>
      </c>
      <c r="F33" s="31">
        <f t="shared" si="6"/>
        <v>64.290717000000001</v>
      </c>
      <c r="G33" s="31">
        <f t="shared" si="6"/>
        <v>64.705246666666667</v>
      </c>
      <c r="H33" s="31">
        <f t="shared" si="6"/>
        <v>64.223990333333319</v>
      </c>
      <c r="I33" s="31">
        <f t="shared" si="6"/>
        <v>64.509302333333338</v>
      </c>
      <c r="J33" s="31">
        <f t="shared" si="6"/>
        <v>64.657822666666661</v>
      </c>
      <c r="K33" s="31">
        <f t="shared" si="6"/>
        <v>64.414306333333329</v>
      </c>
      <c r="M33" s="177"/>
      <c r="S33" s="42">
        <f>ROUND(S32,8)</f>
        <v>6.4409999999999997E-3</v>
      </c>
      <c r="V33" s="72">
        <f>ROUND(V32,3)</f>
        <v>0.08</v>
      </c>
      <c r="X33" s="72">
        <f>ROUND(X32,3)</f>
        <v>0.161</v>
      </c>
    </row>
    <row r="34" spans="2:24" ht="19.5" thickBot="1" x14ac:dyDescent="0.4">
      <c r="B34" s="93" t="s">
        <v>39</v>
      </c>
      <c r="C34" s="27">
        <f>_xlfn.STDEV.P(C3:C32)</f>
        <v>1.5860574040333721E-2</v>
      </c>
      <c r="D34" s="22">
        <f t="shared" ref="D34:K34" si="7">_xlfn.STDEV.P(D3:D32)</f>
        <v>1.5170173180729326E-2</v>
      </c>
      <c r="E34" s="22">
        <f t="shared" si="7"/>
        <v>1.1131499250126643E-2</v>
      </c>
      <c r="F34" s="22">
        <f t="shared" si="7"/>
        <v>1.4553187543169911E-2</v>
      </c>
      <c r="G34" s="22">
        <f t="shared" si="7"/>
        <v>1.6305740366168459E-2</v>
      </c>
      <c r="H34" s="22">
        <f t="shared" si="7"/>
        <v>1.5348389379852499E-2</v>
      </c>
      <c r="I34" s="22">
        <f t="shared" si="7"/>
        <v>1.3215685045514E-2</v>
      </c>
      <c r="J34" s="22">
        <f t="shared" si="7"/>
        <v>1.1730107681612444E-2</v>
      </c>
      <c r="K34" s="22">
        <f t="shared" si="7"/>
        <v>1.0379625068160071E-2</v>
      </c>
      <c r="L34" s="65"/>
    </row>
    <row r="35" spans="2:24" ht="19.5" thickBot="1" x14ac:dyDescent="0.4">
      <c r="B35" s="93" t="s">
        <v>52</v>
      </c>
      <c r="C35" s="11">
        <f>MAX(C3:C32)-C33</f>
        <v>2.9456666666661135E-2</v>
      </c>
      <c r="D35" s="12">
        <f t="shared" ref="D35:K35" si="8">MAX(D3:D32)-D33</f>
        <v>3.5162999999997169E-2</v>
      </c>
      <c r="E35" s="12">
        <f t="shared" si="8"/>
        <v>2.4356666666676574E-2</v>
      </c>
      <c r="F35" s="12">
        <f t="shared" si="8"/>
        <v>2.7123000000003117E-2</v>
      </c>
      <c r="G35" s="24">
        <f t="shared" si="8"/>
        <v>4.3103333333334604E-2</v>
      </c>
      <c r="H35" s="12">
        <f t="shared" si="8"/>
        <v>3.7969666666683111E-2</v>
      </c>
      <c r="I35" s="12">
        <f t="shared" si="8"/>
        <v>2.5337666666658265E-2</v>
      </c>
      <c r="J35" s="12">
        <f t="shared" si="8"/>
        <v>2.9237333333341553E-2</v>
      </c>
      <c r="K35" s="12">
        <f t="shared" si="8"/>
        <v>2.2763666666676841E-2</v>
      </c>
    </row>
    <row r="36" spans="2:24" ht="19.5" thickBot="1" x14ac:dyDescent="0.4">
      <c r="B36" s="93" t="s">
        <v>51</v>
      </c>
      <c r="C36" s="11">
        <f>C33-MIN(C3:C32)</f>
        <v>3.1353333333342448E-2</v>
      </c>
      <c r="D36" s="12">
        <f t="shared" ref="D36:K36" si="9">D33-MIN(D3:D32)</f>
        <v>2.568699999999069E-2</v>
      </c>
      <c r="E36" s="12">
        <f t="shared" si="9"/>
        <v>2.2153333333321257E-2</v>
      </c>
      <c r="F36" s="12">
        <f t="shared" si="9"/>
        <v>3.3747000000005301E-2</v>
      </c>
      <c r="G36" s="24">
        <f t="shared" si="9"/>
        <v>2.9876666666666551E-2</v>
      </c>
      <c r="H36" s="12">
        <f t="shared" si="9"/>
        <v>2.4490333333318404E-2</v>
      </c>
      <c r="I36" s="12">
        <f t="shared" si="9"/>
        <v>2.8972333333342704E-2</v>
      </c>
      <c r="J36" s="12">
        <f t="shared" si="9"/>
        <v>2.2282666666654904E-2</v>
      </c>
      <c r="K36" s="12">
        <f t="shared" si="9"/>
        <v>1.6936333333333664E-2</v>
      </c>
    </row>
    <row r="37" spans="2:24" ht="20.25" thickBot="1" x14ac:dyDescent="0.4">
      <c r="B37" s="94" t="s">
        <v>44</v>
      </c>
      <c r="C37" s="14">
        <f>(C35+C36)/2</f>
        <v>3.0405000000001792E-2</v>
      </c>
      <c r="D37" s="15">
        <f t="shared" ref="D37:K37" si="10">(D35+D36)/2</f>
        <v>3.0424999999993929E-2</v>
      </c>
      <c r="E37" s="15">
        <f t="shared" si="10"/>
        <v>2.3254999999998915E-2</v>
      </c>
      <c r="F37" s="15">
        <f t="shared" si="10"/>
        <v>3.0435000000004209E-2</v>
      </c>
      <c r="G37" s="15">
        <f t="shared" si="10"/>
        <v>3.6490000000000578E-2</v>
      </c>
      <c r="H37" s="15">
        <f t="shared" si="10"/>
        <v>3.1230000000000757E-2</v>
      </c>
      <c r="I37" s="15">
        <f t="shared" si="10"/>
        <v>2.7155000000000484E-2</v>
      </c>
      <c r="J37" s="15">
        <f t="shared" si="10"/>
        <v>2.5759999999998229E-2</v>
      </c>
      <c r="K37" s="15">
        <f t="shared" si="10"/>
        <v>1.9850000000005252E-2</v>
      </c>
    </row>
    <row r="38" spans="2:24" ht="19.5" thickBot="1" x14ac:dyDescent="0.4">
      <c r="B38" s="95" t="s">
        <v>43</v>
      </c>
      <c r="C38" s="43">
        <f>C33-$G33</f>
        <v>0.42052666666667449</v>
      </c>
      <c r="D38" s="13">
        <f t="shared" ref="D38:K38" si="11">D33-$G33</f>
        <v>-0.43289966666667112</v>
      </c>
      <c r="E38" s="13">
        <f t="shared" si="11"/>
        <v>0.21169666666665421</v>
      </c>
      <c r="F38" s="13">
        <f t="shared" si="11"/>
        <v>-0.41452966666666669</v>
      </c>
      <c r="G38" s="13">
        <f>G33-$G33</f>
        <v>0</v>
      </c>
      <c r="H38" s="13">
        <f t="shared" si="11"/>
        <v>-0.48125633333334861</v>
      </c>
      <c r="I38" s="13">
        <f t="shared" si="11"/>
        <v>-0.19594433333332972</v>
      </c>
      <c r="J38" s="13">
        <f t="shared" si="11"/>
        <v>-4.7424000000006572E-2</v>
      </c>
      <c r="K38" s="13">
        <f t="shared" si="11"/>
        <v>-0.29094033333333869</v>
      </c>
    </row>
    <row r="39" spans="2:24" ht="18.75" x14ac:dyDescent="0.35">
      <c r="B39" s="99" t="s">
        <v>45</v>
      </c>
      <c r="C39" s="45">
        <v>65</v>
      </c>
    </row>
    <row r="40" spans="2:24" ht="18.75" x14ac:dyDescent="0.2">
      <c r="B40" s="100" t="s">
        <v>46</v>
      </c>
      <c r="C40" s="44">
        <f>AVERAGE(C3:K32)</f>
        <v>64.568494333333305</v>
      </c>
    </row>
    <row r="41" spans="2:24" ht="18.75" x14ac:dyDescent="0.2">
      <c r="B41" s="101" t="s">
        <v>47</v>
      </c>
      <c r="C41" s="28">
        <f>C40-C39</f>
        <v>-0.43150566666669476</v>
      </c>
    </row>
    <row r="42" spans="2:24" ht="18.75" x14ac:dyDescent="0.2">
      <c r="B42" s="102" t="s">
        <v>48</v>
      </c>
      <c r="C42" s="29">
        <f>MAX(C33:K33)-MIN(C33:K33)</f>
        <v>0.90178300000002309</v>
      </c>
      <c r="D42" s="65"/>
    </row>
    <row r="43" spans="2:24" ht="18.75" x14ac:dyDescent="0.2">
      <c r="B43" s="103" t="s">
        <v>49</v>
      </c>
      <c r="C43" s="32">
        <f>MAX(C38:K38)</f>
        <v>0.42052666666667449</v>
      </c>
    </row>
    <row r="44" spans="2:24" x14ac:dyDescent="0.2">
      <c r="B44" s="104"/>
      <c r="C44" s="32">
        <f>MIN(C38:K38)</f>
        <v>-0.48125633333334861</v>
      </c>
    </row>
    <row r="45" spans="2:24" ht="18.75" x14ac:dyDescent="0.2">
      <c r="B45" s="105" t="s">
        <v>50</v>
      </c>
      <c r="C45" s="182">
        <f>AVERAGE(C37:K37)</f>
        <v>2.8333888888889349E-2</v>
      </c>
      <c r="D45" s="178"/>
      <c r="E45" s="178"/>
      <c r="F45" s="178"/>
      <c r="G45" s="178"/>
      <c r="H45" s="178"/>
      <c r="I45" s="178"/>
      <c r="J45" s="178"/>
      <c r="K45" s="178"/>
    </row>
    <row r="46" spans="2:24" ht="18.75" x14ac:dyDescent="0.35">
      <c r="B46" s="180" t="s">
        <v>259</v>
      </c>
      <c r="C46" s="181">
        <f>_xlfn.STDEV.P(C3:K32)</f>
        <v>0.29273049864533757</v>
      </c>
    </row>
    <row r="47" spans="2:24" x14ac:dyDescent="0.2">
      <c r="C47" s="179"/>
      <c r="D47" s="179"/>
      <c r="E47" s="179"/>
      <c r="F47" s="179"/>
      <c r="G47" s="179"/>
      <c r="H47" s="179"/>
      <c r="I47" s="179"/>
      <c r="J47" s="179"/>
      <c r="K47" s="179"/>
    </row>
  </sheetData>
  <pageMargins left="0.7" right="0.7" top="0.75" bottom="0.75" header="0.3" footer="0.3"/>
  <pageSetup paperSize="9" orientation="landscape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Лист9"/>
  <dimension ref="A1:Y94"/>
  <sheetViews>
    <sheetView topLeftCell="A68" zoomScale="70" zoomScaleNormal="70" workbookViewId="0">
      <selection activeCell="K44" sqref="K44"/>
    </sheetView>
  </sheetViews>
  <sheetFormatPr defaultRowHeight="14.25" x14ac:dyDescent="0.2"/>
  <cols>
    <col min="2" max="2" width="22.75" customWidth="1"/>
    <col min="3" max="11" width="6" customWidth="1"/>
    <col min="18" max="18" width="16.625" customWidth="1"/>
    <col min="19" max="19" width="19.375" customWidth="1"/>
    <col min="20" max="20" width="9.75" customWidth="1"/>
    <col min="22" max="22" width="11.625" customWidth="1"/>
    <col min="23" max="23" width="13.375" customWidth="1"/>
    <col min="24" max="24" width="17.625" customWidth="1"/>
  </cols>
  <sheetData>
    <row r="1" spans="1:25" ht="15" thickBot="1" x14ac:dyDescent="0.25">
      <c r="A1" s="120"/>
      <c r="B1" s="120"/>
      <c r="C1" s="120"/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 t="s">
        <v>138</v>
      </c>
      <c r="P1" s="120"/>
      <c r="Q1" s="120"/>
      <c r="R1" s="120"/>
      <c r="S1" s="120"/>
      <c r="T1" s="120"/>
      <c r="U1" s="120"/>
      <c r="V1" s="120"/>
      <c r="W1" s="120"/>
      <c r="X1" s="120"/>
      <c r="Y1" s="120"/>
    </row>
    <row r="2" spans="1:25" ht="19.5" thickBot="1" x14ac:dyDescent="0.4">
      <c r="A2" s="120"/>
      <c r="B2" s="122" t="s">
        <v>25</v>
      </c>
      <c r="C2" s="3">
        <v>1</v>
      </c>
      <c r="D2" s="3">
        <v>2</v>
      </c>
      <c r="E2" s="3">
        <v>3</v>
      </c>
      <c r="F2" s="3">
        <v>4</v>
      </c>
      <c r="G2" s="4">
        <v>5</v>
      </c>
      <c r="H2" s="3">
        <v>6</v>
      </c>
      <c r="I2" s="3">
        <v>7</v>
      </c>
      <c r="J2" s="3">
        <v>8</v>
      </c>
      <c r="K2" s="5">
        <v>9</v>
      </c>
      <c r="L2" s="184" t="s">
        <v>261</v>
      </c>
      <c r="M2" s="184" t="s">
        <v>42</v>
      </c>
      <c r="N2" s="503" t="s">
        <v>86</v>
      </c>
      <c r="O2" s="47" t="s">
        <v>38</v>
      </c>
      <c r="Y2" s="120"/>
    </row>
    <row r="3" spans="1:25" x14ac:dyDescent="0.2">
      <c r="A3" s="120"/>
      <c r="B3" s="6">
        <v>1</v>
      </c>
      <c r="C3" s="18">
        <v>99.23</v>
      </c>
      <c r="D3" s="19">
        <v>99.22</v>
      </c>
      <c r="E3" s="19">
        <v>99.21</v>
      </c>
      <c r="F3" s="20">
        <v>99.21</v>
      </c>
      <c r="G3" s="23">
        <v>99.21</v>
      </c>
      <c r="H3" s="19">
        <v>99.21</v>
      </c>
      <c r="I3" s="19">
        <v>99.21</v>
      </c>
      <c r="J3" s="19">
        <v>99.22</v>
      </c>
      <c r="K3" s="19">
        <v>99.24</v>
      </c>
      <c r="L3" s="9">
        <f t="shared" ref="L3:L32" si="0">AVERAGE(C3:K3)</f>
        <v>99.217777777777783</v>
      </c>
      <c r="M3" s="21">
        <f t="shared" ref="M3:M32" si="1">_xlfn.STDEV.P(C3:K3)</f>
        <v>1.0304020550552649E-2</v>
      </c>
      <c r="N3" s="503"/>
      <c r="O3" t="s">
        <v>4</v>
      </c>
      <c r="S3" s="2" t="s">
        <v>7</v>
      </c>
      <c r="T3" s="2" t="s">
        <v>8</v>
      </c>
      <c r="U3" s="2" t="s">
        <v>9</v>
      </c>
      <c r="V3" s="2" t="s">
        <v>10</v>
      </c>
      <c r="W3" s="41" t="s">
        <v>11</v>
      </c>
      <c r="X3" s="46" t="s">
        <v>12</v>
      </c>
      <c r="Y3" s="120"/>
    </row>
    <row r="4" spans="1:25" ht="15" thickBot="1" x14ac:dyDescent="0.25">
      <c r="A4" s="120"/>
      <c r="B4" s="7">
        <v>2</v>
      </c>
      <c r="C4" s="18">
        <v>99.23</v>
      </c>
      <c r="D4" s="19">
        <v>99.22</v>
      </c>
      <c r="E4" s="19">
        <v>99.21</v>
      </c>
      <c r="F4" s="19">
        <v>99.21</v>
      </c>
      <c r="G4" s="23">
        <v>99.21</v>
      </c>
      <c r="H4" s="19">
        <v>99.21</v>
      </c>
      <c r="I4" s="19">
        <v>99.21</v>
      </c>
      <c r="J4" s="19">
        <v>99.22</v>
      </c>
      <c r="K4" s="19">
        <v>99.24</v>
      </c>
      <c r="L4" s="9">
        <f t="shared" si="0"/>
        <v>99.217777777777783</v>
      </c>
      <c r="M4" s="21">
        <f>_xlfn.STDEV.P(C4:K4)</f>
        <v>1.0304020550552649E-2</v>
      </c>
      <c r="N4" s="503"/>
      <c r="O4" s="17">
        <f>AVERAGE(C35:K35)</f>
        <v>5.4037037037041893E-2</v>
      </c>
      <c r="S4" s="2" t="str">
        <f>indeter_MI!B5</f>
        <v>Поверка</v>
      </c>
      <c r="T4" s="2">
        <f>indeter_MI!C5</f>
        <v>0.1</v>
      </c>
      <c r="U4" s="2" t="str">
        <f>indeter_MI!D5</f>
        <v>Нормальное</v>
      </c>
      <c r="V4" s="2">
        <f>indeter_MI!E5</f>
        <v>2</v>
      </c>
      <c r="W4" s="59">
        <f>T4/V4</f>
        <v>0.05</v>
      </c>
      <c r="X4" s="52">
        <f t="shared" ref="X4:X9" si="2">W4*W4</f>
        <v>2.5000000000000005E-3</v>
      </c>
      <c r="Y4" s="120"/>
    </row>
    <row r="5" spans="1:25" x14ac:dyDescent="0.2">
      <c r="A5" s="120"/>
      <c r="B5" s="6">
        <v>3</v>
      </c>
      <c r="C5" s="18">
        <v>99.23</v>
      </c>
      <c r="D5" s="19">
        <v>99.22</v>
      </c>
      <c r="E5" s="19">
        <v>99.21</v>
      </c>
      <c r="F5" s="19">
        <v>99.21</v>
      </c>
      <c r="G5" s="23">
        <v>99.21</v>
      </c>
      <c r="H5" s="19">
        <v>99.21</v>
      </c>
      <c r="I5" s="19">
        <v>99.21</v>
      </c>
      <c r="J5" s="19">
        <v>99.22</v>
      </c>
      <c r="K5" s="19">
        <v>99.24</v>
      </c>
      <c r="L5" s="9">
        <f t="shared" si="0"/>
        <v>99.217777777777783</v>
      </c>
      <c r="M5" s="21">
        <f t="shared" si="1"/>
        <v>1.0304020550552649E-2</v>
      </c>
      <c r="N5" s="503"/>
      <c r="O5" t="s">
        <v>5</v>
      </c>
      <c r="S5" s="2" t="str">
        <f>indeter_MI!B6</f>
        <v>Повторяемость*</v>
      </c>
      <c r="T5" s="2">
        <f>indeter_MI!C6</f>
        <v>0.01</v>
      </c>
      <c r="U5" s="2" t="str">
        <f>indeter_MI!D6</f>
        <v>Нормальное</v>
      </c>
      <c r="V5" s="2">
        <f>indeter_MI!E6</f>
        <v>1</v>
      </c>
      <c r="W5" s="59">
        <f t="shared" ref="W5:W13" si="3">T5/V5</f>
        <v>0.01</v>
      </c>
      <c r="X5" s="52">
        <f t="shared" si="2"/>
        <v>1E-4</v>
      </c>
      <c r="Y5" s="120"/>
    </row>
    <row r="6" spans="1:25" ht="15" thickBot="1" x14ac:dyDescent="0.25">
      <c r="A6" s="120"/>
      <c r="B6" s="7">
        <v>4</v>
      </c>
      <c r="C6" s="18">
        <v>99.23</v>
      </c>
      <c r="D6" s="19">
        <v>99.22</v>
      </c>
      <c r="E6" s="19">
        <v>99.21</v>
      </c>
      <c r="F6" s="19">
        <v>99.21</v>
      </c>
      <c r="G6" s="23">
        <v>99.21</v>
      </c>
      <c r="H6" s="19">
        <v>99.21</v>
      </c>
      <c r="I6" s="19">
        <v>99.21</v>
      </c>
      <c r="J6" s="19">
        <v>99.22</v>
      </c>
      <c r="K6" s="19">
        <v>99.24</v>
      </c>
      <c r="L6" s="9">
        <f t="shared" si="0"/>
        <v>99.217777777777783</v>
      </c>
      <c r="M6" s="21">
        <f t="shared" si="1"/>
        <v>1.0304020550552649E-2</v>
      </c>
      <c r="N6" s="503"/>
      <c r="O6" s="17">
        <f>O4/(SQRT(270))</f>
        <v>3.2885893473255522E-3</v>
      </c>
      <c r="S6" s="2" t="str">
        <f>indeter_MI!B7</f>
        <v>Гистерезис</v>
      </c>
      <c r="T6" s="2">
        <f>indeter_MI!C7</f>
        <v>0.01</v>
      </c>
      <c r="U6" s="2" t="str">
        <f>indeter_MI!D7</f>
        <v>Прямоугольное</v>
      </c>
      <c r="V6" s="2">
        <f>indeter_MI!E7</f>
        <v>1.73</v>
      </c>
      <c r="W6" s="59">
        <f t="shared" si="3"/>
        <v>5.7803468208092491E-3</v>
      </c>
      <c r="X6" s="52">
        <f t="shared" si="2"/>
        <v>3.3412409368839592E-5</v>
      </c>
      <c r="Y6" s="120"/>
    </row>
    <row r="7" spans="1:25" x14ac:dyDescent="0.2">
      <c r="A7" s="120"/>
      <c r="B7" s="6">
        <v>5</v>
      </c>
      <c r="C7" s="18">
        <v>99.23</v>
      </c>
      <c r="D7" s="19">
        <v>99.22</v>
      </c>
      <c r="E7" s="19">
        <v>99.21</v>
      </c>
      <c r="F7" s="19">
        <v>99.21</v>
      </c>
      <c r="G7" s="23">
        <v>99.21</v>
      </c>
      <c r="H7" s="19">
        <v>99.21</v>
      </c>
      <c r="I7" s="19">
        <v>99.21</v>
      </c>
      <c r="J7" s="19">
        <v>99.22</v>
      </c>
      <c r="K7" s="19">
        <v>99.24</v>
      </c>
      <c r="L7" s="9">
        <f t="shared" si="0"/>
        <v>99.217777777777783</v>
      </c>
      <c r="M7" s="21">
        <f t="shared" si="1"/>
        <v>1.0304020550552649E-2</v>
      </c>
      <c r="N7" s="503"/>
      <c r="S7" s="2" t="str">
        <f>indeter_MI!B8</f>
        <v>Влияние температуры</v>
      </c>
      <c r="T7" s="2">
        <f>indeter_MI!C8</f>
        <v>0.01</v>
      </c>
      <c r="U7" s="2" t="str">
        <f>indeter_MI!D8</f>
        <v>Прямоугольное</v>
      </c>
      <c r="V7" s="2">
        <f>indeter_MI!E8</f>
        <v>1.73</v>
      </c>
      <c r="W7" s="59">
        <f t="shared" si="3"/>
        <v>5.7803468208092491E-3</v>
      </c>
      <c r="X7" s="52">
        <f t="shared" si="2"/>
        <v>3.3412409368839592E-5</v>
      </c>
      <c r="Y7" s="120"/>
    </row>
    <row r="8" spans="1:25" ht="15" thickBot="1" x14ac:dyDescent="0.25">
      <c r="A8" s="120"/>
      <c r="B8" s="7">
        <v>6</v>
      </c>
      <c r="C8" s="18">
        <v>99.23</v>
      </c>
      <c r="D8" s="19">
        <v>99.22</v>
      </c>
      <c r="E8" s="19">
        <v>99.21</v>
      </c>
      <c r="F8" s="19">
        <v>99.21</v>
      </c>
      <c r="G8" s="23">
        <v>99.21</v>
      </c>
      <c r="H8" s="19">
        <v>99.21</v>
      </c>
      <c r="I8" s="19">
        <v>99.21</v>
      </c>
      <c r="J8" s="19">
        <v>99.22</v>
      </c>
      <c r="K8" s="19">
        <v>99.24</v>
      </c>
      <c r="L8" s="9">
        <f t="shared" si="0"/>
        <v>99.217777777777783</v>
      </c>
      <c r="M8" s="21">
        <f t="shared" si="1"/>
        <v>1.0304020550552649E-2</v>
      </c>
      <c r="N8" s="503"/>
      <c r="S8" s="2" t="str">
        <f>indeter_MI!B9</f>
        <v>Дрейф*</v>
      </c>
      <c r="T8" s="2">
        <f>indeter_MI!C9</f>
        <v>0.1</v>
      </c>
      <c r="U8" s="2" t="str">
        <f>indeter_MI!D9</f>
        <v>Прямоугольное</v>
      </c>
      <c r="V8" s="2">
        <f>indeter_MI!E9</f>
        <v>1.73</v>
      </c>
      <c r="W8" s="59">
        <f t="shared" si="3"/>
        <v>5.7803468208092491E-2</v>
      </c>
      <c r="X8" s="52">
        <f t="shared" si="2"/>
        <v>3.3412409368839594E-3</v>
      </c>
      <c r="Y8" s="120"/>
    </row>
    <row r="9" spans="1:25" x14ac:dyDescent="0.2">
      <c r="A9" s="120"/>
      <c r="B9" s="6">
        <v>7</v>
      </c>
      <c r="C9" s="18">
        <v>99.23</v>
      </c>
      <c r="D9" s="19">
        <v>99.22</v>
      </c>
      <c r="E9" s="19">
        <v>99.21</v>
      </c>
      <c r="F9" s="19">
        <v>99.21</v>
      </c>
      <c r="G9" s="23">
        <v>99.21</v>
      </c>
      <c r="H9" s="19">
        <v>99.21</v>
      </c>
      <c r="I9" s="19">
        <v>99.21</v>
      </c>
      <c r="J9" s="19">
        <v>99.22</v>
      </c>
      <c r="K9" s="19">
        <v>99.24</v>
      </c>
      <c r="L9" s="9">
        <f t="shared" si="0"/>
        <v>99.217777777777783</v>
      </c>
      <c r="M9" s="21">
        <f t="shared" si="1"/>
        <v>1.0304020550552649E-2</v>
      </c>
      <c r="N9" s="503"/>
      <c r="O9" s="2" t="s">
        <v>0</v>
      </c>
      <c r="P9" s="2" t="s">
        <v>2</v>
      </c>
      <c r="Q9" s="2" t="s">
        <v>3</v>
      </c>
      <c r="S9" s="2" t="str">
        <f>indeter_MI!B10</f>
        <v>Линейность</v>
      </c>
      <c r="T9" s="2">
        <f>indeter_MI!C10</f>
        <v>0.02</v>
      </c>
      <c r="U9" s="2" t="str">
        <f>indeter_MI!D10</f>
        <v>Прямоугольное</v>
      </c>
      <c r="V9" s="2">
        <f>indeter_MI!E10</f>
        <v>1.73</v>
      </c>
      <c r="W9" s="59">
        <f t="shared" si="3"/>
        <v>1.1560693641618498E-2</v>
      </c>
      <c r="X9" s="52">
        <f t="shared" si="2"/>
        <v>1.3364963747535837E-4</v>
      </c>
      <c r="Y9" s="120"/>
    </row>
    <row r="10" spans="1:25" ht="15" thickBot="1" x14ac:dyDescent="0.25">
      <c r="A10" s="120"/>
      <c r="B10" s="7">
        <v>8</v>
      </c>
      <c r="C10" s="18">
        <v>99.23</v>
      </c>
      <c r="D10" s="19">
        <v>99.22</v>
      </c>
      <c r="E10" s="19">
        <v>99.21</v>
      </c>
      <c r="F10" s="19">
        <v>99.21</v>
      </c>
      <c r="G10" s="23">
        <v>99.21</v>
      </c>
      <c r="H10" s="19">
        <v>99.21</v>
      </c>
      <c r="I10" s="19">
        <v>99.21</v>
      </c>
      <c r="J10" s="19">
        <v>99.22</v>
      </c>
      <c r="K10" s="19">
        <v>99.24</v>
      </c>
      <c r="L10" s="9">
        <f t="shared" si="0"/>
        <v>99.217777777777783</v>
      </c>
      <c r="M10" s="21">
        <f t="shared" si="1"/>
        <v>1.0304020550552649E-2</v>
      </c>
      <c r="N10" s="503"/>
      <c r="O10" s="38">
        <f>MAX(M4:M33)</f>
        <v>0.288097205817756</v>
      </c>
      <c r="P10" s="51">
        <f>MAX(C35:K35)</f>
        <v>0.21599999999997976</v>
      </c>
      <c r="Q10" s="50">
        <f>O6</f>
        <v>3.2885893473255522E-3</v>
      </c>
      <c r="S10" s="2" t="str">
        <f>indeter_MI!B11</f>
        <v>Разрешающая способность</v>
      </c>
      <c r="T10" s="2">
        <f>indeter_MI!C11</f>
        <v>0.01</v>
      </c>
      <c r="U10" s="2" t="str">
        <f>indeter_MI!D11</f>
        <v>Прямоугольное</v>
      </c>
      <c r="V10" s="2">
        <f>indeter_MI!E11</f>
        <v>1.73</v>
      </c>
      <c r="W10" s="59">
        <f t="shared" si="3"/>
        <v>5.7803468208092491E-3</v>
      </c>
      <c r="X10" s="52">
        <f>W10*W10</f>
        <v>3.3412409368839592E-5</v>
      </c>
      <c r="Y10" s="120"/>
    </row>
    <row r="11" spans="1:25" x14ac:dyDescent="0.2">
      <c r="A11" s="120"/>
      <c r="B11" s="6">
        <v>9</v>
      </c>
      <c r="C11" s="18">
        <v>99.23</v>
      </c>
      <c r="D11" s="19">
        <v>99.22</v>
      </c>
      <c r="E11" s="19">
        <v>99.21</v>
      </c>
      <c r="F11" s="19">
        <v>99.21</v>
      </c>
      <c r="G11" s="23">
        <v>99.21</v>
      </c>
      <c r="H11" s="19">
        <v>99.21</v>
      </c>
      <c r="I11" s="19">
        <v>99.21</v>
      </c>
      <c r="J11" s="19">
        <v>99.22</v>
      </c>
      <c r="K11" s="19">
        <v>99.24</v>
      </c>
      <c r="L11" s="9">
        <f t="shared" si="0"/>
        <v>99.217777777777783</v>
      </c>
      <c r="M11" s="21">
        <f t="shared" si="1"/>
        <v>1.0304020550552649E-2</v>
      </c>
      <c r="N11" s="503"/>
      <c r="S11" s="36" t="s">
        <v>0</v>
      </c>
      <c r="T11" s="37">
        <f>O10</f>
        <v>0.288097205817756</v>
      </c>
      <c r="U11" s="36" t="s">
        <v>13</v>
      </c>
      <c r="V11" s="21">
        <v>1</v>
      </c>
      <c r="W11" s="61">
        <f t="shared" si="3"/>
        <v>0.288097205817756</v>
      </c>
      <c r="X11" s="53">
        <f>W11*W11</f>
        <v>8.2999999999998464E-2</v>
      </c>
      <c r="Y11" s="120"/>
    </row>
    <row r="12" spans="1:25" ht="15" thickBot="1" x14ac:dyDescent="0.25">
      <c r="A12" s="120"/>
      <c r="B12" s="7">
        <v>10</v>
      </c>
      <c r="C12" s="18">
        <v>99.23</v>
      </c>
      <c r="D12" s="19">
        <v>99.22</v>
      </c>
      <c r="E12" s="19">
        <v>99.21</v>
      </c>
      <c r="F12" s="19">
        <v>99.21</v>
      </c>
      <c r="G12" s="23">
        <v>99.21</v>
      </c>
      <c r="H12" s="19">
        <v>99.21</v>
      </c>
      <c r="I12" s="19">
        <v>99.21</v>
      </c>
      <c r="J12" s="19">
        <v>99.22</v>
      </c>
      <c r="K12" s="19">
        <v>99.24</v>
      </c>
      <c r="L12" s="9">
        <f t="shared" si="0"/>
        <v>99.217777777777783</v>
      </c>
      <c r="M12" s="21">
        <f t="shared" si="1"/>
        <v>1.0304020550552649E-2</v>
      </c>
      <c r="N12" s="503"/>
      <c r="S12" s="26" t="s">
        <v>21</v>
      </c>
      <c r="T12" s="39">
        <f>P10</f>
        <v>0.21599999999997976</v>
      </c>
      <c r="U12" s="26" t="s">
        <v>13</v>
      </c>
      <c r="V12" s="22">
        <v>1</v>
      </c>
      <c r="W12" s="60">
        <f t="shared" si="3"/>
        <v>0.21599999999997976</v>
      </c>
      <c r="X12" s="54">
        <f>W12*W12</f>
        <v>4.665599999999126E-2</v>
      </c>
      <c r="Y12" s="120"/>
    </row>
    <row r="13" spans="1:25" x14ac:dyDescent="0.2">
      <c r="A13" s="120"/>
      <c r="B13" s="6">
        <v>11</v>
      </c>
      <c r="C13" s="18">
        <v>99.22</v>
      </c>
      <c r="D13" s="19">
        <v>99.22</v>
      </c>
      <c r="E13" s="19">
        <v>99.21</v>
      </c>
      <c r="F13" s="19">
        <v>99.21</v>
      </c>
      <c r="G13" s="23">
        <v>99.21</v>
      </c>
      <c r="H13" s="19">
        <v>99.21</v>
      </c>
      <c r="I13" s="19">
        <v>99.21</v>
      </c>
      <c r="J13" s="19">
        <v>99.22</v>
      </c>
      <c r="K13" s="19">
        <v>99.24</v>
      </c>
      <c r="L13" s="9">
        <f t="shared" si="0"/>
        <v>99.216666666666669</v>
      </c>
      <c r="M13" s="21">
        <f t="shared" si="1"/>
        <v>9.4280904158215492E-3</v>
      </c>
      <c r="N13" s="503"/>
      <c r="S13" s="25" t="s">
        <v>3</v>
      </c>
      <c r="T13" s="40">
        <f>Q10</f>
        <v>3.2885893473255522E-3</v>
      </c>
      <c r="U13" s="25" t="s">
        <v>13</v>
      </c>
      <c r="V13" s="17">
        <v>1</v>
      </c>
      <c r="W13" s="62">
        <f t="shared" si="3"/>
        <v>3.2885893473255522E-3</v>
      </c>
      <c r="X13" s="55">
        <f>W13*W13</f>
        <v>1.0814819895343101E-5</v>
      </c>
      <c r="Y13" s="120"/>
    </row>
    <row r="14" spans="1:25" ht="15" thickBot="1" x14ac:dyDescent="0.25">
      <c r="A14" s="120"/>
      <c r="B14" s="7">
        <v>12</v>
      </c>
      <c r="C14" s="18">
        <v>99.22</v>
      </c>
      <c r="D14" s="19">
        <v>99.22</v>
      </c>
      <c r="E14" s="19">
        <v>99.21</v>
      </c>
      <c r="F14" s="19">
        <v>99.21</v>
      </c>
      <c r="G14" s="23">
        <v>99.21</v>
      </c>
      <c r="H14" s="19">
        <v>99.21</v>
      </c>
      <c r="I14" s="19">
        <v>99.21</v>
      </c>
      <c r="J14" s="19">
        <v>99.22</v>
      </c>
      <c r="K14" s="19">
        <v>99.24</v>
      </c>
      <c r="L14" s="9">
        <f t="shared" si="0"/>
        <v>99.216666666666669</v>
      </c>
      <c r="M14" s="21">
        <f t="shared" si="1"/>
        <v>9.4280904158215492E-3</v>
      </c>
      <c r="N14" s="503"/>
      <c r="W14" s="56"/>
      <c r="X14" s="56"/>
      <c r="Y14" s="120"/>
    </row>
    <row r="15" spans="1:25" x14ac:dyDescent="0.2">
      <c r="A15" s="120"/>
      <c r="B15" s="6">
        <v>13</v>
      </c>
      <c r="C15" s="18">
        <v>99.22</v>
      </c>
      <c r="D15" s="19">
        <v>99.22</v>
      </c>
      <c r="E15" s="19">
        <v>99.21</v>
      </c>
      <c r="F15" s="19">
        <v>99.21</v>
      </c>
      <c r="G15" s="23">
        <v>99.21</v>
      </c>
      <c r="H15" s="19">
        <v>99.21</v>
      </c>
      <c r="I15" s="19">
        <v>99.21</v>
      </c>
      <c r="J15" s="19">
        <v>99.22</v>
      </c>
      <c r="K15" s="19">
        <v>99.24</v>
      </c>
      <c r="L15" s="9">
        <f t="shared" si="0"/>
        <v>99.216666666666669</v>
      </c>
      <c r="M15" s="21">
        <f t="shared" si="1"/>
        <v>9.4280904158215492E-3</v>
      </c>
      <c r="N15" s="503"/>
      <c r="S15" s="35" t="s">
        <v>22</v>
      </c>
      <c r="U15" s="41" t="s">
        <v>82</v>
      </c>
      <c r="V15" s="41"/>
      <c r="W15" s="57" t="s">
        <v>83</v>
      </c>
      <c r="X15" s="57"/>
      <c r="Y15" s="120"/>
    </row>
    <row r="16" spans="1:25" ht="15" thickBot="1" x14ac:dyDescent="0.25">
      <c r="A16" s="120"/>
      <c r="B16" s="7">
        <v>14</v>
      </c>
      <c r="C16" s="18">
        <v>99.22</v>
      </c>
      <c r="D16" s="19">
        <v>99.22</v>
      </c>
      <c r="E16" s="19">
        <v>99.21</v>
      </c>
      <c r="F16" s="19">
        <v>99.21</v>
      </c>
      <c r="G16" s="23">
        <v>99.21</v>
      </c>
      <c r="H16" s="19">
        <v>99.21</v>
      </c>
      <c r="I16" s="19">
        <v>99.21</v>
      </c>
      <c r="J16" s="19">
        <v>99.22</v>
      </c>
      <c r="K16" s="19">
        <v>99.24</v>
      </c>
      <c r="L16" s="9">
        <f t="shared" si="0"/>
        <v>99.216666666666669</v>
      </c>
      <c r="M16" s="21">
        <f t="shared" si="1"/>
        <v>9.4280904158215492E-3</v>
      </c>
      <c r="N16" s="503"/>
      <c r="S16" s="42">
        <f>SUM(X4:X13)</f>
        <v>0.13584194262235089</v>
      </c>
      <c r="V16" s="72">
        <f>SQRT(S16)</f>
        <v>0.36856741937174925</v>
      </c>
      <c r="W16" s="65"/>
      <c r="X16" s="72">
        <f>V16*2</f>
        <v>0.7371348387434985</v>
      </c>
      <c r="Y16" s="120"/>
    </row>
    <row r="17" spans="1:25" x14ac:dyDescent="0.2">
      <c r="A17" s="120"/>
      <c r="B17" s="6">
        <v>15</v>
      </c>
      <c r="C17" s="18">
        <v>99.22</v>
      </c>
      <c r="D17" s="19">
        <v>99.22</v>
      </c>
      <c r="E17" s="19">
        <v>99.21</v>
      </c>
      <c r="F17" s="19">
        <v>99.21</v>
      </c>
      <c r="G17" s="23">
        <v>99.21</v>
      </c>
      <c r="H17" s="19">
        <v>99.2</v>
      </c>
      <c r="I17" s="19">
        <v>99.21</v>
      </c>
      <c r="J17" s="19">
        <v>99.22</v>
      </c>
      <c r="K17" s="19">
        <v>99.23</v>
      </c>
      <c r="L17" s="9">
        <f t="shared" si="0"/>
        <v>99.214444444444453</v>
      </c>
      <c r="M17" s="21">
        <f t="shared" si="1"/>
        <v>8.3147941928324916E-3</v>
      </c>
      <c r="N17" s="503"/>
      <c r="S17" s="42">
        <f>ROUND(S16,8)</f>
        <v>0.13584193999999999</v>
      </c>
      <c r="V17" s="72">
        <f>ROUND(V16,3)</f>
        <v>0.36899999999999999</v>
      </c>
      <c r="W17" s="65"/>
      <c r="X17" s="72">
        <f>ROUND(X16,3)</f>
        <v>0.73699999999999999</v>
      </c>
      <c r="Y17" s="120"/>
    </row>
    <row r="18" spans="1:25" ht="15" thickBot="1" x14ac:dyDescent="0.25">
      <c r="A18" s="120"/>
      <c r="B18" s="7">
        <v>16</v>
      </c>
      <c r="C18" s="18">
        <v>99.22</v>
      </c>
      <c r="D18" s="19">
        <v>99.21</v>
      </c>
      <c r="E18" s="19">
        <v>99.21</v>
      </c>
      <c r="F18" s="19">
        <v>99.21</v>
      </c>
      <c r="G18" s="23">
        <v>99.21</v>
      </c>
      <c r="H18" s="19">
        <v>99.2</v>
      </c>
      <c r="I18" s="19">
        <v>99.21</v>
      </c>
      <c r="J18" s="19">
        <v>99.22</v>
      </c>
      <c r="K18" s="19">
        <v>99.24</v>
      </c>
      <c r="L18" s="9">
        <f t="shared" si="0"/>
        <v>99.214444444444453</v>
      </c>
      <c r="M18" s="21">
        <f t="shared" si="1"/>
        <v>1.0657403385138903E-2</v>
      </c>
      <c r="N18" s="503"/>
      <c r="W18" s="56"/>
      <c r="X18" s="56"/>
      <c r="Y18" s="120"/>
    </row>
    <row r="19" spans="1:25" x14ac:dyDescent="0.2">
      <c r="A19" s="120"/>
      <c r="B19" s="6">
        <v>17</v>
      </c>
      <c r="C19" s="18">
        <v>99.22</v>
      </c>
      <c r="D19" s="19">
        <v>99.21</v>
      </c>
      <c r="E19" s="19">
        <v>99.21</v>
      </c>
      <c r="F19" s="19">
        <v>99.2</v>
      </c>
      <c r="G19" s="23">
        <v>99.21</v>
      </c>
      <c r="H19" s="19">
        <v>99.2</v>
      </c>
      <c r="I19" s="19">
        <v>99.21</v>
      </c>
      <c r="J19" s="19">
        <v>99.22</v>
      </c>
      <c r="K19" s="19">
        <v>99.24</v>
      </c>
      <c r="L19" s="9">
        <f t="shared" si="0"/>
        <v>99.213333333333338</v>
      </c>
      <c r="M19" s="21">
        <f t="shared" si="1"/>
        <v>1.154700538379113E-2</v>
      </c>
      <c r="N19" s="503"/>
      <c r="O19" t="s">
        <v>36</v>
      </c>
      <c r="W19" s="56"/>
      <c r="X19" s="56"/>
      <c r="Y19" s="120"/>
    </row>
    <row r="20" spans="1:25" ht="15" thickBot="1" x14ac:dyDescent="0.25">
      <c r="A20" s="120"/>
      <c r="B20" s="7">
        <v>18</v>
      </c>
      <c r="C20" s="18">
        <v>99.22</v>
      </c>
      <c r="D20" s="19">
        <v>99.21</v>
      </c>
      <c r="E20" s="19">
        <v>99.21</v>
      </c>
      <c r="F20" s="19">
        <v>99.2</v>
      </c>
      <c r="G20" s="23">
        <v>99.21</v>
      </c>
      <c r="H20" s="19">
        <v>99.2</v>
      </c>
      <c r="I20" s="19">
        <v>99.21</v>
      </c>
      <c r="J20" s="19">
        <v>99.21</v>
      </c>
      <c r="K20" s="19">
        <v>99.23</v>
      </c>
      <c r="L20" s="9">
        <f t="shared" si="0"/>
        <v>99.211111111111123</v>
      </c>
      <c r="M20" s="21">
        <f t="shared" si="1"/>
        <v>8.7488976377913669E-3</v>
      </c>
      <c r="N20" s="503"/>
      <c r="W20" s="56"/>
      <c r="X20" s="56"/>
      <c r="Y20" s="120"/>
    </row>
    <row r="21" spans="1:25" x14ac:dyDescent="0.2">
      <c r="A21" s="120"/>
      <c r="B21" s="6">
        <v>19</v>
      </c>
      <c r="C21" s="18">
        <v>99.22</v>
      </c>
      <c r="D21" s="19">
        <v>99.21</v>
      </c>
      <c r="E21" s="19">
        <v>99.21</v>
      </c>
      <c r="F21" s="19">
        <v>99.2</v>
      </c>
      <c r="G21" s="23">
        <v>99.21</v>
      </c>
      <c r="H21" s="19">
        <v>99.08</v>
      </c>
      <c r="I21" s="19">
        <v>99.2</v>
      </c>
      <c r="J21" s="19">
        <v>99.21</v>
      </c>
      <c r="K21" s="19">
        <v>99.23</v>
      </c>
      <c r="L21" s="9">
        <f t="shared" si="0"/>
        <v>99.196666666666673</v>
      </c>
      <c r="M21" s="21">
        <f t="shared" si="1"/>
        <v>4.2163702135578365E-2</v>
      </c>
      <c r="N21" s="503"/>
      <c r="O21" s="63" t="s">
        <v>23</v>
      </c>
      <c r="S21" s="2" t="s">
        <v>7</v>
      </c>
      <c r="T21" s="2" t="s">
        <v>8</v>
      </c>
      <c r="U21" s="2" t="s">
        <v>9</v>
      </c>
      <c r="V21" s="2" t="s">
        <v>10</v>
      </c>
      <c r="W21" s="57" t="s">
        <v>11</v>
      </c>
      <c r="X21" s="58" t="s">
        <v>12</v>
      </c>
      <c r="Y21" s="120"/>
    </row>
    <row r="22" spans="1:25" ht="15" thickBot="1" x14ac:dyDescent="0.25">
      <c r="A22" s="120"/>
      <c r="B22" s="7">
        <v>20</v>
      </c>
      <c r="C22" s="18">
        <v>99.22</v>
      </c>
      <c r="D22" s="19">
        <v>99.21</v>
      </c>
      <c r="E22" s="19">
        <v>99.21</v>
      </c>
      <c r="F22" s="19">
        <v>99.2</v>
      </c>
      <c r="G22" s="23">
        <v>99.2</v>
      </c>
      <c r="H22" s="19">
        <v>98.96</v>
      </c>
      <c r="I22" s="19">
        <v>99.2</v>
      </c>
      <c r="J22" s="19">
        <v>99.21</v>
      </c>
      <c r="K22" s="19">
        <v>99.23</v>
      </c>
      <c r="L22" s="9">
        <f t="shared" si="0"/>
        <v>99.182222222222236</v>
      </c>
      <c r="M22" s="21">
        <f t="shared" si="1"/>
        <v>7.913108362117878E-2</v>
      </c>
      <c r="N22" s="503"/>
      <c r="O22" s="64">
        <f>MAX(C35:K35)</f>
        <v>0.21599999999997976</v>
      </c>
      <c r="S22" s="2" t="str">
        <f>indeter_MI!B16</f>
        <v>Поверка</v>
      </c>
      <c r="T22" s="2">
        <f>indeter_MI!C16</f>
        <v>0.1</v>
      </c>
      <c r="U22" s="2" t="str">
        <f>indeter_MI!D16</f>
        <v>Нормальное</v>
      </c>
      <c r="V22" s="2">
        <f>indeter_MI!E16</f>
        <v>2</v>
      </c>
      <c r="W22" s="59">
        <f>T22/V22</f>
        <v>0.05</v>
      </c>
      <c r="X22" s="59">
        <f t="shared" ref="X22:X29" si="4">W22*W22</f>
        <v>2.5000000000000005E-3</v>
      </c>
      <c r="Y22" s="120"/>
    </row>
    <row r="23" spans="1:25" x14ac:dyDescent="0.2">
      <c r="A23" s="120"/>
      <c r="B23" s="6">
        <v>21</v>
      </c>
      <c r="C23" s="18">
        <v>99.22</v>
      </c>
      <c r="D23" s="19">
        <v>99.21</v>
      </c>
      <c r="E23" s="19">
        <v>99.21</v>
      </c>
      <c r="F23" s="19">
        <v>99.2</v>
      </c>
      <c r="G23" s="23">
        <v>99.2</v>
      </c>
      <c r="H23" s="19">
        <v>98.91</v>
      </c>
      <c r="I23" s="19">
        <v>99.2</v>
      </c>
      <c r="J23" s="19">
        <v>99.21</v>
      </c>
      <c r="K23" s="19">
        <v>99.23</v>
      </c>
      <c r="L23" s="9">
        <f t="shared" si="0"/>
        <v>99.176666666666677</v>
      </c>
      <c r="M23" s="21">
        <f t="shared" si="1"/>
        <v>9.4751136023680058E-2</v>
      </c>
      <c r="N23" s="503"/>
      <c r="S23" s="2" t="str">
        <f>indeter_MI!B17</f>
        <v>Повторяемость*</v>
      </c>
      <c r="T23" s="2">
        <f>indeter_MI!C17</f>
        <v>0.01</v>
      </c>
      <c r="U23" s="2" t="str">
        <f>indeter_MI!D17</f>
        <v>Нормальное</v>
      </c>
      <c r="V23" s="2">
        <f>indeter_MI!E17</f>
        <v>1</v>
      </c>
      <c r="W23" s="59">
        <f t="shared" ref="W23:W28" si="5">T23/V23</f>
        <v>0.01</v>
      </c>
      <c r="X23" s="59">
        <f t="shared" si="4"/>
        <v>1E-4</v>
      </c>
      <c r="Y23" s="120"/>
    </row>
    <row r="24" spans="1:25" ht="15" thickBot="1" x14ac:dyDescent="0.25">
      <c r="A24" s="120"/>
      <c r="B24" s="7">
        <v>22</v>
      </c>
      <c r="C24" s="18">
        <v>99.22</v>
      </c>
      <c r="D24" s="19">
        <v>99.21</v>
      </c>
      <c r="E24" s="19">
        <v>99.2</v>
      </c>
      <c r="F24" s="19">
        <v>99.1</v>
      </c>
      <c r="G24" s="23">
        <v>99.2</v>
      </c>
      <c r="H24" s="19">
        <v>98.79</v>
      </c>
      <c r="I24" s="19">
        <v>99.2</v>
      </c>
      <c r="J24" s="19">
        <v>99.21</v>
      </c>
      <c r="K24" s="19">
        <v>99.22</v>
      </c>
      <c r="L24" s="9">
        <f t="shared" si="0"/>
        <v>99.15000000000002</v>
      </c>
      <c r="M24" s="21">
        <f t="shared" si="1"/>
        <v>0.13190905958272711</v>
      </c>
      <c r="N24" s="503"/>
      <c r="S24" s="2" t="str">
        <f>indeter_MI!B18</f>
        <v>Гистерезис</v>
      </c>
      <c r="T24" s="2">
        <f>indeter_MI!C18</f>
        <v>0.01</v>
      </c>
      <c r="U24" s="2" t="str">
        <f>indeter_MI!D18</f>
        <v>Прямоугольное</v>
      </c>
      <c r="V24" s="2">
        <f>indeter_MI!E18</f>
        <v>1.73</v>
      </c>
      <c r="W24" s="59">
        <f t="shared" si="5"/>
        <v>5.7803468208092491E-3</v>
      </c>
      <c r="X24" s="59">
        <f t="shared" si="4"/>
        <v>3.3412409368839592E-5</v>
      </c>
      <c r="Y24" s="120"/>
    </row>
    <row r="25" spans="1:25" x14ac:dyDescent="0.2">
      <c r="A25" s="120"/>
      <c r="B25" s="6">
        <v>23</v>
      </c>
      <c r="C25" s="18">
        <v>99.22</v>
      </c>
      <c r="D25" s="19">
        <v>99.21</v>
      </c>
      <c r="E25" s="19">
        <v>99.2</v>
      </c>
      <c r="F25" s="19">
        <v>98.96</v>
      </c>
      <c r="G25" s="23">
        <v>99.2</v>
      </c>
      <c r="H25" s="19">
        <v>98.69</v>
      </c>
      <c r="I25" s="19">
        <v>99.2</v>
      </c>
      <c r="J25" s="19">
        <v>99.21</v>
      </c>
      <c r="K25" s="19">
        <v>99.23</v>
      </c>
      <c r="L25" s="9">
        <f t="shared" si="0"/>
        <v>99.124444444444464</v>
      </c>
      <c r="M25" s="21">
        <f t="shared" si="1"/>
        <v>0.17250514395622654</v>
      </c>
      <c r="N25" s="503"/>
      <c r="S25" s="2" t="str">
        <f>indeter_MI!B19</f>
        <v>Влияние температуры</v>
      </c>
      <c r="T25" s="2">
        <f>indeter_MI!C19</f>
        <v>0.01</v>
      </c>
      <c r="U25" s="2" t="str">
        <f>indeter_MI!D19</f>
        <v>Прямоугольное</v>
      </c>
      <c r="V25" s="2">
        <f>indeter_MI!E19</f>
        <v>1.73</v>
      </c>
      <c r="W25" s="59">
        <f t="shared" si="5"/>
        <v>5.7803468208092491E-3</v>
      </c>
      <c r="X25" s="59">
        <f t="shared" si="4"/>
        <v>3.3412409368839592E-5</v>
      </c>
      <c r="Y25" s="120"/>
    </row>
    <row r="26" spans="1:25" ht="15" thickBot="1" x14ac:dyDescent="0.25">
      <c r="A26" s="120"/>
      <c r="B26" s="7">
        <v>24</v>
      </c>
      <c r="C26" s="18">
        <v>99.22</v>
      </c>
      <c r="D26" s="19">
        <v>99.21</v>
      </c>
      <c r="E26" s="19">
        <v>99.2</v>
      </c>
      <c r="F26" s="19">
        <v>98.83</v>
      </c>
      <c r="G26" s="23">
        <v>99.2</v>
      </c>
      <c r="H26" s="19">
        <v>98.58</v>
      </c>
      <c r="I26" s="19">
        <v>99.2</v>
      </c>
      <c r="J26" s="19">
        <v>99.21</v>
      </c>
      <c r="K26" s="19">
        <v>99.23</v>
      </c>
      <c r="L26" s="9">
        <f t="shared" si="0"/>
        <v>99.097777777777793</v>
      </c>
      <c r="M26" s="21">
        <f t="shared" si="1"/>
        <v>0.21826476163787817</v>
      </c>
      <c r="N26" s="503"/>
      <c r="S26" s="2" t="str">
        <f>indeter_MI!B20</f>
        <v>Дрейф*</v>
      </c>
      <c r="T26" s="2">
        <f>indeter_MI!C20</f>
        <v>0.1</v>
      </c>
      <c r="U26" s="2" t="str">
        <f>indeter_MI!D20</f>
        <v>Прямоугольное</v>
      </c>
      <c r="V26" s="2">
        <f>indeter_MI!E20</f>
        <v>1.73</v>
      </c>
      <c r="W26" s="59">
        <f t="shared" si="5"/>
        <v>5.7803468208092491E-2</v>
      </c>
      <c r="X26" s="59">
        <f t="shared" si="4"/>
        <v>3.3412409368839594E-3</v>
      </c>
      <c r="Y26" s="120"/>
    </row>
    <row r="27" spans="1:25" x14ac:dyDescent="0.2">
      <c r="A27" s="120"/>
      <c r="B27" s="6">
        <v>25</v>
      </c>
      <c r="C27" s="18">
        <v>99.22</v>
      </c>
      <c r="D27" s="19">
        <v>99.21</v>
      </c>
      <c r="E27" s="19">
        <v>99.2</v>
      </c>
      <c r="F27" s="19">
        <v>98.7</v>
      </c>
      <c r="G27" s="23">
        <v>99.2</v>
      </c>
      <c r="H27" s="19">
        <v>98.52</v>
      </c>
      <c r="I27" s="19">
        <v>99.2</v>
      </c>
      <c r="J27" s="19">
        <v>99.21</v>
      </c>
      <c r="K27" s="19">
        <v>99.31</v>
      </c>
      <c r="L27" s="9">
        <f t="shared" si="0"/>
        <v>99.085555555555558</v>
      </c>
      <c r="M27" s="21">
        <f t="shared" si="1"/>
        <v>0.25974821616802174</v>
      </c>
      <c r="N27" s="503"/>
      <c r="S27" s="2" t="str">
        <f>indeter_MI!B21</f>
        <v>Линейность</v>
      </c>
      <c r="T27" s="2">
        <f>indeter_MI!C21</f>
        <v>0.02</v>
      </c>
      <c r="U27" s="2" t="str">
        <f>indeter_MI!D21</f>
        <v>Прямоугольное</v>
      </c>
      <c r="V27" s="2">
        <f>indeter_MI!E21</f>
        <v>1.73</v>
      </c>
      <c r="W27" s="59">
        <f t="shared" si="5"/>
        <v>1.1560693641618498E-2</v>
      </c>
      <c r="X27" s="59">
        <f t="shared" si="4"/>
        <v>1.3364963747535837E-4</v>
      </c>
      <c r="Y27" s="120"/>
    </row>
    <row r="28" spans="1:25" ht="15" thickBot="1" x14ac:dyDescent="0.25">
      <c r="A28" s="120"/>
      <c r="B28" s="7">
        <v>26</v>
      </c>
      <c r="C28" s="18">
        <v>99.22</v>
      </c>
      <c r="D28" s="19">
        <v>99.21</v>
      </c>
      <c r="E28" s="19">
        <v>99.2</v>
      </c>
      <c r="F28" s="19">
        <v>98.59</v>
      </c>
      <c r="G28" s="23">
        <v>99.2</v>
      </c>
      <c r="H28" s="19">
        <v>98.48</v>
      </c>
      <c r="I28" s="19">
        <v>99.16</v>
      </c>
      <c r="J28" s="19">
        <v>99.21</v>
      </c>
      <c r="K28" s="19">
        <v>99.22</v>
      </c>
      <c r="L28" s="9">
        <f t="shared" si="0"/>
        <v>99.054444444444442</v>
      </c>
      <c r="M28" s="21">
        <f t="shared" si="1"/>
        <v>0.27936877703180368</v>
      </c>
      <c r="N28" s="503"/>
      <c r="S28" s="2" t="str">
        <f>indeter_MI!B22</f>
        <v>Разрешающая способность</v>
      </c>
      <c r="T28" s="2">
        <f>indeter_MI!C22</f>
        <v>0.01</v>
      </c>
      <c r="U28" s="2" t="str">
        <f>indeter_MI!D22</f>
        <v>Прямоугольное</v>
      </c>
      <c r="V28" s="2">
        <f>indeter_MI!E22</f>
        <v>1.73</v>
      </c>
      <c r="W28" s="59">
        <f t="shared" si="5"/>
        <v>5.7803468208092491E-3</v>
      </c>
      <c r="X28" s="59">
        <f t="shared" si="4"/>
        <v>3.3412409368839592E-5</v>
      </c>
      <c r="Y28" s="120"/>
    </row>
    <row r="29" spans="1:25" x14ac:dyDescent="0.2">
      <c r="A29" s="120"/>
      <c r="B29" s="6">
        <v>27</v>
      </c>
      <c r="C29" s="18">
        <v>99.22</v>
      </c>
      <c r="D29" s="19">
        <v>99.21</v>
      </c>
      <c r="E29" s="19">
        <v>99.2</v>
      </c>
      <c r="F29" s="19">
        <v>98.54</v>
      </c>
      <c r="G29" s="23">
        <v>99.2</v>
      </c>
      <c r="H29" s="19">
        <v>98.48</v>
      </c>
      <c r="I29" s="19">
        <v>99.14</v>
      </c>
      <c r="J29" s="19">
        <v>99.21</v>
      </c>
      <c r="K29" s="19">
        <v>99.22</v>
      </c>
      <c r="L29" s="9">
        <f t="shared" si="0"/>
        <v>99.046666666666681</v>
      </c>
      <c r="M29" s="21">
        <f t="shared" si="1"/>
        <v>0.288097205817756</v>
      </c>
      <c r="N29" s="503"/>
      <c r="S29" s="48" t="s">
        <v>21</v>
      </c>
      <c r="T29" s="49">
        <f>O22</f>
        <v>0.21599999999997976</v>
      </c>
      <c r="U29" s="49" t="s">
        <v>13</v>
      </c>
      <c r="V29" s="16">
        <v>1</v>
      </c>
      <c r="W29" s="60">
        <f>T29/V29</f>
        <v>0.21599999999997976</v>
      </c>
      <c r="X29" s="60">
        <f t="shared" si="4"/>
        <v>4.665599999999126E-2</v>
      </c>
      <c r="Y29" s="120"/>
    </row>
    <row r="30" spans="1:25" ht="15" thickBot="1" x14ac:dyDescent="0.25">
      <c r="A30" s="120"/>
      <c r="B30" s="7">
        <v>28</v>
      </c>
      <c r="C30" s="18">
        <v>99.21</v>
      </c>
      <c r="D30" s="19">
        <v>99.21</v>
      </c>
      <c r="E30" s="19">
        <v>99.2</v>
      </c>
      <c r="F30" s="19">
        <v>98.55</v>
      </c>
      <c r="G30" s="23">
        <v>99.18</v>
      </c>
      <c r="H30" s="19">
        <v>98.51</v>
      </c>
      <c r="I30" s="19">
        <v>99.12</v>
      </c>
      <c r="J30" s="19">
        <v>99.21</v>
      </c>
      <c r="K30" s="19">
        <v>99.23</v>
      </c>
      <c r="L30" s="9">
        <f t="shared" si="0"/>
        <v>99.046666666666681</v>
      </c>
      <c r="M30" s="21">
        <f t="shared" si="1"/>
        <v>0.27788886667555035</v>
      </c>
      <c r="N30" s="503"/>
      <c r="X30" s="56"/>
      <c r="Y30" s="120"/>
    </row>
    <row r="31" spans="1:25" ht="15" thickBot="1" x14ac:dyDescent="0.25">
      <c r="A31" s="120"/>
      <c r="B31" s="8">
        <v>29</v>
      </c>
      <c r="C31" s="18">
        <v>99.21</v>
      </c>
      <c r="D31" s="19">
        <v>99.21</v>
      </c>
      <c r="E31" s="19">
        <v>99.2</v>
      </c>
      <c r="F31" s="19">
        <v>98.55</v>
      </c>
      <c r="G31" s="23">
        <v>99.18</v>
      </c>
      <c r="H31" s="19">
        <v>98.54</v>
      </c>
      <c r="I31" s="19">
        <v>99.07</v>
      </c>
      <c r="J31" s="19">
        <v>99.21</v>
      </c>
      <c r="K31" s="19">
        <v>99.22</v>
      </c>
      <c r="L31" s="9">
        <f t="shared" si="0"/>
        <v>99.043333333333351</v>
      </c>
      <c r="M31" s="21">
        <f t="shared" si="1"/>
        <v>0.26981475126463922</v>
      </c>
      <c r="N31" s="503"/>
      <c r="S31" s="35" t="s">
        <v>22</v>
      </c>
      <c r="U31" s="41" t="s">
        <v>82</v>
      </c>
      <c r="V31" s="41"/>
      <c r="W31" s="41" t="s">
        <v>83</v>
      </c>
      <c r="X31" s="57"/>
      <c r="Y31" s="120"/>
    </row>
    <row r="32" spans="1:25" ht="15" thickBot="1" x14ac:dyDescent="0.25">
      <c r="A32" s="120"/>
      <c r="B32" s="8">
        <v>30</v>
      </c>
      <c r="C32" s="18">
        <v>99.21</v>
      </c>
      <c r="D32" s="19">
        <v>99.21</v>
      </c>
      <c r="E32" s="19">
        <v>99.2</v>
      </c>
      <c r="F32" s="19">
        <v>98.55</v>
      </c>
      <c r="G32" s="23">
        <v>99.18</v>
      </c>
      <c r="H32" s="19">
        <v>98.54</v>
      </c>
      <c r="I32" s="19">
        <v>99.07</v>
      </c>
      <c r="J32" s="19">
        <v>99.21</v>
      </c>
      <c r="K32" s="19">
        <v>99.22</v>
      </c>
      <c r="L32" s="9">
        <f t="shared" si="0"/>
        <v>99.043333333333351</v>
      </c>
      <c r="M32" s="21">
        <f t="shared" si="1"/>
        <v>0.26981475126463922</v>
      </c>
      <c r="N32" s="503"/>
      <c r="S32" s="42">
        <f>SUM(X22:X29)</f>
        <v>5.2831127802457099E-2</v>
      </c>
      <c r="V32" s="72">
        <f>SQRT(S32)</f>
        <v>0.22985022906766289</v>
      </c>
      <c r="W32" s="65"/>
      <c r="X32" s="72">
        <f>V32*2</f>
        <v>0.45970045813532578</v>
      </c>
      <c r="Y32" s="120"/>
    </row>
    <row r="33" spans="1:25" ht="19.5" thickBot="1" x14ac:dyDescent="0.4">
      <c r="A33" s="120"/>
      <c r="B33" s="93" t="s">
        <v>64</v>
      </c>
      <c r="C33" s="30">
        <f>AVERAGE(C3:C32)</f>
        <v>99.22233333333331</v>
      </c>
      <c r="D33" s="31">
        <f t="shared" ref="D33:K33" si="6">AVERAGE(D3:D32)</f>
        <v>99.215000000000018</v>
      </c>
      <c r="E33" s="31">
        <f t="shared" si="6"/>
        <v>99.206999999999951</v>
      </c>
      <c r="F33" s="31">
        <f t="shared" si="6"/>
        <v>99.057666666666691</v>
      </c>
      <c r="G33" s="31">
        <f t="shared" si="6"/>
        <v>99.204333333333295</v>
      </c>
      <c r="H33" s="31">
        <f t="shared" si="6"/>
        <v>98.994000000000014</v>
      </c>
      <c r="I33" s="31">
        <f t="shared" si="6"/>
        <v>99.191333333333333</v>
      </c>
      <c r="J33" s="31">
        <f t="shared" si="6"/>
        <v>99.215666666666692</v>
      </c>
      <c r="K33" s="31">
        <f t="shared" si="6"/>
        <v>99.236333333333292</v>
      </c>
      <c r="L33" s="167"/>
      <c r="M33" s="167"/>
      <c r="N33" s="503"/>
      <c r="S33" s="42">
        <f>ROUND(S32,8)</f>
        <v>5.2831129999999997E-2</v>
      </c>
      <c r="V33" s="72">
        <f>ROUND(V32,3)</f>
        <v>0.23</v>
      </c>
      <c r="W33" s="65"/>
      <c r="X33" s="72">
        <f>ROUND(X32,3)</f>
        <v>0.46</v>
      </c>
      <c r="Y33" s="120"/>
    </row>
    <row r="34" spans="1:25" ht="19.5" thickBot="1" x14ac:dyDescent="0.4">
      <c r="A34" s="120"/>
      <c r="B34" s="93" t="s">
        <v>39</v>
      </c>
      <c r="C34" s="27">
        <f>_xlfn.STDEV.P(C3:C32)</f>
        <v>6.1553951042096133E-3</v>
      </c>
      <c r="D34" s="22">
        <f t="shared" ref="D34:K34" si="7">_xlfn.STDEV.P(D3:D32)</f>
        <v>5.0000000000025562E-3</v>
      </c>
      <c r="E34" s="22">
        <f t="shared" si="7"/>
        <v>4.5825756949516719E-3</v>
      </c>
      <c r="F34" s="22">
        <f t="shared" si="7"/>
        <v>0.25321510399043728</v>
      </c>
      <c r="G34" s="22">
        <f t="shared" si="7"/>
        <v>9.1954094827512104E-3</v>
      </c>
      <c r="H34" s="22">
        <f t="shared" si="7"/>
        <v>0.29117692216245128</v>
      </c>
      <c r="I34" s="22">
        <f t="shared" si="7"/>
        <v>3.8706875645318981E-2</v>
      </c>
      <c r="J34" s="22">
        <f t="shared" si="7"/>
        <v>4.9553562491087026E-3</v>
      </c>
      <c r="K34" s="22">
        <f t="shared" si="7"/>
        <v>1.5595583420385598E-2</v>
      </c>
      <c r="L34" s="167"/>
      <c r="N34" s="503"/>
      <c r="S34" s="66"/>
      <c r="T34" s="66"/>
      <c r="U34" s="66"/>
      <c r="V34" s="66"/>
      <c r="W34" s="66"/>
      <c r="X34" s="66"/>
      <c r="Y34" s="124"/>
    </row>
    <row r="35" spans="1:25" ht="19.5" thickBot="1" x14ac:dyDescent="0.4">
      <c r="A35" s="120"/>
      <c r="B35" s="93" t="s">
        <v>65</v>
      </c>
      <c r="C35" s="11">
        <f>MAX(C3:C32)-C33</f>
        <v>7.6666666666937999E-3</v>
      </c>
      <c r="D35" s="12">
        <f t="shared" ref="D35:K35" si="8">MAX(D3:D32)-D33</f>
        <v>4.9999999999812417E-3</v>
      </c>
      <c r="E35" s="12">
        <f t="shared" si="8"/>
        <v>3.0000000000427463E-3</v>
      </c>
      <c r="F35" s="12">
        <f t="shared" si="8"/>
        <v>0.15233333333330279</v>
      </c>
      <c r="G35" s="24">
        <f t="shared" si="8"/>
        <v>5.6666666666984611E-3</v>
      </c>
      <c r="H35" s="12">
        <f t="shared" si="8"/>
        <v>0.21599999999997976</v>
      </c>
      <c r="I35" s="12">
        <f t="shared" si="8"/>
        <v>1.8666666666661058E-2</v>
      </c>
      <c r="J35" s="12">
        <f t="shared" si="8"/>
        <v>4.3333333333066548E-3</v>
      </c>
      <c r="K35" s="12">
        <f t="shared" si="8"/>
        <v>7.3666666666710512E-2</v>
      </c>
      <c r="N35" s="503"/>
      <c r="Y35" s="120"/>
    </row>
    <row r="36" spans="1:25" ht="19.5" thickBot="1" x14ac:dyDescent="0.4">
      <c r="A36" s="120"/>
      <c r="B36" s="93" t="s">
        <v>66</v>
      </c>
      <c r="C36" s="11">
        <f>C33-MIN(C3:C32)</f>
        <v>1.2333333333316432E-2</v>
      </c>
      <c r="D36" s="12">
        <f t="shared" ref="D36:K36" si="9">D33-MIN(D3:D32)</f>
        <v>5.0000000000238742E-3</v>
      </c>
      <c r="E36" s="12">
        <f t="shared" si="9"/>
        <v>6.9999999999481588E-3</v>
      </c>
      <c r="F36" s="12">
        <f t="shared" si="9"/>
        <v>0.5176666666666847</v>
      </c>
      <c r="G36" s="24">
        <f t="shared" si="9"/>
        <v>2.4333333333288465E-2</v>
      </c>
      <c r="H36" s="12">
        <f t="shared" si="9"/>
        <v>0.51400000000001</v>
      </c>
      <c r="I36" s="12">
        <f t="shared" si="9"/>
        <v>0.12133333333333951</v>
      </c>
      <c r="J36" s="12">
        <f t="shared" si="9"/>
        <v>5.6666666666984611E-3</v>
      </c>
      <c r="K36" s="12">
        <f t="shared" si="9"/>
        <v>1.6333333333292899E-2</v>
      </c>
      <c r="N36" s="503"/>
      <c r="Y36" s="120"/>
    </row>
    <row r="37" spans="1:25" ht="15.75" thickBot="1" x14ac:dyDescent="0.25">
      <c r="A37" s="120"/>
      <c r="B37" s="94" t="s">
        <v>37</v>
      </c>
      <c r="C37" s="14">
        <f>(C35+C36)/2</f>
        <v>1.0000000000005116E-2</v>
      </c>
      <c r="D37" s="15">
        <f t="shared" ref="D37:K37" si="10">(D35+D36)/2</f>
        <v>5.000000000002558E-3</v>
      </c>
      <c r="E37" s="15">
        <f t="shared" si="10"/>
        <v>4.9999999999954525E-3</v>
      </c>
      <c r="F37" s="15">
        <f t="shared" si="10"/>
        <v>0.33499999999999375</v>
      </c>
      <c r="G37" s="15">
        <f t="shared" si="10"/>
        <v>1.4999999999993463E-2</v>
      </c>
      <c r="H37" s="15">
        <f t="shared" si="10"/>
        <v>0.36499999999999488</v>
      </c>
      <c r="I37" s="15">
        <f t="shared" si="10"/>
        <v>7.0000000000000284E-2</v>
      </c>
      <c r="J37" s="15">
        <f t="shared" si="10"/>
        <v>5.000000000002558E-3</v>
      </c>
      <c r="K37" s="15">
        <f t="shared" si="10"/>
        <v>4.5000000000001705E-2</v>
      </c>
      <c r="N37" s="503"/>
      <c r="Y37" s="120"/>
    </row>
    <row r="38" spans="1:25" ht="19.5" thickBot="1" x14ac:dyDescent="0.4">
      <c r="A38" s="120"/>
      <c r="B38" s="95" t="s">
        <v>67</v>
      </c>
      <c r="C38" s="43">
        <f>C33-$G33</f>
        <v>1.8000000000014893E-2</v>
      </c>
      <c r="D38" s="13">
        <f t="shared" ref="D38:K38" si="11">D33-$G33</f>
        <v>1.0666666666722335E-2</v>
      </c>
      <c r="E38" s="13">
        <f t="shared" si="11"/>
        <v>2.6666666666557148E-3</v>
      </c>
      <c r="F38" s="13">
        <f t="shared" si="11"/>
        <v>-0.14666666666660433</v>
      </c>
      <c r="G38" s="13">
        <f>G33-$G33</f>
        <v>0</v>
      </c>
      <c r="H38" s="13">
        <f t="shared" si="11"/>
        <v>-0.2103333333332813</v>
      </c>
      <c r="I38" s="13">
        <f t="shared" si="11"/>
        <v>-1.2999999999962597E-2</v>
      </c>
      <c r="J38" s="13">
        <f t="shared" si="11"/>
        <v>1.1333333333396922E-2</v>
      </c>
      <c r="K38" s="13">
        <f t="shared" si="11"/>
        <v>3.1999999999996476E-2</v>
      </c>
      <c r="N38" s="503"/>
      <c r="Y38" s="120"/>
    </row>
    <row r="39" spans="1:25" ht="18.75" x14ac:dyDescent="0.35">
      <c r="A39" s="120"/>
      <c r="B39" s="99" t="s">
        <v>68</v>
      </c>
      <c r="C39" s="45">
        <v>98</v>
      </c>
      <c r="N39" s="503"/>
      <c r="Y39" s="120"/>
    </row>
    <row r="40" spans="1:25" ht="18.75" x14ac:dyDescent="0.2">
      <c r="A40" s="120"/>
      <c r="B40" s="100" t="s">
        <v>69</v>
      </c>
      <c r="C40" s="44">
        <f>AVERAGE(C3:K32)</f>
        <v>99.171518518518354</v>
      </c>
      <c r="N40" s="503"/>
      <c r="Y40" s="120"/>
    </row>
    <row r="41" spans="1:25" s="167" customFormat="1" ht="18.75" x14ac:dyDescent="0.2">
      <c r="A41" s="120"/>
      <c r="B41" s="101" t="s">
        <v>70</v>
      </c>
      <c r="C41" s="28">
        <f>C40-C39</f>
        <v>1.1715185185183543</v>
      </c>
      <c r="N41" s="503"/>
      <c r="Y41" s="120"/>
    </row>
    <row r="42" spans="1:25" ht="18.75" x14ac:dyDescent="0.2">
      <c r="A42" s="120"/>
      <c r="B42" s="102" t="s">
        <v>71</v>
      </c>
      <c r="C42" s="29">
        <f>MAX(C33:K33)-MIN(C33:K33)</f>
        <v>0.24233333333327778</v>
      </c>
      <c r="N42" s="503"/>
      <c r="Y42" s="120"/>
    </row>
    <row r="43" spans="1:25" ht="18.75" x14ac:dyDescent="0.2">
      <c r="A43" s="120"/>
      <c r="B43" s="103" t="s">
        <v>72</v>
      </c>
      <c r="C43" s="32">
        <f>MAX(C38:K38)</f>
        <v>3.1999999999996476E-2</v>
      </c>
      <c r="N43" s="503"/>
      <c r="Y43" s="120"/>
    </row>
    <row r="44" spans="1:25" x14ac:dyDescent="0.2">
      <c r="A44" s="120"/>
      <c r="B44" s="104"/>
      <c r="C44" s="32">
        <f>MIN(C38:K38)</f>
        <v>-0.2103333333332813</v>
      </c>
      <c r="D44" s="65"/>
      <c r="N44" s="503"/>
      <c r="Y44" s="120"/>
    </row>
    <row r="45" spans="1:25" ht="18.75" x14ac:dyDescent="0.2">
      <c r="A45" s="120"/>
      <c r="B45" s="105" t="s">
        <v>50</v>
      </c>
      <c r="C45" s="33">
        <f>AVERAGE(C37:K37)</f>
        <v>9.4999999999998863E-2</v>
      </c>
      <c r="N45" s="503"/>
      <c r="Y45" s="120"/>
    </row>
    <row r="46" spans="1:25" ht="18.75" x14ac:dyDescent="0.35">
      <c r="A46" s="120"/>
      <c r="B46" s="180" t="s">
        <v>259</v>
      </c>
      <c r="C46" s="181">
        <f>_xlfn.STDEV.P(C3:K32)</f>
        <v>0.15226533137436651</v>
      </c>
      <c r="N46" s="503"/>
      <c r="Y46" s="120"/>
    </row>
    <row r="47" spans="1:25" x14ac:dyDescent="0.2">
      <c r="A47" s="120"/>
      <c r="B47" s="120"/>
      <c r="C47" s="120"/>
      <c r="D47" s="120"/>
      <c r="E47" s="120"/>
      <c r="F47" s="120"/>
      <c r="G47" s="120"/>
      <c r="H47" s="120"/>
      <c r="I47" s="120"/>
      <c r="J47" s="120"/>
      <c r="K47" s="120"/>
      <c r="L47" s="120"/>
      <c r="M47" s="120"/>
      <c r="N47" s="120"/>
      <c r="O47" s="120"/>
      <c r="P47" s="120"/>
      <c r="Q47" s="120"/>
      <c r="R47" s="120"/>
      <c r="S47" s="120"/>
      <c r="T47" s="120"/>
      <c r="U47" s="120"/>
      <c r="V47" s="120"/>
      <c r="W47" s="120"/>
      <c r="X47" s="120"/>
      <c r="Y47" s="120"/>
    </row>
    <row r="48" spans="1:25" ht="15" thickBot="1" x14ac:dyDescent="0.25">
      <c r="A48" s="123"/>
      <c r="B48" s="123"/>
      <c r="C48" s="123"/>
      <c r="D48" s="123"/>
      <c r="E48" s="123"/>
      <c r="F48" s="123"/>
      <c r="G48" s="123"/>
      <c r="H48" s="123"/>
      <c r="I48" s="123"/>
      <c r="J48" s="123"/>
      <c r="K48" s="123"/>
      <c r="L48" s="123"/>
      <c r="M48" s="123"/>
      <c r="N48" s="123"/>
      <c r="O48" s="123" t="s">
        <v>6</v>
      </c>
      <c r="P48" s="123"/>
      <c r="Q48" s="123"/>
      <c r="R48" s="123"/>
      <c r="S48" s="123"/>
      <c r="T48" s="123"/>
      <c r="U48" s="123"/>
      <c r="V48" s="123"/>
      <c r="W48" s="123"/>
      <c r="X48" s="123"/>
      <c r="Y48" s="123"/>
    </row>
    <row r="49" spans="1:25" ht="19.5" thickBot="1" x14ac:dyDescent="0.3">
      <c r="A49" s="123"/>
      <c r="B49" s="121" t="s">
        <v>31</v>
      </c>
      <c r="C49" s="3">
        <v>1</v>
      </c>
      <c r="D49" s="3">
        <v>2</v>
      </c>
      <c r="E49" s="3">
        <v>3</v>
      </c>
      <c r="F49" s="3">
        <v>4</v>
      </c>
      <c r="G49" s="4">
        <v>5</v>
      </c>
      <c r="H49" s="3">
        <v>6</v>
      </c>
      <c r="I49" s="3">
        <v>7</v>
      </c>
      <c r="J49" s="3">
        <v>8</v>
      </c>
      <c r="K49" s="5">
        <v>9</v>
      </c>
      <c r="L49" s="1" t="s">
        <v>1</v>
      </c>
      <c r="M49" s="183" t="s">
        <v>260</v>
      </c>
      <c r="N49" s="501" t="s">
        <v>85</v>
      </c>
      <c r="O49" s="47" t="s">
        <v>24</v>
      </c>
      <c r="Y49" s="123"/>
    </row>
    <row r="50" spans="1:25" x14ac:dyDescent="0.2">
      <c r="A50" s="123"/>
      <c r="B50" s="6">
        <v>1</v>
      </c>
      <c r="C50" s="68">
        <v>39.69003</v>
      </c>
      <c r="D50" s="9">
        <v>39.890059999999998</v>
      </c>
      <c r="E50" s="9">
        <v>39.800939999999997</v>
      </c>
      <c r="F50" s="9">
        <v>40.029969999999999</v>
      </c>
      <c r="G50" s="67">
        <v>39.7866</v>
      </c>
      <c r="H50" s="9">
        <v>39.702770000000001</v>
      </c>
      <c r="I50" s="9">
        <v>39.728859999999997</v>
      </c>
      <c r="J50" s="9">
        <v>39.519660000000002</v>
      </c>
      <c r="K50" s="9">
        <v>39.863959999999999</v>
      </c>
      <c r="L50" s="9">
        <f>AVERAGE(C50:K50)</f>
        <v>39.779205555555556</v>
      </c>
      <c r="M50" s="73">
        <f>_xlfn.STDEV.P(C50:K50)</f>
        <v>0.13604539210711991</v>
      </c>
      <c r="N50" s="502"/>
      <c r="O50" t="s">
        <v>4</v>
      </c>
      <c r="S50" s="2" t="s">
        <v>7</v>
      </c>
      <c r="T50" s="2" t="s">
        <v>8</v>
      </c>
      <c r="U50" s="2" t="s">
        <v>9</v>
      </c>
      <c r="V50" s="2" t="s">
        <v>10</v>
      </c>
      <c r="W50" s="41" t="s">
        <v>11</v>
      </c>
      <c r="X50" s="46" t="s">
        <v>12</v>
      </c>
      <c r="Y50" s="123"/>
    </row>
    <row r="51" spans="1:25" ht="15" thickBot="1" x14ac:dyDescent="0.25">
      <c r="A51" s="123"/>
      <c r="B51" s="7">
        <v>2</v>
      </c>
      <c r="C51" s="68">
        <v>39.681750000000001</v>
      </c>
      <c r="D51" s="9">
        <v>39.884929999999997</v>
      </c>
      <c r="E51" s="9">
        <v>39.797649999999997</v>
      </c>
      <c r="F51" s="9">
        <v>40.025069999999999</v>
      </c>
      <c r="G51" s="67">
        <v>39.777160000000002</v>
      </c>
      <c r="H51" s="9">
        <v>39.693420000000003</v>
      </c>
      <c r="I51" s="9">
        <v>39.72146</v>
      </c>
      <c r="J51" s="9">
        <v>39.514279999999999</v>
      </c>
      <c r="K51" s="9">
        <v>39.856560000000002</v>
      </c>
      <c r="L51" s="9">
        <f t="shared" ref="L51:L79" si="12">AVERAGE(C51:K51)</f>
        <v>39.772475555555552</v>
      </c>
      <c r="M51" s="21">
        <f t="shared" ref="M51:M79" si="13">_xlfn.STDEV.P(C51:K51)</f>
        <v>0.13659521913799874</v>
      </c>
      <c r="N51" s="502"/>
      <c r="O51" s="17">
        <f>AVERAGE(C81:K81)</f>
        <v>6.2514709150153147E-3</v>
      </c>
      <c r="S51" s="2" t="str">
        <f>indeter_MI!B16</f>
        <v>Поверка</v>
      </c>
      <c r="T51" s="2">
        <f>indeter_MI!C16</f>
        <v>0.1</v>
      </c>
      <c r="U51" s="2" t="str">
        <f>indeter_MI!D16</f>
        <v>Нормальное</v>
      </c>
      <c r="V51" s="2">
        <f>indeter_MI!E16</f>
        <v>2</v>
      </c>
      <c r="W51" s="59">
        <f>T51/V51</f>
        <v>0.05</v>
      </c>
      <c r="X51" s="52">
        <f t="shared" ref="X51:X56" si="14">W51*W51</f>
        <v>2.5000000000000005E-3</v>
      </c>
      <c r="Y51" s="123"/>
    </row>
    <row r="52" spans="1:25" x14ac:dyDescent="0.2">
      <c r="A52" s="123"/>
      <c r="B52" s="6">
        <v>3</v>
      </c>
      <c r="C52" s="68">
        <v>39.674460000000003</v>
      </c>
      <c r="D52" s="9">
        <v>39.876220000000004</v>
      </c>
      <c r="E52" s="9">
        <v>39.790990000000001</v>
      </c>
      <c r="F52" s="9">
        <v>40.015439999999998</v>
      </c>
      <c r="G52" s="67">
        <v>39.765549999999998</v>
      </c>
      <c r="H52" s="9">
        <v>39.684570000000001</v>
      </c>
      <c r="I52" s="9">
        <v>39.711449999999999</v>
      </c>
      <c r="J52" s="9">
        <v>39.508580000000002</v>
      </c>
      <c r="K52" s="9">
        <v>39.849730000000001</v>
      </c>
      <c r="L52" s="9">
        <f t="shared" si="12"/>
        <v>39.764109999999995</v>
      </c>
      <c r="M52" s="21">
        <f t="shared" si="13"/>
        <v>0.13590160002328416</v>
      </c>
      <c r="N52" s="502"/>
      <c r="O52" t="s">
        <v>5</v>
      </c>
      <c r="S52" s="2" t="str">
        <f>indeter_MI!B17</f>
        <v>Повторяемость*</v>
      </c>
      <c r="T52" s="2">
        <f>indeter_MI!C17</f>
        <v>0.01</v>
      </c>
      <c r="U52" s="2" t="str">
        <f>indeter_MI!D17</f>
        <v>Нормальное</v>
      </c>
      <c r="V52" s="2">
        <f>indeter_MI!E17</f>
        <v>1</v>
      </c>
      <c r="W52" s="59">
        <f t="shared" ref="W52:W60" si="15">T52/V52</f>
        <v>0.01</v>
      </c>
      <c r="X52" s="52">
        <f t="shared" si="14"/>
        <v>1E-4</v>
      </c>
      <c r="Y52" s="123"/>
    </row>
    <row r="53" spans="1:25" ht="15" thickBot="1" x14ac:dyDescent="0.25">
      <c r="A53" s="123"/>
      <c r="B53" s="7">
        <v>4</v>
      </c>
      <c r="C53" s="68">
        <v>39.672179999999997</v>
      </c>
      <c r="D53" s="9">
        <v>39.870190000000001</v>
      </c>
      <c r="E53" s="9">
        <v>39.786540000000002</v>
      </c>
      <c r="F53" s="9">
        <v>40.011139999999997</v>
      </c>
      <c r="G53" s="67">
        <v>39.761249999999997</v>
      </c>
      <c r="H53" s="9">
        <v>39.679839999999999</v>
      </c>
      <c r="I53" s="9">
        <v>39.706609999999998</v>
      </c>
      <c r="J53" s="9">
        <v>39.504309999999997</v>
      </c>
      <c r="K53" s="9">
        <v>39.84554</v>
      </c>
      <c r="L53" s="9">
        <f t="shared" si="12"/>
        <v>39.75973333333333</v>
      </c>
      <c r="M53" s="21">
        <f t="shared" si="13"/>
        <v>0.1356471597769586</v>
      </c>
      <c r="N53" s="502"/>
      <c r="O53" s="17">
        <f>O51/(SQRT(270))</f>
        <v>3.8045240419348324E-4</v>
      </c>
      <c r="S53" s="2" t="str">
        <f>indeter_MI!B18</f>
        <v>Гистерезис</v>
      </c>
      <c r="T53" s="2">
        <f>indeter_MI!C18</f>
        <v>0.01</v>
      </c>
      <c r="U53" s="2" t="str">
        <f>indeter_MI!D18</f>
        <v>Прямоугольное</v>
      </c>
      <c r="V53" s="2">
        <f>indeter_MI!E18</f>
        <v>1.73</v>
      </c>
      <c r="W53" s="59">
        <f t="shared" si="15"/>
        <v>5.7803468208092491E-3</v>
      </c>
      <c r="X53" s="52">
        <f t="shared" si="14"/>
        <v>3.3412409368839592E-5</v>
      </c>
      <c r="Y53" s="123"/>
    </row>
    <row r="54" spans="1:25" x14ac:dyDescent="0.2">
      <c r="A54" s="123"/>
      <c r="B54" s="6">
        <v>5</v>
      </c>
      <c r="C54" s="68">
        <v>39.670569999999998</v>
      </c>
      <c r="D54" s="9">
        <v>39.868899999999996</v>
      </c>
      <c r="E54" s="9">
        <v>39.783459999999998</v>
      </c>
      <c r="F54" s="9">
        <v>40.008620000000001</v>
      </c>
      <c r="G54" s="67">
        <v>39.760420000000003</v>
      </c>
      <c r="H54" s="9">
        <v>39.680489999999999</v>
      </c>
      <c r="I54" s="9">
        <v>39.70449</v>
      </c>
      <c r="J54" s="9">
        <v>39.502130000000001</v>
      </c>
      <c r="K54" s="9">
        <v>39.844569999999997</v>
      </c>
      <c r="L54" s="9">
        <f t="shared" si="12"/>
        <v>39.758183333333335</v>
      </c>
      <c r="M54" s="21">
        <f t="shared" si="13"/>
        <v>0.13549985928651936</v>
      </c>
      <c r="N54" s="502"/>
      <c r="S54" s="2" t="str">
        <f>indeter_MI!B19</f>
        <v>Влияние температуры</v>
      </c>
      <c r="T54" s="2">
        <f>indeter_MI!C19</f>
        <v>0.01</v>
      </c>
      <c r="U54" s="2" t="str">
        <f>indeter_MI!D19</f>
        <v>Прямоугольное</v>
      </c>
      <c r="V54" s="2">
        <f>indeter_MI!E19</f>
        <v>1.73</v>
      </c>
      <c r="W54" s="59">
        <f t="shared" si="15"/>
        <v>5.7803468208092491E-3</v>
      </c>
      <c r="X54" s="52">
        <f t="shared" si="14"/>
        <v>3.3412409368839592E-5</v>
      </c>
      <c r="Y54" s="123"/>
    </row>
    <row r="55" spans="1:25" ht="15" thickBot="1" x14ac:dyDescent="0.25">
      <c r="A55" s="123"/>
      <c r="B55" s="7">
        <v>6</v>
      </c>
      <c r="C55" s="68">
        <v>39.669589999999999</v>
      </c>
      <c r="D55" s="9">
        <v>39.870109999999997</v>
      </c>
      <c r="E55" s="9">
        <v>39.783029999999997</v>
      </c>
      <c r="F55" s="9">
        <v>40.005470000000003</v>
      </c>
      <c r="G55" s="67">
        <v>39.760249999999999</v>
      </c>
      <c r="H55" s="9">
        <v>39.679079999999999</v>
      </c>
      <c r="I55" s="9">
        <v>39.703200000000002</v>
      </c>
      <c r="J55" s="9">
        <v>39.500999999999998</v>
      </c>
      <c r="K55" s="9">
        <v>39.843069999999997</v>
      </c>
      <c r="L55" s="9">
        <f t="shared" si="12"/>
        <v>39.75719999999999</v>
      </c>
      <c r="M55" s="21">
        <f t="shared" si="13"/>
        <v>0.13530603000441507</v>
      </c>
      <c r="N55" s="502"/>
      <c r="S55" s="2" t="str">
        <f>indeter_MI!B20</f>
        <v>Дрейф*</v>
      </c>
      <c r="T55" s="2">
        <f>indeter_MI!C20</f>
        <v>0.1</v>
      </c>
      <c r="U55" s="2" t="str">
        <f>indeter_MI!D20</f>
        <v>Прямоугольное</v>
      </c>
      <c r="V55" s="2">
        <f>indeter_MI!E20</f>
        <v>1.73</v>
      </c>
      <c r="W55" s="59">
        <f t="shared" si="15"/>
        <v>5.7803468208092491E-2</v>
      </c>
      <c r="X55" s="52">
        <f t="shared" si="14"/>
        <v>3.3412409368839594E-3</v>
      </c>
      <c r="Y55" s="123"/>
    </row>
    <row r="56" spans="1:25" x14ac:dyDescent="0.2">
      <c r="A56" s="123"/>
      <c r="B56" s="6">
        <v>7</v>
      </c>
      <c r="C56" s="68">
        <v>39.673169999999999</v>
      </c>
      <c r="D56" s="9">
        <v>39.873399999999997</v>
      </c>
      <c r="E56" s="9">
        <v>39.782539999999997</v>
      </c>
      <c r="F56" s="9">
        <v>40.00703</v>
      </c>
      <c r="G56" s="67">
        <v>39.76238</v>
      </c>
      <c r="H56" s="9">
        <v>39.683059999999998</v>
      </c>
      <c r="I56" s="9">
        <v>39.708100000000002</v>
      </c>
      <c r="J56" s="9">
        <v>39.504710000000003</v>
      </c>
      <c r="K56" s="9">
        <v>39.846530000000001</v>
      </c>
      <c r="L56" s="9">
        <f t="shared" si="12"/>
        <v>39.760102222222223</v>
      </c>
      <c r="M56" s="21">
        <f t="shared" si="13"/>
        <v>0.13466429468024632</v>
      </c>
      <c r="N56" s="502"/>
      <c r="O56" s="2" t="s">
        <v>0</v>
      </c>
      <c r="P56" s="2" t="s">
        <v>2</v>
      </c>
      <c r="Q56" s="2" t="s">
        <v>3</v>
      </c>
      <c r="S56" s="2" t="str">
        <f>indeter_MI!B21</f>
        <v>Линейность</v>
      </c>
      <c r="T56" s="2">
        <f>indeter_MI!C21</f>
        <v>0.02</v>
      </c>
      <c r="U56" s="2" t="str">
        <f>indeter_MI!D21</f>
        <v>Прямоугольное</v>
      </c>
      <c r="V56" s="2">
        <f>indeter_MI!E21</f>
        <v>1.73</v>
      </c>
      <c r="W56" s="59">
        <f t="shared" si="15"/>
        <v>1.1560693641618498E-2</v>
      </c>
      <c r="X56" s="52">
        <f t="shared" si="14"/>
        <v>1.3364963747535837E-4</v>
      </c>
      <c r="Y56" s="123"/>
    </row>
    <row r="57" spans="1:25" ht="15" thickBot="1" x14ac:dyDescent="0.25">
      <c r="A57" s="123"/>
      <c r="B57" s="7">
        <v>8</v>
      </c>
      <c r="C57" s="68">
        <v>39.676960000000001</v>
      </c>
      <c r="D57" s="9">
        <v>39.87426</v>
      </c>
      <c r="E57" s="9">
        <v>39.785069999999997</v>
      </c>
      <c r="F57" s="9">
        <v>40.015099999999997</v>
      </c>
      <c r="G57" s="67">
        <v>39.768030000000003</v>
      </c>
      <c r="H57" s="9">
        <v>39.687869999999997</v>
      </c>
      <c r="I57" s="9">
        <v>39.712510000000002</v>
      </c>
      <c r="J57" s="9">
        <v>39.506239999999998</v>
      </c>
      <c r="K57" s="9">
        <v>39.849550000000001</v>
      </c>
      <c r="L57" s="9">
        <f t="shared" si="12"/>
        <v>39.763954444444444</v>
      </c>
      <c r="M57" s="21">
        <f t="shared" si="13"/>
        <v>0.13558540704098307</v>
      </c>
      <c r="N57" s="502"/>
      <c r="O57" s="38">
        <f>MAX(M50:M79)</f>
        <v>0.13765721558447</v>
      </c>
      <c r="P57" s="51">
        <f>MAX(C81:K81)</f>
        <v>9.2428604338699646E-3</v>
      </c>
      <c r="Q57" s="50">
        <f>O53</f>
        <v>3.8045240419348324E-4</v>
      </c>
      <c r="S57" s="2" t="str">
        <f>indeter_MI!B22</f>
        <v>Разрешающая способность</v>
      </c>
      <c r="T57" s="2">
        <f>indeter_MI!C22</f>
        <v>0.01</v>
      </c>
      <c r="U57" s="2" t="str">
        <f>indeter_MI!D22</f>
        <v>Прямоугольное</v>
      </c>
      <c r="V57" s="2">
        <f>indeter_MI!E22</f>
        <v>1.73</v>
      </c>
      <c r="W57" s="59">
        <f t="shared" si="15"/>
        <v>5.7803468208092491E-3</v>
      </c>
      <c r="X57" s="52">
        <f>W57*W57</f>
        <v>3.3412409368839592E-5</v>
      </c>
      <c r="Y57" s="123"/>
    </row>
    <row r="58" spans="1:25" x14ac:dyDescent="0.2">
      <c r="A58" s="123"/>
      <c r="B58" s="6">
        <v>9</v>
      </c>
      <c r="C58" s="68">
        <v>39.677930000000003</v>
      </c>
      <c r="D58" s="9">
        <v>39.87574</v>
      </c>
      <c r="E58" s="9">
        <v>39.787039999999998</v>
      </c>
      <c r="F58" s="9">
        <v>40.018030000000003</v>
      </c>
      <c r="G58" s="67">
        <v>39.770040000000002</v>
      </c>
      <c r="H58" s="9">
        <v>39.689169999999997</v>
      </c>
      <c r="I58" s="9">
        <v>39.711649999999999</v>
      </c>
      <c r="J58" s="9">
        <v>39.508800000000001</v>
      </c>
      <c r="K58" s="9">
        <v>39.849629999999998</v>
      </c>
      <c r="L58" s="9">
        <f t="shared" si="12"/>
        <v>39.76533666666667</v>
      </c>
      <c r="M58" s="21">
        <f t="shared" si="13"/>
        <v>0.13571864065861514</v>
      </c>
      <c r="N58" s="502"/>
      <c r="S58" s="36" t="s">
        <v>0</v>
      </c>
      <c r="T58" s="37">
        <f>O57</f>
        <v>0.13765721558447</v>
      </c>
      <c r="U58" s="36" t="s">
        <v>13</v>
      </c>
      <c r="V58" s="21">
        <v>1</v>
      </c>
      <c r="W58" s="61">
        <f t="shared" si="15"/>
        <v>0.13765721558447</v>
      </c>
      <c r="X58" s="53">
        <f>W58*W58</f>
        <v>1.894950900246925E-2</v>
      </c>
      <c r="Y58" s="123"/>
    </row>
    <row r="59" spans="1:25" ht="15" thickBot="1" x14ac:dyDescent="0.25">
      <c r="A59" s="123"/>
      <c r="B59" s="7">
        <v>10</v>
      </c>
      <c r="C59" s="68">
        <v>39.677720000000001</v>
      </c>
      <c r="D59" s="9">
        <v>39.877400000000002</v>
      </c>
      <c r="E59" s="9">
        <v>39.79</v>
      </c>
      <c r="F59" s="9">
        <v>40.020339999999997</v>
      </c>
      <c r="G59" s="67">
        <v>39.769390000000001</v>
      </c>
      <c r="H59" s="9">
        <v>39.69126</v>
      </c>
      <c r="I59" s="9">
        <v>39.715809999999998</v>
      </c>
      <c r="J59" s="9">
        <v>39.509979999999999</v>
      </c>
      <c r="K59" s="9">
        <v>39.852119999999999</v>
      </c>
      <c r="L59" s="9">
        <f t="shared" si="12"/>
        <v>39.767113333333334</v>
      </c>
      <c r="M59" s="21">
        <f t="shared" si="13"/>
        <v>0.13602960829662522</v>
      </c>
      <c r="N59" s="502"/>
      <c r="S59" s="26" t="s">
        <v>21</v>
      </c>
      <c r="T59" s="39">
        <f>P57</f>
        <v>9.2428604338699646E-3</v>
      </c>
      <c r="U59" s="26" t="s">
        <v>13</v>
      </c>
      <c r="V59" s="22">
        <v>1</v>
      </c>
      <c r="W59" s="60">
        <f t="shared" si="15"/>
        <v>9.2428604338699646E-3</v>
      </c>
      <c r="X59" s="54">
        <f>W59*W59</f>
        <v>8.5430468999998872E-5</v>
      </c>
      <c r="Y59" s="123"/>
    </row>
    <row r="60" spans="1:25" x14ac:dyDescent="0.2">
      <c r="A60" s="123"/>
      <c r="B60" s="6">
        <v>11</v>
      </c>
      <c r="C60" s="68">
        <v>39.672899999999998</v>
      </c>
      <c r="D60" s="9">
        <v>39.873179999999998</v>
      </c>
      <c r="E60" s="9">
        <v>39.788400000000003</v>
      </c>
      <c r="F60" s="9">
        <v>40.019829999999999</v>
      </c>
      <c r="G60" s="67">
        <v>39.764180000000003</v>
      </c>
      <c r="H60" s="9">
        <v>39.687390000000001</v>
      </c>
      <c r="I60" s="9">
        <v>39.713039999999999</v>
      </c>
      <c r="J60" s="9">
        <v>39.506</v>
      </c>
      <c r="K60" s="9">
        <v>39.847990000000003</v>
      </c>
      <c r="L60" s="9">
        <f t="shared" si="12"/>
        <v>39.763656666666662</v>
      </c>
      <c r="M60" s="21">
        <f t="shared" si="13"/>
        <v>0.1367670918020851</v>
      </c>
      <c r="N60" s="502"/>
      <c r="S60" s="25" t="s">
        <v>3</v>
      </c>
      <c r="T60" s="40">
        <f>Q57</f>
        <v>3.8045240419348324E-4</v>
      </c>
      <c r="U60" s="25" t="s">
        <v>13</v>
      </c>
      <c r="V60" s="17">
        <v>1</v>
      </c>
      <c r="W60" s="62">
        <f t="shared" si="15"/>
        <v>3.8045240419348324E-4</v>
      </c>
      <c r="X60" s="55">
        <f>W60*W60</f>
        <v>1.4474403185660156E-7</v>
      </c>
      <c r="Y60" s="123"/>
    </row>
    <row r="61" spans="1:25" ht="15" thickBot="1" x14ac:dyDescent="0.25">
      <c r="A61" s="123"/>
      <c r="B61" s="7">
        <v>12</v>
      </c>
      <c r="C61" s="68">
        <v>39.667740000000002</v>
      </c>
      <c r="D61" s="9">
        <v>39.870519999999999</v>
      </c>
      <c r="E61" s="9">
        <v>39.78434</v>
      </c>
      <c r="F61" s="9">
        <v>40.013300000000001</v>
      </c>
      <c r="G61" s="67">
        <v>39.752510000000001</v>
      </c>
      <c r="H61" s="9">
        <v>39.681019999999997</v>
      </c>
      <c r="I61" s="9">
        <v>39.703629999999997</v>
      </c>
      <c r="J61" s="9">
        <v>39.50047</v>
      </c>
      <c r="K61" s="9">
        <v>39.844889999999999</v>
      </c>
      <c r="L61" s="9">
        <f t="shared" si="12"/>
        <v>39.757602222222225</v>
      </c>
      <c r="M61" s="21">
        <f t="shared" si="13"/>
        <v>0.13721913130122129</v>
      </c>
      <c r="N61" s="502"/>
      <c r="W61" s="56"/>
      <c r="X61" s="56"/>
      <c r="Y61" s="123"/>
    </row>
    <row r="62" spans="1:25" x14ac:dyDescent="0.2">
      <c r="A62" s="123"/>
      <c r="B62" s="6">
        <v>13</v>
      </c>
      <c r="C62" s="68">
        <v>39.674410000000002</v>
      </c>
      <c r="D62" s="9">
        <v>39.87697</v>
      </c>
      <c r="E62" s="9">
        <v>39.78031</v>
      </c>
      <c r="F62" s="9">
        <v>40.012999999999998</v>
      </c>
      <c r="G62" s="67">
        <v>39.751730000000002</v>
      </c>
      <c r="H62" s="9">
        <v>39.683219999999999</v>
      </c>
      <c r="I62" s="9">
        <v>39.707880000000003</v>
      </c>
      <c r="J62" s="9">
        <v>39.503399999999999</v>
      </c>
      <c r="K62" s="9">
        <v>39.850299999999997</v>
      </c>
      <c r="L62" s="9">
        <f t="shared" si="12"/>
        <v>39.760135555555557</v>
      </c>
      <c r="M62" s="21">
        <f t="shared" si="13"/>
        <v>0.13666937616103597</v>
      </c>
      <c r="N62" s="502"/>
      <c r="S62" s="35" t="s">
        <v>22</v>
      </c>
      <c r="U62" s="41" t="s">
        <v>82</v>
      </c>
      <c r="V62" s="41"/>
      <c r="W62" s="57" t="s">
        <v>83</v>
      </c>
      <c r="X62" s="57"/>
      <c r="Y62" s="123"/>
    </row>
    <row r="63" spans="1:25" ht="15" thickBot="1" x14ac:dyDescent="0.25">
      <c r="A63" s="123"/>
      <c r="B63" s="7">
        <v>14</v>
      </c>
      <c r="C63" s="68">
        <v>39.679380000000002</v>
      </c>
      <c r="D63" s="9">
        <v>39.882129999999997</v>
      </c>
      <c r="E63" s="9">
        <v>39.786169999999998</v>
      </c>
      <c r="F63" s="9">
        <v>40.019390000000001</v>
      </c>
      <c r="G63" s="67">
        <v>39.765659999999997</v>
      </c>
      <c r="H63" s="9">
        <v>39.692070000000001</v>
      </c>
      <c r="I63" s="9">
        <v>39.714840000000002</v>
      </c>
      <c r="J63" s="9">
        <v>39.509169999999997</v>
      </c>
      <c r="K63" s="9">
        <v>39.852939999999997</v>
      </c>
      <c r="L63" s="9">
        <f t="shared" si="12"/>
        <v>39.766861111111112</v>
      </c>
      <c r="M63" s="21">
        <f t="shared" si="13"/>
        <v>0.13629998259105158</v>
      </c>
      <c r="N63" s="502"/>
      <c r="S63" s="42">
        <f>SUM(X51:X60)</f>
        <v>2.5210212017966943E-2</v>
      </c>
      <c r="V63" s="72">
        <f>SQRT(S63)</f>
        <v>0.1587772402391695</v>
      </c>
      <c r="W63" s="65"/>
      <c r="X63" s="72">
        <f>V63*2</f>
        <v>0.31755448047833901</v>
      </c>
      <c r="Y63" s="123"/>
    </row>
    <row r="64" spans="1:25" x14ac:dyDescent="0.2">
      <c r="A64" s="123"/>
      <c r="B64" s="6">
        <v>15</v>
      </c>
      <c r="C64" s="68">
        <v>39.685670000000002</v>
      </c>
      <c r="D64" s="9">
        <v>39.887729999999998</v>
      </c>
      <c r="E64" s="9">
        <v>39.790019999999998</v>
      </c>
      <c r="F64" s="9">
        <v>40.023159999999997</v>
      </c>
      <c r="G64" s="67">
        <v>39.777250000000002</v>
      </c>
      <c r="H64" s="9">
        <v>39.698569999999997</v>
      </c>
      <c r="I64" s="9">
        <v>39.720739999999999</v>
      </c>
      <c r="J64" s="9">
        <v>39.514740000000003</v>
      </c>
      <c r="K64" s="9">
        <v>39.85839</v>
      </c>
      <c r="L64" s="9">
        <f t="shared" si="12"/>
        <v>39.772918888888881</v>
      </c>
      <c r="M64" s="21">
        <f t="shared" si="13"/>
        <v>0.13578488841173481</v>
      </c>
      <c r="N64" s="502"/>
      <c r="S64" s="42">
        <f>ROUND(S63,8)</f>
        <v>2.521021E-2</v>
      </c>
      <c r="V64" s="72">
        <f>ROUND(V63,3)</f>
        <v>0.159</v>
      </c>
      <c r="W64" s="65"/>
      <c r="X64" s="72">
        <f>ROUND(X63,3)</f>
        <v>0.318</v>
      </c>
      <c r="Y64" s="123"/>
    </row>
    <row r="65" spans="1:25" ht="15" thickBot="1" x14ac:dyDescent="0.25">
      <c r="A65" s="123"/>
      <c r="B65" s="7">
        <v>16</v>
      </c>
      <c r="C65" s="68">
        <v>39.681669999999997</v>
      </c>
      <c r="D65" s="9">
        <v>39.880740000000003</v>
      </c>
      <c r="E65" s="9">
        <v>39.79419</v>
      </c>
      <c r="F65" s="9">
        <v>40.025069999999999</v>
      </c>
      <c r="G65" s="67">
        <v>39.771419999999999</v>
      </c>
      <c r="H65" s="9">
        <v>39.694389999999999</v>
      </c>
      <c r="I65" s="9">
        <v>39.715299999999999</v>
      </c>
      <c r="J65" s="9">
        <v>39.513689999999997</v>
      </c>
      <c r="K65" s="9">
        <v>39.852800000000002</v>
      </c>
      <c r="L65" s="9">
        <f t="shared" si="12"/>
        <v>39.769918888888888</v>
      </c>
      <c r="M65" s="21">
        <f t="shared" si="13"/>
        <v>0.13620775507734584</v>
      </c>
      <c r="N65" s="502"/>
      <c r="W65" s="56"/>
      <c r="X65" s="56"/>
      <c r="Y65" s="123"/>
    </row>
    <row r="66" spans="1:25" x14ac:dyDescent="0.2">
      <c r="A66" s="123"/>
      <c r="B66" s="6">
        <v>17</v>
      </c>
      <c r="C66" s="68">
        <v>39.673409999999997</v>
      </c>
      <c r="D66" s="9">
        <v>39.872459999999997</v>
      </c>
      <c r="E66" s="9">
        <v>39.790950000000002</v>
      </c>
      <c r="F66" s="9">
        <v>40.015439999999998</v>
      </c>
      <c r="G66" s="67">
        <v>39.759450000000001</v>
      </c>
      <c r="H66" s="9">
        <v>39.679920000000003</v>
      </c>
      <c r="I66" s="9">
        <v>39.70608</v>
      </c>
      <c r="J66" s="9">
        <v>39.50656</v>
      </c>
      <c r="K66" s="9">
        <v>39.844329999999999</v>
      </c>
      <c r="L66" s="9">
        <f t="shared" si="12"/>
        <v>39.760955555555562</v>
      </c>
      <c r="M66" s="21">
        <f t="shared" si="13"/>
        <v>0.1362221289831104</v>
      </c>
      <c r="N66" s="502"/>
      <c r="O66" t="s">
        <v>36</v>
      </c>
      <c r="W66" s="56"/>
      <c r="X66" s="56"/>
      <c r="Y66" s="123"/>
    </row>
    <row r="67" spans="1:25" ht="15" thickBot="1" x14ac:dyDescent="0.25">
      <c r="A67" s="123"/>
      <c r="B67" s="7">
        <v>18</v>
      </c>
      <c r="C67" s="68">
        <v>39.670250000000003</v>
      </c>
      <c r="D67" s="9">
        <v>39.873289999999997</v>
      </c>
      <c r="E67" s="9">
        <v>39.785769999999999</v>
      </c>
      <c r="F67" s="9">
        <v>40.01155</v>
      </c>
      <c r="G67" s="67">
        <v>39.754710000000003</v>
      </c>
      <c r="H67" s="9">
        <v>39.675379999999997</v>
      </c>
      <c r="I67" s="9">
        <v>39.701970000000003</v>
      </c>
      <c r="J67" s="9">
        <v>39.504600000000003</v>
      </c>
      <c r="K67" s="9">
        <v>39.842559999999999</v>
      </c>
      <c r="L67" s="9">
        <f t="shared" si="12"/>
        <v>39.757786666666661</v>
      </c>
      <c r="M67" s="21">
        <f t="shared" si="13"/>
        <v>0.13637709786552094</v>
      </c>
      <c r="N67" s="502"/>
      <c r="W67" s="56"/>
      <c r="X67" s="56"/>
      <c r="Y67" s="123"/>
    </row>
    <row r="68" spans="1:25" x14ac:dyDescent="0.2">
      <c r="A68" s="123"/>
      <c r="B68" s="6">
        <v>19</v>
      </c>
      <c r="C68" s="68">
        <v>39.667119999999997</v>
      </c>
      <c r="D68" s="9">
        <v>39.872369999999997</v>
      </c>
      <c r="E68" s="9">
        <v>39.78389</v>
      </c>
      <c r="F68" s="9">
        <v>40.010440000000003</v>
      </c>
      <c r="G68" s="67">
        <v>39.748690000000003</v>
      </c>
      <c r="H68" s="9">
        <v>39.672580000000004</v>
      </c>
      <c r="I68" s="9">
        <v>39.697719999999997</v>
      </c>
      <c r="J68" s="9">
        <v>39.501080000000002</v>
      </c>
      <c r="K68" s="9">
        <v>39.840000000000003</v>
      </c>
      <c r="L68" s="9">
        <f t="shared" si="12"/>
        <v>39.754876666666668</v>
      </c>
      <c r="M68" s="21">
        <f t="shared" si="13"/>
        <v>0.1371928640029553</v>
      </c>
      <c r="N68" s="502"/>
      <c r="O68" s="63" t="s">
        <v>23</v>
      </c>
      <c r="S68" s="2" t="s">
        <v>7</v>
      </c>
      <c r="T68" s="2" t="s">
        <v>8</v>
      </c>
      <c r="U68" s="2" t="s">
        <v>9</v>
      </c>
      <c r="V68" s="2" t="s">
        <v>10</v>
      </c>
      <c r="W68" s="57" t="s">
        <v>11</v>
      </c>
      <c r="X68" s="58" t="s">
        <v>12</v>
      </c>
      <c r="Y68" s="123"/>
    </row>
    <row r="69" spans="1:25" ht="15" thickBot="1" x14ac:dyDescent="0.25">
      <c r="A69" s="123"/>
      <c r="B69" s="7">
        <v>20</v>
      </c>
      <c r="C69" s="68">
        <v>39.66769</v>
      </c>
      <c r="D69" s="9">
        <v>39.874899999999997</v>
      </c>
      <c r="E69" s="9">
        <v>39.782359999999997</v>
      </c>
      <c r="F69" s="9">
        <v>40.009099999999997</v>
      </c>
      <c r="G69" s="67">
        <v>39.748049999999999</v>
      </c>
      <c r="H69" s="9">
        <v>39.673189999999998</v>
      </c>
      <c r="I69" s="9">
        <v>39.700319999999998</v>
      </c>
      <c r="J69" s="9">
        <v>39.499250000000004</v>
      </c>
      <c r="K69" s="9">
        <v>39.841769999999997</v>
      </c>
      <c r="L69" s="9">
        <f t="shared" si="12"/>
        <v>39.755181111111114</v>
      </c>
      <c r="M69" s="21">
        <f t="shared" si="13"/>
        <v>0.13742970198488319</v>
      </c>
      <c r="N69" s="502"/>
      <c r="O69" s="64">
        <f>MAX(C81:K81)</f>
        <v>9.2428604338699646E-3</v>
      </c>
      <c r="S69" s="2" t="str">
        <f>indeter_MI!B5</f>
        <v>Поверка</v>
      </c>
      <c r="T69" s="2">
        <f>indeter_MI!C5</f>
        <v>0.1</v>
      </c>
      <c r="U69" s="2" t="str">
        <f>indeter_MI!D5</f>
        <v>Нормальное</v>
      </c>
      <c r="V69" s="2">
        <f>indeter_MI!E5</f>
        <v>2</v>
      </c>
      <c r="W69" s="59">
        <f>T69/V69</f>
        <v>0.05</v>
      </c>
      <c r="X69" s="59">
        <f t="shared" ref="X69:X76" si="16">W69*W69</f>
        <v>2.5000000000000005E-3</v>
      </c>
      <c r="Y69" s="123"/>
    </row>
    <row r="70" spans="1:25" x14ac:dyDescent="0.2">
      <c r="A70" s="123"/>
      <c r="B70" s="6">
        <v>21</v>
      </c>
      <c r="C70" s="68">
        <v>39.669029999999999</v>
      </c>
      <c r="D70" s="9">
        <v>39.877400000000002</v>
      </c>
      <c r="E70" s="9">
        <v>39.785339999999998</v>
      </c>
      <c r="F70" s="9">
        <v>40.014420000000001</v>
      </c>
      <c r="G70" s="67">
        <v>39.751710000000003</v>
      </c>
      <c r="H70" s="9">
        <v>39.678870000000003</v>
      </c>
      <c r="I70" s="9">
        <v>39.704700000000003</v>
      </c>
      <c r="J70" s="9">
        <v>39.502099999999999</v>
      </c>
      <c r="K70" s="9">
        <v>39.843150000000001</v>
      </c>
      <c r="L70" s="9">
        <f t="shared" si="12"/>
        <v>39.75852444444444</v>
      </c>
      <c r="M70" s="21">
        <f t="shared" si="13"/>
        <v>0.13765721558447</v>
      </c>
      <c r="N70" s="502"/>
      <c r="S70" s="2" t="str">
        <f>indeter_MI!B6</f>
        <v>Повторяемость*</v>
      </c>
      <c r="T70" s="2">
        <f>indeter_MI!C6</f>
        <v>0.01</v>
      </c>
      <c r="U70" s="2" t="str">
        <f>indeter_MI!D6</f>
        <v>Нормальное</v>
      </c>
      <c r="V70" s="2">
        <f>indeter_MI!E6</f>
        <v>1</v>
      </c>
      <c r="W70" s="59">
        <f t="shared" ref="W70:W75" si="17">T70/V70</f>
        <v>0.01</v>
      </c>
      <c r="X70" s="59">
        <f t="shared" si="16"/>
        <v>1E-4</v>
      </c>
      <c r="Y70" s="123"/>
    </row>
    <row r="71" spans="1:25" ht="15" thickBot="1" x14ac:dyDescent="0.25">
      <c r="A71" s="123"/>
      <c r="B71" s="7">
        <v>22</v>
      </c>
      <c r="C71" s="68">
        <v>39.673070000000003</v>
      </c>
      <c r="D71" s="9">
        <v>39.87697</v>
      </c>
      <c r="E71" s="9">
        <v>39.786009999999997</v>
      </c>
      <c r="F71" s="9">
        <v>40.016959999999997</v>
      </c>
      <c r="G71" s="67">
        <v>39.753419999999998</v>
      </c>
      <c r="H71" s="9">
        <v>39.681080000000001</v>
      </c>
      <c r="I71" s="9">
        <v>39.706699999999998</v>
      </c>
      <c r="J71" s="9">
        <v>39.503979999999999</v>
      </c>
      <c r="K71" s="9">
        <v>39.843600000000002</v>
      </c>
      <c r="L71" s="9">
        <f t="shared" si="12"/>
        <v>39.760198888888887</v>
      </c>
      <c r="M71" s="21">
        <f t="shared" si="13"/>
        <v>0.13727149282793491</v>
      </c>
      <c r="N71" s="502"/>
      <c r="S71" s="2" t="str">
        <f>indeter_MI!B7</f>
        <v>Гистерезис</v>
      </c>
      <c r="T71" s="2">
        <f>indeter_MI!C7</f>
        <v>0.01</v>
      </c>
      <c r="U71" s="2" t="str">
        <f>indeter_MI!D7</f>
        <v>Прямоугольное</v>
      </c>
      <c r="V71" s="2">
        <f>indeter_MI!E7</f>
        <v>1.73</v>
      </c>
      <c r="W71" s="59">
        <f t="shared" si="17"/>
        <v>5.7803468208092491E-3</v>
      </c>
      <c r="X71" s="59">
        <f t="shared" si="16"/>
        <v>3.3412409368839592E-5</v>
      </c>
      <c r="Y71" s="123"/>
    </row>
    <row r="72" spans="1:25" x14ac:dyDescent="0.2">
      <c r="A72" s="123"/>
      <c r="B72" s="6">
        <v>23</v>
      </c>
      <c r="C72" s="68">
        <v>39.671390000000002</v>
      </c>
      <c r="D72" s="9">
        <v>39.872329999999998</v>
      </c>
      <c r="E72" s="9">
        <v>39.788319999999999</v>
      </c>
      <c r="F72" s="9">
        <v>40.016930000000002</v>
      </c>
      <c r="G72" s="67">
        <v>39.753369999999997</v>
      </c>
      <c r="H72" s="9">
        <v>39.680320000000002</v>
      </c>
      <c r="I72" s="9">
        <v>39.705919999999999</v>
      </c>
      <c r="J72" s="9">
        <v>39.504440000000002</v>
      </c>
      <c r="K72" s="9">
        <v>39.842750000000002</v>
      </c>
      <c r="L72" s="9">
        <f t="shared" si="12"/>
        <v>39.759530000000005</v>
      </c>
      <c r="M72" s="21">
        <f t="shared" si="13"/>
        <v>0.13693421048079951</v>
      </c>
      <c r="N72" s="502"/>
      <c r="S72" s="2" t="str">
        <f>indeter_MI!B8</f>
        <v>Влияние температуры</v>
      </c>
      <c r="T72" s="2">
        <f>indeter_MI!C8</f>
        <v>0.01</v>
      </c>
      <c r="U72" s="2" t="str">
        <f>indeter_MI!D8</f>
        <v>Прямоугольное</v>
      </c>
      <c r="V72" s="2">
        <f>indeter_MI!E8</f>
        <v>1.73</v>
      </c>
      <c r="W72" s="59">
        <f t="shared" si="17"/>
        <v>5.7803468208092491E-3</v>
      </c>
      <c r="X72" s="59">
        <f t="shared" si="16"/>
        <v>3.3412409368839592E-5</v>
      </c>
      <c r="Y72" s="123"/>
    </row>
    <row r="73" spans="1:25" ht="15" thickBot="1" x14ac:dyDescent="0.25">
      <c r="A73" s="123"/>
      <c r="B73" s="7">
        <v>24</v>
      </c>
      <c r="C73" s="68">
        <v>39.676960000000001</v>
      </c>
      <c r="D73" s="9">
        <v>39.880710000000001</v>
      </c>
      <c r="E73" s="9">
        <v>39.786630000000002</v>
      </c>
      <c r="F73" s="9">
        <v>40.013840000000002</v>
      </c>
      <c r="G73" s="67">
        <v>39.754100000000001</v>
      </c>
      <c r="H73" s="9">
        <v>39.67653</v>
      </c>
      <c r="I73" s="9">
        <v>39.706960000000002</v>
      </c>
      <c r="J73" s="9">
        <v>39.50667</v>
      </c>
      <c r="K73" s="9">
        <v>39.8461</v>
      </c>
      <c r="L73" s="9">
        <f t="shared" si="12"/>
        <v>39.760944444444441</v>
      </c>
      <c r="M73" s="21">
        <f t="shared" si="13"/>
        <v>0.13662886136546989</v>
      </c>
      <c r="N73" s="502"/>
      <c r="S73" s="2" t="str">
        <f>indeter_MI!B9</f>
        <v>Дрейф*</v>
      </c>
      <c r="T73" s="2">
        <f>indeter_MI!C9</f>
        <v>0.1</v>
      </c>
      <c r="U73" s="2" t="str">
        <f>indeter_MI!D9</f>
        <v>Прямоугольное</v>
      </c>
      <c r="V73" s="2">
        <f>indeter_MI!E9</f>
        <v>1.73</v>
      </c>
      <c r="W73" s="59">
        <f t="shared" si="17"/>
        <v>5.7803468208092491E-2</v>
      </c>
      <c r="X73" s="59">
        <f t="shared" si="16"/>
        <v>3.3412409368839594E-3</v>
      </c>
      <c r="Y73" s="123"/>
    </row>
    <row r="74" spans="1:25" x14ac:dyDescent="0.2">
      <c r="A74" s="123"/>
      <c r="B74" s="6">
        <v>25</v>
      </c>
      <c r="C74" s="68">
        <v>39.684930000000001</v>
      </c>
      <c r="D74" s="9">
        <v>39.885010000000001</v>
      </c>
      <c r="E74" s="9">
        <v>39.790599999999998</v>
      </c>
      <c r="F74" s="9">
        <v>40.020659999999999</v>
      </c>
      <c r="G74" s="67">
        <v>39.767859999999999</v>
      </c>
      <c r="H74" s="9">
        <v>39.687130000000003</v>
      </c>
      <c r="I74" s="9">
        <v>39.716189999999997</v>
      </c>
      <c r="J74" s="9">
        <v>39.513019999999997</v>
      </c>
      <c r="K74" s="9">
        <v>39.852849999999997</v>
      </c>
      <c r="L74" s="9">
        <f t="shared" si="12"/>
        <v>39.768694444444442</v>
      </c>
      <c r="M74" s="21">
        <f t="shared" si="13"/>
        <v>0.1359632449607133</v>
      </c>
      <c r="N74" s="502"/>
      <c r="S74" s="2" t="str">
        <f>indeter_MI!B10</f>
        <v>Линейность</v>
      </c>
      <c r="T74" s="2">
        <f>indeter_MI!C10</f>
        <v>0.02</v>
      </c>
      <c r="U74" s="2" t="str">
        <f>indeter_MI!D10</f>
        <v>Прямоугольное</v>
      </c>
      <c r="V74" s="2">
        <f>indeter_MI!E10</f>
        <v>1.73</v>
      </c>
      <c r="W74" s="59">
        <f t="shared" si="17"/>
        <v>1.1560693641618498E-2</v>
      </c>
      <c r="X74" s="59">
        <f t="shared" si="16"/>
        <v>1.3364963747535837E-4</v>
      </c>
      <c r="Y74" s="123"/>
    </row>
    <row r="75" spans="1:25" ht="15" thickBot="1" x14ac:dyDescent="0.25">
      <c r="A75" s="123"/>
      <c r="B75" s="7">
        <v>26</v>
      </c>
      <c r="C75" s="68">
        <v>39.686160000000001</v>
      </c>
      <c r="D75" s="9">
        <v>39.878369999999997</v>
      </c>
      <c r="E75" s="9">
        <v>39.797249999999998</v>
      </c>
      <c r="F75" s="9">
        <v>40.025419999999997</v>
      </c>
      <c r="G75" s="67">
        <v>39.774799999999999</v>
      </c>
      <c r="H75" s="9">
        <v>39.690460000000002</v>
      </c>
      <c r="I75" s="9">
        <v>39.718690000000002</v>
      </c>
      <c r="J75" s="9">
        <v>39.514679999999998</v>
      </c>
      <c r="K75" s="9">
        <v>39.8521</v>
      </c>
      <c r="L75" s="9">
        <f t="shared" si="12"/>
        <v>39.770881111111109</v>
      </c>
      <c r="M75" s="21">
        <f t="shared" si="13"/>
        <v>0.13567085754742642</v>
      </c>
      <c r="N75" s="502"/>
      <c r="S75" s="2" t="str">
        <f>indeter_MI!B11</f>
        <v>Разрешающая способность</v>
      </c>
      <c r="T75" s="2">
        <f>indeter_MI!C11</f>
        <v>0.01</v>
      </c>
      <c r="U75" s="2" t="str">
        <f>indeter_MI!D11</f>
        <v>Прямоугольное</v>
      </c>
      <c r="V75" s="2">
        <f>indeter_MI!E11</f>
        <v>1.73</v>
      </c>
      <c r="W75" s="59">
        <f t="shared" si="17"/>
        <v>5.7803468208092491E-3</v>
      </c>
      <c r="X75" s="59">
        <f t="shared" si="16"/>
        <v>3.3412409368839592E-5</v>
      </c>
      <c r="Y75" s="123"/>
    </row>
    <row r="76" spans="1:25" x14ac:dyDescent="0.2">
      <c r="A76" s="123"/>
      <c r="B76" s="6">
        <v>27</v>
      </c>
      <c r="C76" s="68">
        <v>39.682899999999997</v>
      </c>
      <c r="D76" s="9">
        <v>39.872590000000002</v>
      </c>
      <c r="E76" s="9">
        <v>39.797280000000001</v>
      </c>
      <c r="F76" s="9">
        <v>40.023069999999997</v>
      </c>
      <c r="G76" s="67">
        <v>39.769970000000001</v>
      </c>
      <c r="H76" s="9">
        <v>39.685459999999999</v>
      </c>
      <c r="I76" s="9">
        <v>39.716610000000003</v>
      </c>
      <c r="J76" s="9">
        <v>39.513420000000004</v>
      </c>
      <c r="K76" s="9">
        <v>39.850700000000003</v>
      </c>
      <c r="L76" s="9">
        <f t="shared" si="12"/>
        <v>39.768000000000001</v>
      </c>
      <c r="M76" s="21">
        <f t="shared" si="13"/>
        <v>0.13548555987016897</v>
      </c>
      <c r="N76" s="502"/>
      <c r="S76" s="48" t="s">
        <v>21</v>
      </c>
      <c r="T76" s="49">
        <f>O69</f>
        <v>9.2428604338699646E-3</v>
      </c>
      <c r="U76" s="49" t="s">
        <v>13</v>
      </c>
      <c r="V76" s="16">
        <v>1</v>
      </c>
      <c r="W76" s="60">
        <f>T76/V76</f>
        <v>9.2428604338699646E-3</v>
      </c>
      <c r="X76" s="60">
        <f t="shared" si="16"/>
        <v>8.5430468999998872E-5</v>
      </c>
      <c r="Y76" s="123"/>
    </row>
    <row r="77" spans="1:25" ht="15" thickBot="1" x14ac:dyDescent="0.25">
      <c r="A77" s="123"/>
      <c r="B77" s="7">
        <v>28</v>
      </c>
      <c r="C77" s="68">
        <v>39.677500000000002</v>
      </c>
      <c r="D77" s="9">
        <v>39.868070000000003</v>
      </c>
      <c r="E77" s="9">
        <v>39.797080000000001</v>
      </c>
      <c r="F77" s="9">
        <v>40.018590000000003</v>
      </c>
      <c r="G77" s="67">
        <v>39.763269999999999</v>
      </c>
      <c r="H77" s="9">
        <v>39.681150000000002</v>
      </c>
      <c r="I77" s="9">
        <v>39.711239999999997</v>
      </c>
      <c r="J77" s="9">
        <v>39.509059999999998</v>
      </c>
      <c r="K77" s="9">
        <v>39.846429999999998</v>
      </c>
      <c r="L77" s="68">
        <f t="shared" si="12"/>
        <v>39.763598888888886</v>
      </c>
      <c r="M77" s="21">
        <f t="shared" si="13"/>
        <v>0.13567080374072607</v>
      </c>
      <c r="N77" s="502"/>
      <c r="X77" s="56"/>
      <c r="Y77" s="123"/>
    </row>
    <row r="78" spans="1:25" ht="15" thickBot="1" x14ac:dyDescent="0.25">
      <c r="A78" s="123"/>
      <c r="B78" s="8">
        <v>29</v>
      </c>
      <c r="C78" s="68">
        <v>39.680079999999997</v>
      </c>
      <c r="D78" s="9">
        <v>39.873420000000003</v>
      </c>
      <c r="E78" s="9">
        <v>39.793869999999998</v>
      </c>
      <c r="F78" s="9">
        <v>40.016039999999997</v>
      </c>
      <c r="G78" s="67">
        <v>39.759990000000002</v>
      </c>
      <c r="H78" s="9">
        <v>39.685540000000003</v>
      </c>
      <c r="I78" s="9">
        <v>39.71275</v>
      </c>
      <c r="J78" s="9">
        <v>39.51108</v>
      </c>
      <c r="K78" s="9">
        <v>39.850700000000003</v>
      </c>
      <c r="L78" s="68">
        <f t="shared" si="12"/>
        <v>39.764830000000003</v>
      </c>
      <c r="M78" s="21">
        <f t="shared" si="13"/>
        <v>0.13487010697539881</v>
      </c>
      <c r="N78" s="502"/>
      <c r="S78" s="35" t="s">
        <v>22</v>
      </c>
      <c r="U78" s="41" t="s">
        <v>82</v>
      </c>
      <c r="V78" s="41"/>
      <c r="W78" s="41" t="s">
        <v>83</v>
      </c>
      <c r="X78" s="57"/>
      <c r="Y78" s="123"/>
    </row>
    <row r="79" spans="1:25" ht="15" thickBot="1" x14ac:dyDescent="0.25">
      <c r="A79" s="123"/>
      <c r="B79" s="8">
        <v>30</v>
      </c>
      <c r="C79" s="68">
        <v>39.675669999999997</v>
      </c>
      <c r="D79" s="9">
        <v>39.868630000000003</v>
      </c>
      <c r="E79" s="9">
        <v>39.795090000000002</v>
      </c>
      <c r="F79" s="9">
        <v>40.020099999999999</v>
      </c>
      <c r="G79" s="67">
        <v>39.757759999999998</v>
      </c>
      <c r="H79" s="9">
        <v>39.680669999999999</v>
      </c>
      <c r="I79" s="9">
        <v>39.707369999999997</v>
      </c>
      <c r="J79" s="9">
        <v>39.506990000000002</v>
      </c>
      <c r="K79" s="9">
        <v>39.846429999999998</v>
      </c>
      <c r="L79" s="68">
        <f t="shared" si="12"/>
        <v>39.76207888888888</v>
      </c>
      <c r="M79" s="21">
        <f t="shared" si="13"/>
        <v>0.13675153311709731</v>
      </c>
      <c r="N79" s="502"/>
      <c r="S79" s="42">
        <f>SUM(X69:X76)</f>
        <v>6.2605582714658353E-3</v>
      </c>
      <c r="V79" s="72">
        <f>SQRT(S79)</f>
        <v>7.9123689698255575E-2</v>
      </c>
      <c r="W79" s="65"/>
      <c r="X79" s="72">
        <f>V79*2</f>
        <v>0.15824737939651115</v>
      </c>
      <c r="Y79" s="123"/>
    </row>
    <row r="80" spans="1:25" ht="19.5" thickBot="1" x14ac:dyDescent="0.4">
      <c r="A80" s="123"/>
      <c r="B80" s="93" t="s">
        <v>40</v>
      </c>
      <c r="C80" s="30">
        <f>AVERAGE(C50:C79)</f>
        <v>39.676076333333334</v>
      </c>
      <c r="D80" s="31">
        <f t="shared" ref="D80:K80" si="18">AVERAGE(D50:D79)</f>
        <v>39.875966666666663</v>
      </c>
      <c r="E80" s="31">
        <f t="shared" si="18"/>
        <v>39.789037666666673</v>
      </c>
      <c r="F80" s="31">
        <f t="shared" si="18"/>
        <v>40.016750666666667</v>
      </c>
      <c r="G80" s="31">
        <f t="shared" si="18"/>
        <v>39.762699000000005</v>
      </c>
      <c r="H80" s="31">
        <f t="shared" si="18"/>
        <v>39.68454899999999</v>
      </c>
      <c r="I80" s="31">
        <f t="shared" si="18"/>
        <v>39.710426333333331</v>
      </c>
      <c r="J80" s="31">
        <f t="shared" si="18"/>
        <v>39.507469666666672</v>
      </c>
      <c r="K80" s="31">
        <f t="shared" si="18"/>
        <v>39.848401333333335</v>
      </c>
      <c r="L80" s="167"/>
      <c r="M80" s="167"/>
      <c r="N80" s="502"/>
      <c r="S80" s="42">
        <f>ROUND(S79,8)</f>
        <v>6.2605600000000001E-3</v>
      </c>
      <c r="V80" s="72">
        <f>ROUND(V79,3)</f>
        <v>7.9000000000000001E-2</v>
      </c>
      <c r="W80" s="65"/>
      <c r="X80" s="72">
        <f>ROUND(X79,3)</f>
        <v>0.158</v>
      </c>
      <c r="Y80" s="123"/>
    </row>
    <row r="81" spans="1:25" ht="19.5" thickBot="1" x14ac:dyDescent="0.4">
      <c r="A81" s="123"/>
      <c r="B81" s="93" t="s">
        <v>39</v>
      </c>
      <c r="C81" s="27">
        <f>_xlfn.STDEV.P(C50:C79)</f>
        <v>5.9635942648336611E-3</v>
      </c>
      <c r="D81" s="22">
        <f t="shared" ref="D81:K81" si="19">_xlfn.STDEV.P(D50:D79)</f>
        <v>5.596957109795157E-3</v>
      </c>
      <c r="E81" s="22">
        <f t="shared" si="19"/>
        <v>5.3771347285419199E-3</v>
      </c>
      <c r="F81" s="22">
        <f t="shared" si="19"/>
        <v>5.8353891234617606E-3</v>
      </c>
      <c r="G81" s="22">
        <f t="shared" si="19"/>
        <v>9.2428604338699646E-3</v>
      </c>
      <c r="H81" s="22">
        <f t="shared" si="19"/>
        <v>7.0839185719015815E-3</v>
      </c>
      <c r="I81" s="22">
        <f t="shared" si="19"/>
        <v>6.8364105997876399E-3</v>
      </c>
      <c r="J81" s="22">
        <f t="shared" si="19"/>
        <v>5.0272792398626783E-3</v>
      </c>
      <c r="K81" s="22">
        <f t="shared" si="19"/>
        <v>5.2996941630834736E-3</v>
      </c>
      <c r="L81" s="167"/>
      <c r="M81" s="167"/>
      <c r="N81" s="502"/>
      <c r="Y81" s="123"/>
    </row>
    <row r="82" spans="1:25" ht="19.5" thickBot="1" x14ac:dyDescent="0.4">
      <c r="A82" s="123"/>
      <c r="B82" s="93" t="s">
        <v>52</v>
      </c>
      <c r="C82" s="11">
        <f>MAX(C50:C79)-C80</f>
        <v>1.3953666666665754E-2</v>
      </c>
      <c r="D82" s="12">
        <f t="shared" ref="D82:K82" si="20">MAX(D50:D79)-D80</f>
        <v>1.4093333333335067E-2</v>
      </c>
      <c r="E82" s="12">
        <f t="shared" si="20"/>
        <v>1.1902333333324577E-2</v>
      </c>
      <c r="F82" s="12">
        <f t="shared" si="20"/>
        <v>1.3219333333331917E-2</v>
      </c>
      <c r="G82" s="24">
        <f t="shared" si="20"/>
        <v>2.3900999999995065E-2</v>
      </c>
      <c r="H82" s="12">
        <f t="shared" si="20"/>
        <v>1.8221000000011145E-2</v>
      </c>
      <c r="I82" s="12">
        <f t="shared" si="20"/>
        <v>1.8433666666666682E-2</v>
      </c>
      <c r="J82" s="12">
        <f t="shared" si="20"/>
        <v>1.2190333333329306E-2</v>
      </c>
      <c r="K82" s="12">
        <f t="shared" si="20"/>
        <v>1.5558666666663612E-2</v>
      </c>
      <c r="N82" s="502"/>
      <c r="Y82" s="123"/>
    </row>
    <row r="83" spans="1:25" ht="19.5" thickBot="1" x14ac:dyDescent="0.4">
      <c r="A83" s="123"/>
      <c r="B83" s="93" t="s">
        <v>51</v>
      </c>
      <c r="C83" s="11">
        <f>C80-MIN(C50:C79)</f>
        <v>8.9563333333373407E-3</v>
      </c>
      <c r="D83" s="12">
        <f t="shared" ref="D83:K83" si="21">D80-MIN(D50:D79)</f>
        <v>7.8966666666602237E-3</v>
      </c>
      <c r="E83" s="12">
        <f t="shared" si="21"/>
        <v>8.7276666666724623E-3</v>
      </c>
      <c r="F83" s="12">
        <f t="shared" si="21"/>
        <v>1.1280666666664274E-2</v>
      </c>
      <c r="G83" s="24">
        <f t="shared" si="21"/>
        <v>1.4649000000005685E-2</v>
      </c>
      <c r="H83" s="12">
        <f t="shared" si="21"/>
        <v>1.1968999999986352E-2</v>
      </c>
      <c r="I83" s="12">
        <f t="shared" si="21"/>
        <v>1.270633333333393E-2</v>
      </c>
      <c r="J83" s="12">
        <f t="shared" si="21"/>
        <v>8.2196666666689566E-3</v>
      </c>
      <c r="K83" s="12">
        <f t="shared" si="21"/>
        <v>8.4013333333317064E-3</v>
      </c>
      <c r="N83" s="502"/>
      <c r="Y83" s="123"/>
    </row>
    <row r="84" spans="1:25" ht="20.25" thickBot="1" x14ac:dyDescent="0.4">
      <c r="A84" s="123"/>
      <c r="B84" s="94" t="s">
        <v>44</v>
      </c>
      <c r="C84" s="14">
        <f>(C82+C83)/2</f>
        <v>1.1455000000001547E-2</v>
      </c>
      <c r="D84" s="15">
        <f t="shared" ref="D84:K84" si="22">(D82+D83)/2</f>
        <v>1.0994999999997646E-2</v>
      </c>
      <c r="E84" s="15">
        <f t="shared" si="22"/>
        <v>1.031499999999852E-2</v>
      </c>
      <c r="F84" s="15">
        <f t="shared" si="22"/>
        <v>1.2249999999998096E-2</v>
      </c>
      <c r="G84" s="15">
        <f t="shared" si="22"/>
        <v>1.9275000000000375E-2</v>
      </c>
      <c r="H84" s="15">
        <f t="shared" si="22"/>
        <v>1.5094999999998748E-2</v>
      </c>
      <c r="I84" s="15">
        <f t="shared" si="22"/>
        <v>1.5570000000000306E-2</v>
      </c>
      <c r="J84" s="15">
        <f t="shared" si="22"/>
        <v>1.0204999999999131E-2</v>
      </c>
      <c r="K84" s="15">
        <f t="shared" si="22"/>
        <v>1.1979999999997659E-2</v>
      </c>
      <c r="N84" s="502"/>
      <c r="Y84" s="123"/>
    </row>
    <row r="85" spans="1:25" ht="19.5" thickBot="1" x14ac:dyDescent="0.4">
      <c r="A85" s="123"/>
      <c r="B85" s="95" t="s">
        <v>43</v>
      </c>
      <c r="C85" s="43">
        <f>C80-$G80</f>
        <v>-8.6622666666670511E-2</v>
      </c>
      <c r="D85" s="13">
        <f t="shared" ref="D85:K85" si="23">D80-$G80</f>
        <v>0.11326766666665833</v>
      </c>
      <c r="E85" s="13">
        <f t="shared" si="23"/>
        <v>2.6338666666667621E-2</v>
      </c>
      <c r="F85" s="13">
        <f t="shared" si="23"/>
        <v>0.2540516666666619</v>
      </c>
      <c r="G85" s="13">
        <f>G80-$G80</f>
        <v>0</v>
      </c>
      <c r="H85" s="13">
        <f t="shared" si="23"/>
        <v>-7.8150000000015041E-2</v>
      </c>
      <c r="I85" s="13">
        <f t="shared" si="23"/>
        <v>-5.2272666666674183E-2</v>
      </c>
      <c r="J85" s="13">
        <f t="shared" si="23"/>
        <v>-0.25522933333333242</v>
      </c>
      <c r="K85" s="13">
        <f t="shared" si="23"/>
        <v>8.5702333333330216E-2</v>
      </c>
      <c r="N85" s="502"/>
      <c r="Y85" s="123"/>
    </row>
    <row r="86" spans="1:25" ht="18.75" x14ac:dyDescent="0.35">
      <c r="A86" s="123"/>
      <c r="B86" s="99" t="s">
        <v>45</v>
      </c>
      <c r="C86" s="45">
        <v>40</v>
      </c>
      <c r="N86" s="502"/>
      <c r="Y86" s="123"/>
    </row>
    <row r="87" spans="1:25" ht="18.75" x14ac:dyDescent="0.2">
      <c r="A87" s="123"/>
      <c r="B87" s="100" t="s">
        <v>46</v>
      </c>
      <c r="C87" s="44">
        <f>AVERAGE(C50:K79)</f>
        <v>39.763486296296307</v>
      </c>
      <c r="N87" s="502"/>
      <c r="Y87" s="123"/>
    </row>
    <row r="88" spans="1:25" s="167" customFormat="1" ht="18.75" x14ac:dyDescent="0.2">
      <c r="A88" s="123"/>
      <c r="B88" s="101" t="s">
        <v>47</v>
      </c>
      <c r="C88" s="28">
        <f>C87-C86</f>
        <v>-0.23651370370369307</v>
      </c>
      <c r="N88" s="502"/>
      <c r="Y88" s="123"/>
    </row>
    <row r="89" spans="1:25" ht="18.75" x14ac:dyDescent="0.2">
      <c r="A89" s="123"/>
      <c r="B89" s="102" t="s">
        <v>48</v>
      </c>
      <c r="C89" s="29">
        <f>MAX(C80:K80)-MIN(C80:K80)</f>
        <v>0.50928099999999432</v>
      </c>
      <c r="N89" s="502"/>
      <c r="Y89" s="123"/>
    </row>
    <row r="90" spans="1:25" ht="18.75" x14ac:dyDescent="0.2">
      <c r="A90" s="123"/>
      <c r="B90" s="103" t="s">
        <v>49</v>
      </c>
      <c r="C90" s="32">
        <f>MAX(C85:K85)</f>
        <v>0.2540516666666619</v>
      </c>
      <c r="N90" s="502"/>
      <c r="Y90" s="123"/>
    </row>
    <row r="91" spans="1:25" x14ac:dyDescent="0.2">
      <c r="A91" s="123"/>
      <c r="B91" s="104"/>
      <c r="C91" s="32">
        <f>MIN(C85:K85)</f>
        <v>-0.25522933333333242</v>
      </c>
      <c r="D91" s="65"/>
      <c r="N91" s="502"/>
      <c r="Y91" s="123"/>
    </row>
    <row r="92" spans="1:25" ht="18.75" x14ac:dyDescent="0.2">
      <c r="A92" s="123"/>
      <c r="B92" s="105" t="s">
        <v>50</v>
      </c>
      <c r="C92" s="33">
        <f>AVERAGE(C84:K84)</f>
        <v>1.301555555555467E-2</v>
      </c>
      <c r="N92" s="502"/>
      <c r="Y92" s="123"/>
    </row>
    <row r="93" spans="1:25" ht="18.75" x14ac:dyDescent="0.35">
      <c r="A93" s="123"/>
      <c r="B93" s="180" t="s">
        <v>259</v>
      </c>
      <c r="C93" s="181">
        <f>_xlfn.STDEV.P(C50:K79)</f>
        <v>0.13632305115662899</v>
      </c>
      <c r="N93" s="502"/>
      <c r="Y93" s="123"/>
    </row>
    <row r="94" spans="1:25" x14ac:dyDescent="0.2">
      <c r="A94" s="123"/>
      <c r="B94" s="123"/>
      <c r="C94" s="123"/>
      <c r="D94" s="123"/>
      <c r="E94" s="123"/>
      <c r="F94" s="123"/>
      <c r="G94" s="123"/>
      <c r="H94" s="123"/>
      <c r="I94" s="123"/>
      <c r="J94" s="123"/>
      <c r="K94" s="123"/>
      <c r="L94" s="123"/>
      <c r="M94" s="123"/>
      <c r="N94" s="123"/>
      <c r="O94" s="123"/>
      <c r="P94" s="123"/>
      <c r="Q94" s="123"/>
      <c r="R94" s="123"/>
      <c r="S94" s="123"/>
      <c r="T94" s="123"/>
      <c r="U94" s="123"/>
      <c r="V94" s="123"/>
      <c r="W94" s="123"/>
      <c r="X94" s="123"/>
      <c r="Y94" s="123"/>
    </row>
  </sheetData>
  <mergeCells count="2">
    <mergeCell ref="N49:N93"/>
    <mergeCell ref="N2:N46"/>
  </mergeCells>
  <pageMargins left="0.7" right="0.7" top="0.75" bottom="0.75" header="0.3" footer="0.3"/>
  <pageSetup paperSize="9"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Лист26"/>
  <dimension ref="A1:Y94"/>
  <sheetViews>
    <sheetView topLeftCell="A23" zoomScale="55" zoomScaleNormal="55" workbookViewId="0">
      <selection activeCell="K44" sqref="K44"/>
    </sheetView>
  </sheetViews>
  <sheetFormatPr defaultRowHeight="14.25" x14ac:dyDescent="0.2"/>
  <cols>
    <col min="1" max="1" width="9" style="292"/>
    <col min="2" max="2" width="22.75" style="292" customWidth="1"/>
    <col min="3" max="11" width="6" style="292" customWidth="1"/>
    <col min="12" max="17" width="9" style="292"/>
    <col min="18" max="18" width="16.625" style="292" customWidth="1"/>
    <col min="19" max="19" width="19.375" style="292" customWidth="1"/>
    <col min="20" max="20" width="9.75" style="292" customWidth="1"/>
    <col min="21" max="21" width="9" style="292"/>
    <col min="22" max="22" width="11.625" style="292" customWidth="1"/>
    <col min="23" max="23" width="13.375" style="292" customWidth="1"/>
    <col min="24" max="24" width="17.625" style="292" customWidth="1"/>
    <col min="25" max="16384" width="9" style="292"/>
  </cols>
  <sheetData>
    <row r="1" spans="1:25" ht="15" thickBot="1" x14ac:dyDescent="0.25">
      <c r="A1" s="120"/>
      <c r="B1" s="120"/>
      <c r="C1" s="120"/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 t="s">
        <v>138</v>
      </c>
      <c r="P1" s="120"/>
      <c r="Q1" s="120"/>
      <c r="R1" s="120"/>
      <c r="S1" s="120"/>
      <c r="T1" s="120"/>
      <c r="U1" s="120"/>
      <c r="V1" s="120"/>
      <c r="W1" s="120"/>
      <c r="X1" s="120"/>
      <c r="Y1" s="120"/>
    </row>
    <row r="2" spans="1:25" ht="19.5" thickBot="1" x14ac:dyDescent="0.4">
      <c r="A2" s="120"/>
      <c r="B2" s="122" t="s">
        <v>25</v>
      </c>
      <c r="C2" s="3">
        <v>1</v>
      </c>
      <c r="D2" s="3">
        <v>2</v>
      </c>
      <c r="E2" s="3">
        <v>3</v>
      </c>
      <c r="F2" s="3">
        <v>4</v>
      </c>
      <c r="G2" s="4">
        <v>5</v>
      </c>
      <c r="H2" s="3">
        <v>6</v>
      </c>
      <c r="I2" s="3">
        <v>7</v>
      </c>
      <c r="J2" s="3">
        <v>8</v>
      </c>
      <c r="K2" s="5">
        <v>9</v>
      </c>
      <c r="L2" s="184" t="s">
        <v>261</v>
      </c>
      <c r="M2" s="184" t="s">
        <v>42</v>
      </c>
      <c r="N2" s="503" t="s">
        <v>86</v>
      </c>
      <c r="O2" s="293" t="s">
        <v>38</v>
      </c>
      <c r="Y2" s="120"/>
    </row>
    <row r="3" spans="1:25" x14ac:dyDescent="0.2">
      <c r="A3" s="120"/>
      <c r="B3" s="6">
        <v>1</v>
      </c>
      <c r="C3" s="18">
        <v>99.23</v>
      </c>
      <c r="D3" s="19">
        <v>99.22</v>
      </c>
      <c r="E3" s="19">
        <v>99.21</v>
      </c>
      <c r="F3" s="20">
        <v>99.21</v>
      </c>
      <c r="G3" s="23">
        <v>99.21</v>
      </c>
      <c r="H3" s="19">
        <v>99.21</v>
      </c>
      <c r="I3" s="19">
        <v>99.21</v>
      </c>
      <c r="J3" s="19">
        <v>99.22</v>
      </c>
      <c r="K3" s="19">
        <v>99.24</v>
      </c>
      <c r="L3" s="9">
        <f t="shared" ref="L3:L32" si="0">AVERAGE(C3:K3)</f>
        <v>99.217777777777783</v>
      </c>
      <c r="M3" s="21">
        <f t="shared" ref="M3:M32" si="1">_xlfn.STDEV.P(C3:K3)</f>
        <v>1.0304020550552649E-2</v>
      </c>
      <c r="N3" s="503"/>
      <c r="O3" s="292" t="s">
        <v>4</v>
      </c>
      <c r="S3" s="2" t="s">
        <v>7</v>
      </c>
      <c r="T3" s="2" t="s">
        <v>8</v>
      </c>
      <c r="U3" s="2" t="s">
        <v>9</v>
      </c>
      <c r="V3" s="2" t="s">
        <v>10</v>
      </c>
      <c r="W3" s="41" t="s">
        <v>11</v>
      </c>
      <c r="X3" s="46" t="s">
        <v>12</v>
      </c>
      <c r="Y3" s="120"/>
    </row>
    <row r="4" spans="1:25" ht="15" thickBot="1" x14ac:dyDescent="0.25">
      <c r="A4" s="120"/>
      <c r="B4" s="7">
        <v>2</v>
      </c>
      <c r="C4" s="18">
        <v>99.23</v>
      </c>
      <c r="D4" s="19">
        <v>99.22</v>
      </c>
      <c r="E4" s="19">
        <v>99.21</v>
      </c>
      <c r="F4" s="19">
        <v>99.21</v>
      </c>
      <c r="G4" s="23">
        <v>99.21</v>
      </c>
      <c r="H4" s="19">
        <v>99.21</v>
      </c>
      <c r="I4" s="19">
        <v>99.21</v>
      </c>
      <c r="J4" s="19">
        <v>99.22</v>
      </c>
      <c r="K4" s="19">
        <v>99.24</v>
      </c>
      <c r="L4" s="9">
        <f t="shared" si="0"/>
        <v>99.217777777777783</v>
      </c>
      <c r="M4" s="21">
        <f>_xlfn.STDEV.P(C4:K4)</f>
        <v>1.0304020550552649E-2</v>
      </c>
      <c r="N4" s="503"/>
      <c r="O4" s="17">
        <f>AVERAGE(C35:K35)</f>
        <v>5.4037037037041893E-2</v>
      </c>
      <c r="S4" s="2" t="str">
        <f>indeter_MI!B5</f>
        <v>Поверка</v>
      </c>
      <c r="T4" s="2">
        <f>indeter_MI!C5</f>
        <v>0.1</v>
      </c>
      <c r="U4" s="2" t="str">
        <f>indeter_MI!D5</f>
        <v>Нормальное</v>
      </c>
      <c r="V4" s="2">
        <f>indeter_MI!E5</f>
        <v>2</v>
      </c>
      <c r="W4" s="59">
        <f>T4/V4</f>
        <v>0.05</v>
      </c>
      <c r="X4" s="52">
        <f t="shared" ref="X4:X9" si="2">W4*W4</f>
        <v>2.5000000000000005E-3</v>
      </c>
      <c r="Y4" s="120"/>
    </row>
    <row r="5" spans="1:25" x14ac:dyDescent="0.2">
      <c r="A5" s="120"/>
      <c r="B5" s="6">
        <v>3</v>
      </c>
      <c r="C5" s="18">
        <v>99.23</v>
      </c>
      <c r="D5" s="19">
        <v>99.22</v>
      </c>
      <c r="E5" s="19">
        <v>99.21</v>
      </c>
      <c r="F5" s="19">
        <v>99.21</v>
      </c>
      <c r="G5" s="23">
        <v>99.21</v>
      </c>
      <c r="H5" s="19">
        <v>99.21</v>
      </c>
      <c r="I5" s="19">
        <v>99.21</v>
      </c>
      <c r="J5" s="19">
        <v>99.22</v>
      </c>
      <c r="K5" s="19">
        <v>99.24</v>
      </c>
      <c r="L5" s="9">
        <f t="shared" si="0"/>
        <v>99.217777777777783</v>
      </c>
      <c r="M5" s="21">
        <f t="shared" si="1"/>
        <v>1.0304020550552649E-2</v>
      </c>
      <c r="N5" s="503"/>
      <c r="O5" s="292" t="s">
        <v>5</v>
      </c>
      <c r="S5" s="2" t="str">
        <f>indeter_MI!B6</f>
        <v>Повторяемость*</v>
      </c>
      <c r="T5" s="2">
        <f>indeter_MI!C6</f>
        <v>0.01</v>
      </c>
      <c r="U5" s="2" t="str">
        <f>indeter_MI!D6</f>
        <v>Нормальное</v>
      </c>
      <c r="V5" s="2">
        <f>indeter_MI!E6</f>
        <v>1</v>
      </c>
      <c r="W5" s="59">
        <f t="shared" ref="W5:W13" si="3">T5/V5</f>
        <v>0.01</v>
      </c>
      <c r="X5" s="52">
        <f t="shared" si="2"/>
        <v>1E-4</v>
      </c>
      <c r="Y5" s="120"/>
    </row>
    <row r="6" spans="1:25" ht="15" thickBot="1" x14ac:dyDescent="0.25">
      <c r="A6" s="120"/>
      <c r="B6" s="7">
        <v>4</v>
      </c>
      <c r="C6" s="18">
        <v>99.23</v>
      </c>
      <c r="D6" s="19">
        <v>99.22</v>
      </c>
      <c r="E6" s="19">
        <v>99.21</v>
      </c>
      <c r="F6" s="19">
        <v>99.21</v>
      </c>
      <c r="G6" s="23">
        <v>99.21</v>
      </c>
      <c r="H6" s="19">
        <v>99.21</v>
      </c>
      <c r="I6" s="19">
        <v>99.21</v>
      </c>
      <c r="J6" s="19">
        <v>99.22</v>
      </c>
      <c r="K6" s="19">
        <v>99.24</v>
      </c>
      <c r="L6" s="9">
        <f t="shared" si="0"/>
        <v>99.217777777777783</v>
      </c>
      <c r="M6" s="21">
        <f t="shared" si="1"/>
        <v>1.0304020550552649E-2</v>
      </c>
      <c r="N6" s="503"/>
      <c r="O6" s="17">
        <f>O4/(SQRT(270))</f>
        <v>3.2885893473255522E-3</v>
      </c>
      <c r="S6" s="2" t="str">
        <f>indeter_MI!B7</f>
        <v>Гистерезис</v>
      </c>
      <c r="T6" s="2">
        <f>indeter_MI!C7</f>
        <v>0.01</v>
      </c>
      <c r="U6" s="2" t="str">
        <f>indeter_MI!D7</f>
        <v>Прямоугольное</v>
      </c>
      <c r="V6" s="2">
        <f>indeter_MI!E7</f>
        <v>1.73</v>
      </c>
      <c r="W6" s="59">
        <f t="shared" si="3"/>
        <v>5.7803468208092491E-3</v>
      </c>
      <c r="X6" s="52">
        <f t="shared" si="2"/>
        <v>3.3412409368839592E-5</v>
      </c>
      <c r="Y6" s="120"/>
    </row>
    <row r="7" spans="1:25" x14ac:dyDescent="0.2">
      <c r="A7" s="120"/>
      <c r="B7" s="6">
        <v>5</v>
      </c>
      <c r="C7" s="18">
        <v>99.23</v>
      </c>
      <c r="D7" s="19">
        <v>99.22</v>
      </c>
      <c r="E7" s="19">
        <v>99.21</v>
      </c>
      <c r="F7" s="19">
        <v>99.21</v>
      </c>
      <c r="G7" s="23">
        <v>99.21</v>
      </c>
      <c r="H7" s="19">
        <v>99.21</v>
      </c>
      <c r="I7" s="19">
        <v>99.21</v>
      </c>
      <c r="J7" s="19">
        <v>99.22</v>
      </c>
      <c r="K7" s="19">
        <v>99.24</v>
      </c>
      <c r="L7" s="9">
        <f t="shared" si="0"/>
        <v>99.217777777777783</v>
      </c>
      <c r="M7" s="21">
        <f t="shared" si="1"/>
        <v>1.0304020550552649E-2</v>
      </c>
      <c r="N7" s="503"/>
      <c r="S7" s="2" t="str">
        <f>indeter_MI!B8</f>
        <v>Влияние температуры</v>
      </c>
      <c r="T7" s="2">
        <f>indeter_MI!C8</f>
        <v>0.01</v>
      </c>
      <c r="U7" s="2" t="str">
        <f>indeter_MI!D8</f>
        <v>Прямоугольное</v>
      </c>
      <c r="V7" s="2">
        <f>indeter_MI!E8</f>
        <v>1.73</v>
      </c>
      <c r="W7" s="59">
        <f t="shared" si="3"/>
        <v>5.7803468208092491E-3</v>
      </c>
      <c r="X7" s="52">
        <f t="shared" si="2"/>
        <v>3.3412409368839592E-5</v>
      </c>
      <c r="Y7" s="120"/>
    </row>
    <row r="8" spans="1:25" ht="15" thickBot="1" x14ac:dyDescent="0.25">
      <c r="A8" s="120"/>
      <c r="B8" s="7">
        <v>6</v>
      </c>
      <c r="C8" s="18">
        <v>99.23</v>
      </c>
      <c r="D8" s="19">
        <v>99.22</v>
      </c>
      <c r="E8" s="19">
        <v>99.21</v>
      </c>
      <c r="F8" s="19">
        <v>99.21</v>
      </c>
      <c r="G8" s="23">
        <v>99.21</v>
      </c>
      <c r="H8" s="19">
        <v>99.21</v>
      </c>
      <c r="I8" s="19">
        <v>99.21</v>
      </c>
      <c r="J8" s="19">
        <v>99.22</v>
      </c>
      <c r="K8" s="19">
        <v>99.24</v>
      </c>
      <c r="L8" s="9">
        <f t="shared" si="0"/>
        <v>99.217777777777783</v>
      </c>
      <c r="M8" s="21">
        <f t="shared" si="1"/>
        <v>1.0304020550552649E-2</v>
      </c>
      <c r="N8" s="503"/>
      <c r="S8" s="2" t="str">
        <f>indeter_MI!B9</f>
        <v>Дрейф*</v>
      </c>
      <c r="T8" s="2">
        <f>indeter_MI!C9</f>
        <v>0.1</v>
      </c>
      <c r="U8" s="2" t="str">
        <f>indeter_MI!D9</f>
        <v>Прямоугольное</v>
      </c>
      <c r="V8" s="2">
        <f>indeter_MI!E9</f>
        <v>1.73</v>
      </c>
      <c r="W8" s="59">
        <f t="shared" si="3"/>
        <v>5.7803468208092491E-2</v>
      </c>
      <c r="X8" s="52">
        <f t="shared" si="2"/>
        <v>3.3412409368839594E-3</v>
      </c>
      <c r="Y8" s="120"/>
    </row>
    <row r="9" spans="1:25" x14ac:dyDescent="0.2">
      <c r="A9" s="120"/>
      <c r="B9" s="6">
        <v>7</v>
      </c>
      <c r="C9" s="18">
        <v>99.23</v>
      </c>
      <c r="D9" s="19">
        <v>99.22</v>
      </c>
      <c r="E9" s="19">
        <v>99.21</v>
      </c>
      <c r="F9" s="19">
        <v>99.21</v>
      </c>
      <c r="G9" s="23">
        <v>99.21</v>
      </c>
      <c r="H9" s="19">
        <v>99.21</v>
      </c>
      <c r="I9" s="19">
        <v>99.21</v>
      </c>
      <c r="J9" s="19">
        <v>99.22</v>
      </c>
      <c r="K9" s="19">
        <v>99.24</v>
      </c>
      <c r="L9" s="9">
        <f t="shared" si="0"/>
        <v>99.217777777777783</v>
      </c>
      <c r="M9" s="21">
        <f t="shared" si="1"/>
        <v>1.0304020550552649E-2</v>
      </c>
      <c r="N9" s="503"/>
      <c r="O9" s="2" t="s">
        <v>0</v>
      </c>
      <c r="P9" s="2" t="s">
        <v>2</v>
      </c>
      <c r="Q9" s="2" t="s">
        <v>3</v>
      </c>
      <c r="S9" s="2" t="str">
        <f>indeter_MI!B10</f>
        <v>Линейность</v>
      </c>
      <c r="T9" s="2">
        <f>indeter_MI!C10</f>
        <v>0.02</v>
      </c>
      <c r="U9" s="2" t="str">
        <f>indeter_MI!D10</f>
        <v>Прямоугольное</v>
      </c>
      <c r="V9" s="2">
        <f>indeter_MI!E10</f>
        <v>1.73</v>
      </c>
      <c r="W9" s="59">
        <f t="shared" si="3"/>
        <v>1.1560693641618498E-2</v>
      </c>
      <c r="X9" s="52">
        <f t="shared" si="2"/>
        <v>1.3364963747535837E-4</v>
      </c>
      <c r="Y9" s="120"/>
    </row>
    <row r="10" spans="1:25" ht="15" thickBot="1" x14ac:dyDescent="0.25">
      <c r="A10" s="120"/>
      <c r="B10" s="7">
        <v>8</v>
      </c>
      <c r="C10" s="18">
        <v>99.23</v>
      </c>
      <c r="D10" s="19">
        <v>99.22</v>
      </c>
      <c r="E10" s="19">
        <v>99.21</v>
      </c>
      <c r="F10" s="19">
        <v>99.21</v>
      </c>
      <c r="G10" s="23">
        <v>99.21</v>
      </c>
      <c r="H10" s="19">
        <v>99.21</v>
      </c>
      <c r="I10" s="19">
        <v>99.21</v>
      </c>
      <c r="J10" s="19">
        <v>99.22</v>
      </c>
      <c r="K10" s="19">
        <v>99.24</v>
      </c>
      <c r="L10" s="9">
        <f t="shared" si="0"/>
        <v>99.217777777777783</v>
      </c>
      <c r="M10" s="21">
        <f t="shared" si="1"/>
        <v>1.0304020550552649E-2</v>
      </c>
      <c r="N10" s="503"/>
      <c r="O10" s="38">
        <f>MAX(M4:M33)</f>
        <v>0.288097205817756</v>
      </c>
      <c r="P10" s="51">
        <f>MAX(C35:K35)</f>
        <v>0.21599999999997976</v>
      </c>
      <c r="Q10" s="50">
        <f>O6</f>
        <v>3.2885893473255522E-3</v>
      </c>
      <c r="S10" s="2" t="str">
        <f>indeter_MI!B11</f>
        <v>Разрешающая способность</v>
      </c>
      <c r="T10" s="2">
        <f>indeter_MI!C11</f>
        <v>0.01</v>
      </c>
      <c r="U10" s="2" t="str">
        <f>indeter_MI!D11</f>
        <v>Прямоугольное</v>
      </c>
      <c r="V10" s="2">
        <f>indeter_MI!E11</f>
        <v>1.73</v>
      </c>
      <c r="W10" s="59">
        <f t="shared" si="3"/>
        <v>5.7803468208092491E-3</v>
      </c>
      <c r="X10" s="52">
        <f>W10*W10</f>
        <v>3.3412409368839592E-5</v>
      </c>
      <c r="Y10" s="120"/>
    </row>
    <row r="11" spans="1:25" x14ac:dyDescent="0.2">
      <c r="A11" s="120"/>
      <c r="B11" s="6">
        <v>9</v>
      </c>
      <c r="C11" s="18">
        <v>99.23</v>
      </c>
      <c r="D11" s="19">
        <v>99.22</v>
      </c>
      <c r="E11" s="19">
        <v>99.21</v>
      </c>
      <c r="F11" s="19">
        <v>99.21</v>
      </c>
      <c r="G11" s="23">
        <v>99.21</v>
      </c>
      <c r="H11" s="19">
        <v>99.21</v>
      </c>
      <c r="I11" s="19">
        <v>99.21</v>
      </c>
      <c r="J11" s="19">
        <v>99.22</v>
      </c>
      <c r="K11" s="19">
        <v>99.24</v>
      </c>
      <c r="L11" s="9">
        <f t="shared" si="0"/>
        <v>99.217777777777783</v>
      </c>
      <c r="M11" s="21">
        <f t="shared" si="1"/>
        <v>1.0304020550552649E-2</v>
      </c>
      <c r="N11" s="503"/>
      <c r="S11" s="36" t="s">
        <v>0</v>
      </c>
      <c r="T11" s="37">
        <f>O10</f>
        <v>0.288097205817756</v>
      </c>
      <c r="U11" s="36" t="s">
        <v>13</v>
      </c>
      <c r="V11" s="21">
        <v>1</v>
      </c>
      <c r="W11" s="61">
        <f t="shared" si="3"/>
        <v>0.288097205817756</v>
      </c>
      <c r="X11" s="53">
        <f>W11*W11</f>
        <v>8.2999999999998464E-2</v>
      </c>
      <c r="Y11" s="120"/>
    </row>
    <row r="12" spans="1:25" ht="15" thickBot="1" x14ac:dyDescent="0.25">
      <c r="A12" s="120"/>
      <c r="B12" s="7">
        <v>10</v>
      </c>
      <c r="C12" s="18">
        <v>99.23</v>
      </c>
      <c r="D12" s="19">
        <v>99.22</v>
      </c>
      <c r="E12" s="19">
        <v>99.21</v>
      </c>
      <c r="F12" s="19">
        <v>99.21</v>
      </c>
      <c r="G12" s="23">
        <v>99.21</v>
      </c>
      <c r="H12" s="19">
        <v>99.21</v>
      </c>
      <c r="I12" s="19">
        <v>99.21</v>
      </c>
      <c r="J12" s="19">
        <v>99.22</v>
      </c>
      <c r="K12" s="19">
        <v>99.24</v>
      </c>
      <c r="L12" s="9">
        <f t="shared" si="0"/>
        <v>99.217777777777783</v>
      </c>
      <c r="M12" s="21">
        <f t="shared" si="1"/>
        <v>1.0304020550552649E-2</v>
      </c>
      <c r="N12" s="503"/>
      <c r="S12" s="26" t="s">
        <v>21</v>
      </c>
      <c r="T12" s="39">
        <f>P10</f>
        <v>0.21599999999997976</v>
      </c>
      <c r="U12" s="26" t="s">
        <v>13</v>
      </c>
      <c r="V12" s="22">
        <v>1</v>
      </c>
      <c r="W12" s="60">
        <f t="shared" si="3"/>
        <v>0.21599999999997976</v>
      </c>
      <c r="X12" s="54">
        <f>W12*W12</f>
        <v>4.665599999999126E-2</v>
      </c>
      <c r="Y12" s="120"/>
    </row>
    <row r="13" spans="1:25" x14ac:dyDescent="0.2">
      <c r="A13" s="120"/>
      <c r="B13" s="6">
        <v>11</v>
      </c>
      <c r="C13" s="18">
        <v>99.22</v>
      </c>
      <c r="D13" s="19">
        <v>99.22</v>
      </c>
      <c r="E13" s="19">
        <v>99.21</v>
      </c>
      <c r="F13" s="19">
        <v>99.21</v>
      </c>
      <c r="G13" s="23">
        <v>99.21</v>
      </c>
      <c r="H13" s="19">
        <v>99.21</v>
      </c>
      <c r="I13" s="19">
        <v>99.21</v>
      </c>
      <c r="J13" s="19">
        <v>99.22</v>
      </c>
      <c r="K13" s="19">
        <v>99.24</v>
      </c>
      <c r="L13" s="9">
        <f t="shared" si="0"/>
        <v>99.216666666666669</v>
      </c>
      <c r="M13" s="21">
        <f t="shared" si="1"/>
        <v>9.4280904158215492E-3</v>
      </c>
      <c r="N13" s="503"/>
      <c r="S13" s="25" t="s">
        <v>3</v>
      </c>
      <c r="T13" s="40">
        <f>Q10</f>
        <v>3.2885893473255522E-3</v>
      </c>
      <c r="U13" s="25" t="s">
        <v>13</v>
      </c>
      <c r="V13" s="17">
        <v>1</v>
      </c>
      <c r="W13" s="62">
        <f t="shared" si="3"/>
        <v>3.2885893473255522E-3</v>
      </c>
      <c r="X13" s="55">
        <f>W13*W13</f>
        <v>1.0814819895343101E-5</v>
      </c>
      <c r="Y13" s="120"/>
    </row>
    <row r="14" spans="1:25" ht="15" thickBot="1" x14ac:dyDescent="0.25">
      <c r="A14" s="120"/>
      <c r="B14" s="7">
        <v>12</v>
      </c>
      <c r="C14" s="18">
        <v>99.22</v>
      </c>
      <c r="D14" s="19">
        <v>99.22</v>
      </c>
      <c r="E14" s="19">
        <v>99.21</v>
      </c>
      <c r="F14" s="19">
        <v>99.21</v>
      </c>
      <c r="G14" s="23">
        <v>99.21</v>
      </c>
      <c r="H14" s="19">
        <v>99.21</v>
      </c>
      <c r="I14" s="19">
        <v>99.21</v>
      </c>
      <c r="J14" s="19">
        <v>99.22</v>
      </c>
      <c r="K14" s="19">
        <v>99.24</v>
      </c>
      <c r="L14" s="9">
        <f t="shared" si="0"/>
        <v>99.216666666666669</v>
      </c>
      <c r="M14" s="21">
        <f t="shared" si="1"/>
        <v>9.4280904158215492E-3</v>
      </c>
      <c r="N14" s="503"/>
      <c r="W14" s="56"/>
      <c r="X14" s="56"/>
      <c r="Y14" s="120"/>
    </row>
    <row r="15" spans="1:25" x14ac:dyDescent="0.2">
      <c r="A15" s="120"/>
      <c r="B15" s="6">
        <v>13</v>
      </c>
      <c r="C15" s="18">
        <v>99.22</v>
      </c>
      <c r="D15" s="19">
        <v>99.22</v>
      </c>
      <c r="E15" s="19">
        <v>99.21</v>
      </c>
      <c r="F15" s="19">
        <v>99.21</v>
      </c>
      <c r="G15" s="23">
        <v>99.21</v>
      </c>
      <c r="H15" s="19">
        <v>99.21</v>
      </c>
      <c r="I15" s="19">
        <v>99.21</v>
      </c>
      <c r="J15" s="19">
        <v>99.22</v>
      </c>
      <c r="K15" s="19">
        <v>99.24</v>
      </c>
      <c r="L15" s="9">
        <f t="shared" si="0"/>
        <v>99.216666666666669</v>
      </c>
      <c r="M15" s="21">
        <f t="shared" si="1"/>
        <v>9.4280904158215492E-3</v>
      </c>
      <c r="N15" s="503"/>
      <c r="S15" s="35" t="s">
        <v>22</v>
      </c>
      <c r="U15" s="41" t="s">
        <v>82</v>
      </c>
      <c r="V15" s="41"/>
      <c r="W15" s="57" t="s">
        <v>83</v>
      </c>
      <c r="X15" s="57"/>
      <c r="Y15" s="120"/>
    </row>
    <row r="16" spans="1:25" ht="15" thickBot="1" x14ac:dyDescent="0.25">
      <c r="A16" s="120"/>
      <c r="B16" s="7">
        <v>14</v>
      </c>
      <c r="C16" s="18">
        <v>99.22</v>
      </c>
      <c r="D16" s="19">
        <v>99.22</v>
      </c>
      <c r="E16" s="19">
        <v>99.21</v>
      </c>
      <c r="F16" s="19">
        <v>99.21</v>
      </c>
      <c r="G16" s="23">
        <v>99.21</v>
      </c>
      <c r="H16" s="19">
        <v>99.21</v>
      </c>
      <c r="I16" s="19">
        <v>99.21</v>
      </c>
      <c r="J16" s="19">
        <v>99.22</v>
      </c>
      <c r="K16" s="19">
        <v>99.24</v>
      </c>
      <c r="L16" s="9">
        <f t="shared" si="0"/>
        <v>99.216666666666669</v>
      </c>
      <c r="M16" s="21">
        <f t="shared" si="1"/>
        <v>9.4280904158215492E-3</v>
      </c>
      <c r="N16" s="503"/>
      <c r="S16" s="42">
        <f>SUM(X4:X13)</f>
        <v>0.13584194262235089</v>
      </c>
      <c r="V16" s="72">
        <f>SQRT(S16)</f>
        <v>0.36856741937174925</v>
      </c>
      <c r="W16" s="65"/>
      <c r="X16" s="72">
        <f>V16*2</f>
        <v>0.7371348387434985</v>
      </c>
      <c r="Y16" s="120"/>
    </row>
    <row r="17" spans="1:25" x14ac:dyDescent="0.2">
      <c r="A17" s="120"/>
      <c r="B17" s="6">
        <v>15</v>
      </c>
      <c r="C17" s="18">
        <v>99.22</v>
      </c>
      <c r="D17" s="19">
        <v>99.22</v>
      </c>
      <c r="E17" s="19">
        <v>99.21</v>
      </c>
      <c r="F17" s="19">
        <v>99.21</v>
      </c>
      <c r="G17" s="23">
        <v>99.21</v>
      </c>
      <c r="H17" s="19">
        <v>99.2</v>
      </c>
      <c r="I17" s="19">
        <v>99.21</v>
      </c>
      <c r="J17" s="19">
        <v>99.22</v>
      </c>
      <c r="K17" s="19">
        <v>99.23</v>
      </c>
      <c r="L17" s="9">
        <f t="shared" si="0"/>
        <v>99.214444444444453</v>
      </c>
      <c r="M17" s="21">
        <f t="shared" si="1"/>
        <v>8.3147941928324916E-3</v>
      </c>
      <c r="N17" s="503"/>
      <c r="S17" s="42">
        <f>ROUND(S16,8)</f>
        <v>0.13584193999999999</v>
      </c>
      <c r="V17" s="72">
        <f>ROUND(V16,3)</f>
        <v>0.36899999999999999</v>
      </c>
      <c r="W17" s="65"/>
      <c r="X17" s="72">
        <f>ROUND(X16,3)</f>
        <v>0.73699999999999999</v>
      </c>
      <c r="Y17" s="120"/>
    </row>
    <row r="18" spans="1:25" ht="15" thickBot="1" x14ac:dyDescent="0.25">
      <c r="A18" s="120"/>
      <c r="B18" s="7">
        <v>16</v>
      </c>
      <c r="C18" s="18">
        <v>99.22</v>
      </c>
      <c r="D18" s="19">
        <v>99.21</v>
      </c>
      <c r="E18" s="19">
        <v>99.21</v>
      </c>
      <c r="F18" s="19">
        <v>99.21</v>
      </c>
      <c r="G18" s="23">
        <v>99.21</v>
      </c>
      <c r="H18" s="19">
        <v>99.2</v>
      </c>
      <c r="I18" s="19">
        <v>99.21</v>
      </c>
      <c r="J18" s="19">
        <v>99.22</v>
      </c>
      <c r="K18" s="19">
        <v>99.24</v>
      </c>
      <c r="L18" s="9">
        <f t="shared" si="0"/>
        <v>99.214444444444453</v>
      </c>
      <c r="M18" s="21">
        <f t="shared" si="1"/>
        <v>1.0657403385138903E-2</v>
      </c>
      <c r="N18" s="503"/>
      <c r="W18" s="56"/>
      <c r="X18" s="56"/>
      <c r="Y18" s="120"/>
    </row>
    <row r="19" spans="1:25" x14ac:dyDescent="0.2">
      <c r="A19" s="120"/>
      <c r="B19" s="6">
        <v>17</v>
      </c>
      <c r="C19" s="18">
        <v>99.22</v>
      </c>
      <c r="D19" s="19">
        <v>99.21</v>
      </c>
      <c r="E19" s="19">
        <v>99.21</v>
      </c>
      <c r="F19" s="19">
        <v>99.2</v>
      </c>
      <c r="G19" s="23">
        <v>99.21</v>
      </c>
      <c r="H19" s="19">
        <v>99.2</v>
      </c>
      <c r="I19" s="19">
        <v>99.21</v>
      </c>
      <c r="J19" s="19">
        <v>99.22</v>
      </c>
      <c r="K19" s="19">
        <v>99.24</v>
      </c>
      <c r="L19" s="9">
        <f t="shared" si="0"/>
        <v>99.213333333333338</v>
      </c>
      <c r="M19" s="21">
        <f t="shared" si="1"/>
        <v>1.154700538379113E-2</v>
      </c>
      <c r="N19" s="503"/>
      <c r="O19" s="292" t="s">
        <v>36</v>
      </c>
      <c r="W19" s="56"/>
      <c r="X19" s="56"/>
      <c r="Y19" s="120"/>
    </row>
    <row r="20" spans="1:25" ht="15" thickBot="1" x14ac:dyDescent="0.25">
      <c r="A20" s="120"/>
      <c r="B20" s="7">
        <v>18</v>
      </c>
      <c r="C20" s="18">
        <v>99.22</v>
      </c>
      <c r="D20" s="19">
        <v>99.21</v>
      </c>
      <c r="E20" s="19">
        <v>99.21</v>
      </c>
      <c r="F20" s="19">
        <v>99.2</v>
      </c>
      <c r="G20" s="23">
        <v>99.21</v>
      </c>
      <c r="H20" s="19">
        <v>99.2</v>
      </c>
      <c r="I20" s="19">
        <v>99.21</v>
      </c>
      <c r="J20" s="19">
        <v>99.21</v>
      </c>
      <c r="K20" s="19">
        <v>99.23</v>
      </c>
      <c r="L20" s="9">
        <f t="shared" si="0"/>
        <v>99.211111111111123</v>
      </c>
      <c r="M20" s="21">
        <f t="shared" si="1"/>
        <v>8.7488976377913669E-3</v>
      </c>
      <c r="N20" s="503"/>
      <c r="W20" s="56"/>
      <c r="X20" s="56"/>
      <c r="Y20" s="120"/>
    </row>
    <row r="21" spans="1:25" x14ac:dyDescent="0.2">
      <c r="A21" s="120"/>
      <c r="B21" s="6">
        <v>19</v>
      </c>
      <c r="C21" s="18">
        <v>99.22</v>
      </c>
      <c r="D21" s="19">
        <v>99.21</v>
      </c>
      <c r="E21" s="19">
        <v>99.21</v>
      </c>
      <c r="F21" s="19">
        <v>99.2</v>
      </c>
      <c r="G21" s="23">
        <v>99.21</v>
      </c>
      <c r="H21" s="19">
        <v>99.08</v>
      </c>
      <c r="I21" s="19">
        <v>99.2</v>
      </c>
      <c r="J21" s="19">
        <v>99.21</v>
      </c>
      <c r="K21" s="19">
        <v>99.23</v>
      </c>
      <c r="L21" s="9">
        <f t="shared" si="0"/>
        <v>99.196666666666673</v>
      </c>
      <c r="M21" s="21">
        <f t="shared" si="1"/>
        <v>4.2163702135578365E-2</v>
      </c>
      <c r="N21" s="503"/>
      <c r="O21" s="63" t="s">
        <v>23</v>
      </c>
      <c r="S21" s="2" t="s">
        <v>7</v>
      </c>
      <c r="T21" s="2" t="s">
        <v>8</v>
      </c>
      <c r="U21" s="2" t="s">
        <v>9</v>
      </c>
      <c r="V21" s="2" t="s">
        <v>10</v>
      </c>
      <c r="W21" s="57" t="s">
        <v>11</v>
      </c>
      <c r="X21" s="58" t="s">
        <v>12</v>
      </c>
      <c r="Y21" s="120"/>
    </row>
    <row r="22" spans="1:25" ht="15" thickBot="1" x14ac:dyDescent="0.25">
      <c r="A22" s="120"/>
      <c r="B22" s="7">
        <v>20</v>
      </c>
      <c r="C22" s="18">
        <v>99.22</v>
      </c>
      <c r="D22" s="19">
        <v>99.21</v>
      </c>
      <c r="E22" s="19">
        <v>99.21</v>
      </c>
      <c r="F22" s="19">
        <v>99.2</v>
      </c>
      <c r="G22" s="23">
        <v>99.2</v>
      </c>
      <c r="H22" s="19">
        <v>98.96</v>
      </c>
      <c r="I22" s="19">
        <v>99.2</v>
      </c>
      <c r="J22" s="19">
        <v>99.21</v>
      </c>
      <c r="K22" s="19">
        <v>99.23</v>
      </c>
      <c r="L22" s="9">
        <f t="shared" si="0"/>
        <v>99.182222222222236</v>
      </c>
      <c r="M22" s="21">
        <f t="shared" si="1"/>
        <v>7.913108362117878E-2</v>
      </c>
      <c r="N22" s="503"/>
      <c r="O22" s="64">
        <f>MAX(C35:K35)</f>
        <v>0.21599999999997976</v>
      </c>
      <c r="S22" s="2" t="str">
        <f>indeter_MI!B16</f>
        <v>Поверка</v>
      </c>
      <c r="T22" s="2">
        <f>indeter_MI!C16</f>
        <v>0.1</v>
      </c>
      <c r="U22" s="2" t="str">
        <f>indeter_MI!D16</f>
        <v>Нормальное</v>
      </c>
      <c r="V22" s="2">
        <f>indeter_MI!E16</f>
        <v>2</v>
      </c>
      <c r="W22" s="59">
        <f>T22/V22</f>
        <v>0.05</v>
      </c>
      <c r="X22" s="59">
        <f t="shared" ref="X22:X29" si="4">W22*W22</f>
        <v>2.5000000000000005E-3</v>
      </c>
      <c r="Y22" s="120"/>
    </row>
    <row r="23" spans="1:25" x14ac:dyDescent="0.2">
      <c r="A23" s="120"/>
      <c r="B23" s="6">
        <v>21</v>
      </c>
      <c r="C23" s="18">
        <v>99.22</v>
      </c>
      <c r="D23" s="19">
        <v>99.21</v>
      </c>
      <c r="E23" s="19">
        <v>99.21</v>
      </c>
      <c r="F23" s="19">
        <v>99.2</v>
      </c>
      <c r="G23" s="23">
        <v>99.2</v>
      </c>
      <c r="H23" s="19">
        <v>98.91</v>
      </c>
      <c r="I23" s="19">
        <v>99.2</v>
      </c>
      <c r="J23" s="19">
        <v>99.21</v>
      </c>
      <c r="K23" s="19">
        <v>99.23</v>
      </c>
      <c r="L23" s="9">
        <f t="shared" si="0"/>
        <v>99.176666666666677</v>
      </c>
      <c r="M23" s="21">
        <f t="shared" si="1"/>
        <v>9.4751136023680058E-2</v>
      </c>
      <c r="N23" s="503"/>
      <c r="S23" s="2" t="str">
        <f>indeter_MI!B17</f>
        <v>Повторяемость*</v>
      </c>
      <c r="T23" s="2">
        <f>indeter_MI!C17</f>
        <v>0.01</v>
      </c>
      <c r="U23" s="2" t="str">
        <f>indeter_MI!D17</f>
        <v>Нормальное</v>
      </c>
      <c r="V23" s="2">
        <f>indeter_MI!E17</f>
        <v>1</v>
      </c>
      <c r="W23" s="59">
        <f t="shared" ref="W23:W28" si="5">T23/V23</f>
        <v>0.01</v>
      </c>
      <c r="X23" s="59">
        <f t="shared" si="4"/>
        <v>1E-4</v>
      </c>
      <c r="Y23" s="120"/>
    </row>
    <row r="24" spans="1:25" ht="15" thickBot="1" x14ac:dyDescent="0.25">
      <c r="A24" s="120"/>
      <c r="B24" s="7">
        <v>22</v>
      </c>
      <c r="C24" s="18">
        <v>99.22</v>
      </c>
      <c r="D24" s="19">
        <v>99.21</v>
      </c>
      <c r="E24" s="19">
        <v>99.2</v>
      </c>
      <c r="F24" s="19">
        <v>99.1</v>
      </c>
      <c r="G24" s="23">
        <v>99.2</v>
      </c>
      <c r="H24" s="19">
        <v>98.79</v>
      </c>
      <c r="I24" s="19">
        <v>99.2</v>
      </c>
      <c r="J24" s="19">
        <v>99.21</v>
      </c>
      <c r="K24" s="19">
        <v>99.22</v>
      </c>
      <c r="L24" s="9">
        <f t="shared" si="0"/>
        <v>99.15000000000002</v>
      </c>
      <c r="M24" s="21">
        <f t="shared" si="1"/>
        <v>0.13190905958272711</v>
      </c>
      <c r="N24" s="503"/>
      <c r="S24" s="2" t="str">
        <f>indeter_MI!B18</f>
        <v>Гистерезис</v>
      </c>
      <c r="T24" s="2">
        <f>indeter_MI!C18</f>
        <v>0.01</v>
      </c>
      <c r="U24" s="2" t="str">
        <f>indeter_MI!D18</f>
        <v>Прямоугольное</v>
      </c>
      <c r="V24" s="2">
        <f>indeter_MI!E18</f>
        <v>1.73</v>
      </c>
      <c r="W24" s="59">
        <f t="shared" si="5"/>
        <v>5.7803468208092491E-3</v>
      </c>
      <c r="X24" s="59">
        <f t="shared" si="4"/>
        <v>3.3412409368839592E-5</v>
      </c>
      <c r="Y24" s="120"/>
    </row>
    <row r="25" spans="1:25" x14ac:dyDescent="0.2">
      <c r="A25" s="120"/>
      <c r="B25" s="6">
        <v>23</v>
      </c>
      <c r="C25" s="18">
        <v>99.22</v>
      </c>
      <c r="D25" s="19">
        <v>99.21</v>
      </c>
      <c r="E25" s="19">
        <v>99.2</v>
      </c>
      <c r="F25" s="19">
        <v>98.96</v>
      </c>
      <c r="G25" s="23">
        <v>99.2</v>
      </c>
      <c r="H25" s="19">
        <v>98.69</v>
      </c>
      <c r="I25" s="19">
        <v>99.2</v>
      </c>
      <c r="J25" s="19">
        <v>99.21</v>
      </c>
      <c r="K25" s="19">
        <v>99.23</v>
      </c>
      <c r="L25" s="9">
        <f t="shared" si="0"/>
        <v>99.124444444444464</v>
      </c>
      <c r="M25" s="21">
        <f t="shared" si="1"/>
        <v>0.17250514395622654</v>
      </c>
      <c r="N25" s="503"/>
      <c r="S25" s="2" t="str">
        <f>indeter_MI!B19</f>
        <v>Влияние температуры</v>
      </c>
      <c r="T25" s="2">
        <f>indeter_MI!C19</f>
        <v>0.01</v>
      </c>
      <c r="U25" s="2" t="str">
        <f>indeter_MI!D19</f>
        <v>Прямоугольное</v>
      </c>
      <c r="V25" s="2">
        <f>indeter_MI!E19</f>
        <v>1.73</v>
      </c>
      <c r="W25" s="59">
        <f t="shared" si="5"/>
        <v>5.7803468208092491E-3</v>
      </c>
      <c r="X25" s="59">
        <f t="shared" si="4"/>
        <v>3.3412409368839592E-5</v>
      </c>
      <c r="Y25" s="120"/>
    </row>
    <row r="26" spans="1:25" ht="15" thickBot="1" x14ac:dyDescent="0.25">
      <c r="A26" s="120"/>
      <c r="B26" s="7">
        <v>24</v>
      </c>
      <c r="C26" s="18">
        <v>99.22</v>
      </c>
      <c r="D26" s="19">
        <v>99.21</v>
      </c>
      <c r="E26" s="19">
        <v>99.2</v>
      </c>
      <c r="F26" s="19">
        <v>98.83</v>
      </c>
      <c r="G26" s="23">
        <v>99.2</v>
      </c>
      <c r="H26" s="19">
        <v>98.58</v>
      </c>
      <c r="I26" s="19">
        <v>99.2</v>
      </c>
      <c r="J26" s="19">
        <v>99.21</v>
      </c>
      <c r="K26" s="19">
        <v>99.23</v>
      </c>
      <c r="L26" s="9">
        <f t="shared" si="0"/>
        <v>99.097777777777793</v>
      </c>
      <c r="M26" s="21">
        <f t="shared" si="1"/>
        <v>0.21826476163787817</v>
      </c>
      <c r="N26" s="503"/>
      <c r="S26" s="2" t="str">
        <f>indeter_MI!B20</f>
        <v>Дрейф*</v>
      </c>
      <c r="T26" s="2">
        <f>indeter_MI!C20</f>
        <v>0.1</v>
      </c>
      <c r="U26" s="2" t="str">
        <f>indeter_MI!D20</f>
        <v>Прямоугольное</v>
      </c>
      <c r="V26" s="2">
        <f>indeter_MI!E20</f>
        <v>1.73</v>
      </c>
      <c r="W26" s="59">
        <f t="shared" si="5"/>
        <v>5.7803468208092491E-2</v>
      </c>
      <c r="X26" s="59">
        <f t="shared" si="4"/>
        <v>3.3412409368839594E-3</v>
      </c>
      <c r="Y26" s="120"/>
    </row>
    <row r="27" spans="1:25" x14ac:dyDescent="0.2">
      <c r="A27" s="120"/>
      <c r="B27" s="6">
        <v>25</v>
      </c>
      <c r="C27" s="18">
        <v>99.22</v>
      </c>
      <c r="D27" s="19">
        <v>99.21</v>
      </c>
      <c r="E27" s="19">
        <v>99.2</v>
      </c>
      <c r="F27" s="19">
        <v>98.7</v>
      </c>
      <c r="G27" s="23">
        <v>99.2</v>
      </c>
      <c r="H27" s="19">
        <v>98.52</v>
      </c>
      <c r="I27" s="19">
        <v>99.2</v>
      </c>
      <c r="J27" s="19">
        <v>99.21</v>
      </c>
      <c r="K27" s="19">
        <v>99.31</v>
      </c>
      <c r="L27" s="9">
        <f t="shared" si="0"/>
        <v>99.085555555555558</v>
      </c>
      <c r="M27" s="21">
        <f t="shared" si="1"/>
        <v>0.25974821616802174</v>
      </c>
      <c r="N27" s="503"/>
      <c r="S27" s="2" t="str">
        <f>indeter_MI!B21</f>
        <v>Линейность</v>
      </c>
      <c r="T27" s="2">
        <f>indeter_MI!C21</f>
        <v>0.02</v>
      </c>
      <c r="U27" s="2" t="str">
        <f>indeter_MI!D21</f>
        <v>Прямоугольное</v>
      </c>
      <c r="V27" s="2">
        <f>indeter_MI!E21</f>
        <v>1.73</v>
      </c>
      <c r="W27" s="59">
        <f t="shared" si="5"/>
        <v>1.1560693641618498E-2</v>
      </c>
      <c r="X27" s="59">
        <f t="shared" si="4"/>
        <v>1.3364963747535837E-4</v>
      </c>
      <c r="Y27" s="120"/>
    </row>
    <row r="28" spans="1:25" ht="15" thickBot="1" x14ac:dyDescent="0.25">
      <c r="A28" s="120"/>
      <c r="B28" s="7">
        <v>26</v>
      </c>
      <c r="C28" s="18">
        <v>99.22</v>
      </c>
      <c r="D28" s="19">
        <v>99.21</v>
      </c>
      <c r="E28" s="19">
        <v>99.2</v>
      </c>
      <c r="F28" s="19">
        <v>98.59</v>
      </c>
      <c r="G28" s="23">
        <v>99.2</v>
      </c>
      <c r="H28" s="19">
        <v>98.48</v>
      </c>
      <c r="I28" s="19">
        <v>99.16</v>
      </c>
      <c r="J28" s="19">
        <v>99.21</v>
      </c>
      <c r="K28" s="19">
        <v>99.22</v>
      </c>
      <c r="L28" s="9">
        <f t="shared" si="0"/>
        <v>99.054444444444442</v>
      </c>
      <c r="M28" s="21">
        <f t="shared" si="1"/>
        <v>0.27936877703180368</v>
      </c>
      <c r="N28" s="503"/>
      <c r="S28" s="2" t="str">
        <f>indeter_MI!B22</f>
        <v>Разрешающая способность</v>
      </c>
      <c r="T28" s="2">
        <f>indeter_MI!C22</f>
        <v>0.01</v>
      </c>
      <c r="U28" s="2" t="str">
        <f>indeter_MI!D22</f>
        <v>Прямоугольное</v>
      </c>
      <c r="V28" s="2">
        <f>indeter_MI!E22</f>
        <v>1.73</v>
      </c>
      <c r="W28" s="59">
        <f t="shared" si="5"/>
        <v>5.7803468208092491E-3</v>
      </c>
      <c r="X28" s="59">
        <f t="shared" si="4"/>
        <v>3.3412409368839592E-5</v>
      </c>
      <c r="Y28" s="120"/>
    </row>
    <row r="29" spans="1:25" x14ac:dyDescent="0.2">
      <c r="A29" s="120"/>
      <c r="B29" s="6">
        <v>27</v>
      </c>
      <c r="C29" s="18">
        <v>99.22</v>
      </c>
      <c r="D29" s="19">
        <v>99.21</v>
      </c>
      <c r="E29" s="19">
        <v>99.2</v>
      </c>
      <c r="F29" s="19">
        <v>98.54</v>
      </c>
      <c r="G29" s="23">
        <v>99.2</v>
      </c>
      <c r="H29" s="19">
        <v>98.48</v>
      </c>
      <c r="I29" s="19">
        <v>99.14</v>
      </c>
      <c r="J29" s="19">
        <v>99.21</v>
      </c>
      <c r="K29" s="19">
        <v>99.22</v>
      </c>
      <c r="L29" s="9">
        <f t="shared" si="0"/>
        <v>99.046666666666681</v>
      </c>
      <c r="M29" s="21">
        <f t="shared" si="1"/>
        <v>0.288097205817756</v>
      </c>
      <c r="N29" s="503"/>
      <c r="S29" s="48" t="s">
        <v>21</v>
      </c>
      <c r="T29" s="49">
        <f>O22</f>
        <v>0.21599999999997976</v>
      </c>
      <c r="U29" s="49" t="s">
        <v>13</v>
      </c>
      <c r="V29" s="16">
        <v>1</v>
      </c>
      <c r="W29" s="60">
        <f>T29/V29</f>
        <v>0.21599999999997976</v>
      </c>
      <c r="X29" s="60">
        <f t="shared" si="4"/>
        <v>4.665599999999126E-2</v>
      </c>
      <c r="Y29" s="120"/>
    </row>
    <row r="30" spans="1:25" ht="15" thickBot="1" x14ac:dyDescent="0.25">
      <c r="A30" s="120"/>
      <c r="B30" s="7">
        <v>28</v>
      </c>
      <c r="C30" s="18">
        <v>99.21</v>
      </c>
      <c r="D30" s="19">
        <v>99.21</v>
      </c>
      <c r="E30" s="19">
        <v>99.2</v>
      </c>
      <c r="F30" s="19">
        <v>98.55</v>
      </c>
      <c r="G30" s="23">
        <v>99.18</v>
      </c>
      <c r="H30" s="19">
        <v>98.51</v>
      </c>
      <c r="I30" s="19">
        <v>99.12</v>
      </c>
      <c r="J30" s="19">
        <v>99.21</v>
      </c>
      <c r="K30" s="19">
        <v>99.23</v>
      </c>
      <c r="L30" s="9">
        <f t="shared" si="0"/>
        <v>99.046666666666681</v>
      </c>
      <c r="M30" s="21">
        <f t="shared" si="1"/>
        <v>0.27788886667555035</v>
      </c>
      <c r="N30" s="503"/>
      <c r="X30" s="56"/>
      <c r="Y30" s="120"/>
    </row>
    <row r="31" spans="1:25" ht="15" thickBot="1" x14ac:dyDescent="0.25">
      <c r="A31" s="120"/>
      <c r="B31" s="8">
        <v>29</v>
      </c>
      <c r="C31" s="18">
        <v>99.21</v>
      </c>
      <c r="D31" s="19">
        <v>99.21</v>
      </c>
      <c r="E31" s="19">
        <v>99.2</v>
      </c>
      <c r="F31" s="19">
        <v>98.55</v>
      </c>
      <c r="G31" s="23">
        <v>99.18</v>
      </c>
      <c r="H31" s="19">
        <v>98.54</v>
      </c>
      <c r="I31" s="19">
        <v>99.07</v>
      </c>
      <c r="J31" s="19">
        <v>99.21</v>
      </c>
      <c r="K31" s="19">
        <v>99.22</v>
      </c>
      <c r="L31" s="9">
        <f t="shared" si="0"/>
        <v>99.043333333333351</v>
      </c>
      <c r="M31" s="21">
        <f t="shared" si="1"/>
        <v>0.26981475126463922</v>
      </c>
      <c r="N31" s="503"/>
      <c r="S31" s="35" t="s">
        <v>22</v>
      </c>
      <c r="U31" s="41" t="s">
        <v>82</v>
      </c>
      <c r="V31" s="41"/>
      <c r="W31" s="41" t="s">
        <v>83</v>
      </c>
      <c r="X31" s="57"/>
      <c r="Y31" s="120"/>
    </row>
    <row r="32" spans="1:25" ht="15" thickBot="1" x14ac:dyDescent="0.25">
      <c r="A32" s="120"/>
      <c r="B32" s="8">
        <v>30</v>
      </c>
      <c r="C32" s="18">
        <v>99.21</v>
      </c>
      <c r="D32" s="19">
        <v>99.21</v>
      </c>
      <c r="E32" s="19">
        <v>99.2</v>
      </c>
      <c r="F32" s="19">
        <v>98.55</v>
      </c>
      <c r="G32" s="23">
        <v>99.18</v>
      </c>
      <c r="H32" s="19">
        <v>98.54</v>
      </c>
      <c r="I32" s="19">
        <v>99.07</v>
      </c>
      <c r="J32" s="19">
        <v>99.21</v>
      </c>
      <c r="K32" s="19">
        <v>99.22</v>
      </c>
      <c r="L32" s="9">
        <f t="shared" si="0"/>
        <v>99.043333333333351</v>
      </c>
      <c r="M32" s="21">
        <f t="shared" si="1"/>
        <v>0.26981475126463922</v>
      </c>
      <c r="N32" s="503"/>
      <c r="S32" s="42">
        <f>SUM(X22:X29)</f>
        <v>5.2831127802457099E-2</v>
      </c>
      <c r="V32" s="72">
        <f>SQRT(S32)</f>
        <v>0.22985022906766289</v>
      </c>
      <c r="W32" s="65"/>
      <c r="X32" s="72">
        <f>V32*2</f>
        <v>0.45970045813532578</v>
      </c>
      <c r="Y32" s="120"/>
    </row>
    <row r="33" spans="1:25" ht="19.5" thickBot="1" x14ac:dyDescent="0.4">
      <c r="A33" s="120"/>
      <c r="B33" s="93" t="s">
        <v>64</v>
      </c>
      <c r="C33" s="30">
        <f>AVERAGE(C3:C32)</f>
        <v>99.22233333333331</v>
      </c>
      <c r="D33" s="31">
        <f t="shared" ref="D33:K33" si="6">AVERAGE(D3:D32)</f>
        <v>99.215000000000018</v>
      </c>
      <c r="E33" s="31">
        <f t="shared" si="6"/>
        <v>99.206999999999951</v>
      </c>
      <c r="F33" s="31">
        <f t="shared" si="6"/>
        <v>99.057666666666691</v>
      </c>
      <c r="G33" s="31">
        <f t="shared" si="6"/>
        <v>99.204333333333295</v>
      </c>
      <c r="H33" s="31">
        <f t="shared" si="6"/>
        <v>98.994000000000014</v>
      </c>
      <c r="I33" s="31">
        <f t="shared" si="6"/>
        <v>99.191333333333333</v>
      </c>
      <c r="J33" s="31">
        <f t="shared" si="6"/>
        <v>99.215666666666692</v>
      </c>
      <c r="K33" s="31">
        <f t="shared" si="6"/>
        <v>99.236333333333292</v>
      </c>
      <c r="N33" s="503"/>
      <c r="S33" s="42">
        <f>ROUND(S32,8)</f>
        <v>5.2831129999999997E-2</v>
      </c>
      <c r="V33" s="72">
        <f>ROUND(V32,3)</f>
        <v>0.23</v>
      </c>
      <c r="W33" s="65"/>
      <c r="X33" s="72">
        <f>ROUND(X32,3)</f>
        <v>0.46</v>
      </c>
      <c r="Y33" s="120"/>
    </row>
    <row r="34" spans="1:25" ht="19.5" thickBot="1" x14ac:dyDescent="0.4">
      <c r="A34" s="120"/>
      <c r="B34" s="93" t="s">
        <v>39</v>
      </c>
      <c r="C34" s="27">
        <f>_xlfn.STDEV.P(C3:C32)</f>
        <v>6.1553951042096133E-3</v>
      </c>
      <c r="D34" s="22">
        <f t="shared" ref="D34:K34" si="7">_xlfn.STDEV.P(D3:D32)</f>
        <v>5.0000000000025562E-3</v>
      </c>
      <c r="E34" s="22">
        <f t="shared" si="7"/>
        <v>4.5825756949516719E-3</v>
      </c>
      <c r="F34" s="22">
        <f t="shared" si="7"/>
        <v>0.25321510399043728</v>
      </c>
      <c r="G34" s="22">
        <f t="shared" si="7"/>
        <v>9.1954094827512104E-3</v>
      </c>
      <c r="H34" s="22">
        <f t="shared" si="7"/>
        <v>0.29117692216245128</v>
      </c>
      <c r="I34" s="22">
        <f t="shared" si="7"/>
        <v>3.8706875645318981E-2</v>
      </c>
      <c r="J34" s="22">
        <f t="shared" si="7"/>
        <v>4.9553562491087026E-3</v>
      </c>
      <c r="K34" s="22">
        <f t="shared" si="7"/>
        <v>1.5595583420385598E-2</v>
      </c>
      <c r="N34" s="503"/>
      <c r="S34" s="66"/>
      <c r="T34" s="66"/>
      <c r="U34" s="66"/>
      <c r="V34" s="66"/>
      <c r="W34" s="66"/>
      <c r="X34" s="66"/>
      <c r="Y34" s="124"/>
    </row>
    <row r="35" spans="1:25" ht="19.5" thickBot="1" x14ac:dyDescent="0.4">
      <c r="A35" s="120"/>
      <c r="B35" s="93" t="s">
        <v>65</v>
      </c>
      <c r="C35" s="11">
        <f>MAX(C3:C32)-C33</f>
        <v>7.6666666666937999E-3</v>
      </c>
      <c r="D35" s="12">
        <f t="shared" ref="D35:K35" si="8">MAX(D3:D32)-D33</f>
        <v>4.9999999999812417E-3</v>
      </c>
      <c r="E35" s="12">
        <f t="shared" si="8"/>
        <v>3.0000000000427463E-3</v>
      </c>
      <c r="F35" s="12">
        <f t="shared" si="8"/>
        <v>0.15233333333330279</v>
      </c>
      <c r="G35" s="24">
        <f t="shared" si="8"/>
        <v>5.6666666666984611E-3</v>
      </c>
      <c r="H35" s="12">
        <f t="shared" si="8"/>
        <v>0.21599999999997976</v>
      </c>
      <c r="I35" s="12">
        <f t="shared" si="8"/>
        <v>1.8666666666661058E-2</v>
      </c>
      <c r="J35" s="12">
        <f t="shared" si="8"/>
        <v>4.3333333333066548E-3</v>
      </c>
      <c r="K35" s="12">
        <f t="shared" si="8"/>
        <v>7.3666666666710512E-2</v>
      </c>
      <c r="N35" s="503"/>
      <c r="Y35" s="120"/>
    </row>
    <row r="36" spans="1:25" ht="19.5" thickBot="1" x14ac:dyDescent="0.4">
      <c r="A36" s="120"/>
      <c r="B36" s="93" t="s">
        <v>66</v>
      </c>
      <c r="C36" s="11">
        <f>C33-MIN(C3:C32)</f>
        <v>1.2333333333316432E-2</v>
      </c>
      <c r="D36" s="12">
        <f t="shared" ref="D36:K36" si="9">D33-MIN(D3:D32)</f>
        <v>5.0000000000238742E-3</v>
      </c>
      <c r="E36" s="12">
        <f t="shared" si="9"/>
        <v>6.9999999999481588E-3</v>
      </c>
      <c r="F36" s="12">
        <f t="shared" si="9"/>
        <v>0.5176666666666847</v>
      </c>
      <c r="G36" s="24">
        <f t="shared" si="9"/>
        <v>2.4333333333288465E-2</v>
      </c>
      <c r="H36" s="12">
        <f t="shared" si="9"/>
        <v>0.51400000000001</v>
      </c>
      <c r="I36" s="12">
        <f t="shared" si="9"/>
        <v>0.12133333333333951</v>
      </c>
      <c r="J36" s="12">
        <f t="shared" si="9"/>
        <v>5.6666666666984611E-3</v>
      </c>
      <c r="K36" s="12">
        <f t="shared" si="9"/>
        <v>1.6333333333292899E-2</v>
      </c>
      <c r="N36" s="503"/>
      <c r="Y36" s="120"/>
    </row>
    <row r="37" spans="1:25" ht="15.75" thickBot="1" x14ac:dyDescent="0.25">
      <c r="A37" s="120"/>
      <c r="B37" s="94" t="s">
        <v>37</v>
      </c>
      <c r="C37" s="14">
        <f>(C35+C36)/2</f>
        <v>1.0000000000005116E-2</v>
      </c>
      <c r="D37" s="15">
        <f t="shared" ref="D37:K37" si="10">(D35+D36)/2</f>
        <v>5.000000000002558E-3</v>
      </c>
      <c r="E37" s="15">
        <f t="shared" si="10"/>
        <v>4.9999999999954525E-3</v>
      </c>
      <c r="F37" s="15">
        <f t="shared" si="10"/>
        <v>0.33499999999999375</v>
      </c>
      <c r="G37" s="15">
        <f t="shared" si="10"/>
        <v>1.4999999999993463E-2</v>
      </c>
      <c r="H37" s="15">
        <f t="shared" si="10"/>
        <v>0.36499999999999488</v>
      </c>
      <c r="I37" s="15">
        <f t="shared" si="10"/>
        <v>7.0000000000000284E-2</v>
      </c>
      <c r="J37" s="15">
        <f t="shared" si="10"/>
        <v>5.000000000002558E-3</v>
      </c>
      <c r="K37" s="15">
        <f t="shared" si="10"/>
        <v>4.5000000000001705E-2</v>
      </c>
      <c r="N37" s="503"/>
      <c r="Y37" s="120"/>
    </row>
    <row r="38" spans="1:25" ht="19.5" thickBot="1" x14ac:dyDescent="0.4">
      <c r="A38" s="120"/>
      <c r="B38" s="95" t="s">
        <v>67</v>
      </c>
      <c r="C38" s="43">
        <f>C33-$G33</f>
        <v>1.8000000000014893E-2</v>
      </c>
      <c r="D38" s="13">
        <f t="shared" ref="D38:K38" si="11">D33-$G33</f>
        <v>1.0666666666722335E-2</v>
      </c>
      <c r="E38" s="13">
        <f t="shared" si="11"/>
        <v>2.6666666666557148E-3</v>
      </c>
      <c r="F38" s="13">
        <f t="shared" si="11"/>
        <v>-0.14666666666660433</v>
      </c>
      <c r="G38" s="13">
        <f>G33-$G33</f>
        <v>0</v>
      </c>
      <c r="H38" s="13">
        <f t="shared" si="11"/>
        <v>-0.2103333333332813</v>
      </c>
      <c r="I38" s="13">
        <f t="shared" si="11"/>
        <v>-1.2999999999962597E-2</v>
      </c>
      <c r="J38" s="13">
        <f t="shared" si="11"/>
        <v>1.1333333333396922E-2</v>
      </c>
      <c r="K38" s="13">
        <f t="shared" si="11"/>
        <v>3.1999999999996476E-2</v>
      </c>
      <c r="N38" s="503"/>
      <c r="Y38" s="120"/>
    </row>
    <row r="39" spans="1:25" ht="18.75" x14ac:dyDescent="0.35">
      <c r="A39" s="120"/>
      <c r="B39" s="99" t="s">
        <v>68</v>
      </c>
      <c r="C39" s="45">
        <v>98</v>
      </c>
      <c r="N39" s="503"/>
      <c r="Y39" s="120"/>
    </row>
    <row r="40" spans="1:25" ht="18.75" x14ac:dyDescent="0.2">
      <c r="A40" s="120"/>
      <c r="B40" s="100" t="s">
        <v>69</v>
      </c>
      <c r="C40" s="44">
        <f>AVERAGE(C3:K32)</f>
        <v>99.171518518518354</v>
      </c>
      <c r="N40" s="503"/>
      <c r="Y40" s="120"/>
    </row>
    <row r="41" spans="1:25" ht="18.75" x14ac:dyDescent="0.2">
      <c r="A41" s="120"/>
      <c r="B41" s="101" t="s">
        <v>70</v>
      </c>
      <c r="C41" s="28">
        <f>C40-C39</f>
        <v>1.1715185185183543</v>
      </c>
      <c r="N41" s="503"/>
      <c r="Y41" s="120"/>
    </row>
    <row r="42" spans="1:25" ht="18.75" x14ac:dyDescent="0.2">
      <c r="A42" s="120"/>
      <c r="B42" s="102" t="s">
        <v>71</v>
      </c>
      <c r="C42" s="29">
        <f>MAX(C33:K33)-MIN(C33:K33)</f>
        <v>0.24233333333327778</v>
      </c>
      <c r="N42" s="503"/>
      <c r="Y42" s="120"/>
    </row>
    <row r="43" spans="1:25" ht="18.75" x14ac:dyDescent="0.2">
      <c r="A43" s="120"/>
      <c r="B43" s="103" t="s">
        <v>72</v>
      </c>
      <c r="C43" s="32">
        <f>MAX(C38:K38)</f>
        <v>3.1999999999996476E-2</v>
      </c>
      <c r="N43" s="503"/>
      <c r="Y43" s="120"/>
    </row>
    <row r="44" spans="1:25" x14ac:dyDescent="0.2">
      <c r="A44" s="120"/>
      <c r="B44" s="104"/>
      <c r="C44" s="32">
        <f>MIN(C38:K38)</f>
        <v>-0.2103333333332813</v>
      </c>
      <c r="D44" s="65"/>
      <c r="N44" s="503"/>
      <c r="Y44" s="120"/>
    </row>
    <row r="45" spans="1:25" ht="18.75" x14ac:dyDescent="0.2">
      <c r="A45" s="120"/>
      <c r="B45" s="105" t="s">
        <v>50</v>
      </c>
      <c r="C45" s="33">
        <f>AVERAGE(C37:K37)</f>
        <v>9.4999999999998863E-2</v>
      </c>
      <c r="N45" s="503"/>
      <c r="Y45" s="120"/>
    </row>
    <row r="46" spans="1:25" ht="18.75" x14ac:dyDescent="0.35">
      <c r="A46" s="120"/>
      <c r="B46" s="180" t="s">
        <v>259</v>
      </c>
      <c r="C46" s="181">
        <f>_xlfn.STDEV.P(C3:K32)</f>
        <v>0.15226533137436651</v>
      </c>
      <c r="N46" s="503"/>
      <c r="Y46" s="120"/>
    </row>
    <row r="47" spans="1:25" x14ac:dyDescent="0.2">
      <c r="A47" s="120"/>
      <c r="B47" s="120"/>
      <c r="C47" s="120"/>
      <c r="D47" s="120"/>
      <c r="E47" s="120"/>
      <c r="F47" s="120"/>
      <c r="G47" s="120"/>
      <c r="H47" s="120"/>
      <c r="I47" s="120"/>
      <c r="J47" s="120"/>
      <c r="K47" s="120"/>
      <c r="L47" s="120"/>
      <c r="M47" s="120"/>
      <c r="N47" s="120"/>
      <c r="O47" s="120"/>
      <c r="P47" s="120"/>
      <c r="Q47" s="120"/>
      <c r="R47" s="120"/>
      <c r="S47" s="120"/>
      <c r="T47" s="120"/>
      <c r="U47" s="120"/>
      <c r="V47" s="120"/>
      <c r="W47" s="120"/>
      <c r="X47" s="120"/>
      <c r="Y47" s="120"/>
    </row>
    <row r="48" spans="1:25" ht="15" thickBot="1" x14ac:dyDescent="0.25">
      <c r="A48" s="123"/>
      <c r="B48" s="123"/>
      <c r="C48" s="123"/>
      <c r="D48" s="123"/>
      <c r="E48" s="123"/>
      <c r="F48" s="123"/>
      <c r="G48" s="123"/>
      <c r="H48" s="123"/>
      <c r="I48" s="123"/>
      <c r="J48" s="123"/>
      <c r="K48" s="123"/>
      <c r="L48" s="123"/>
      <c r="M48" s="123"/>
      <c r="N48" s="123"/>
      <c r="O48" s="123" t="s">
        <v>6</v>
      </c>
      <c r="P48" s="123"/>
      <c r="Q48" s="123"/>
      <c r="R48" s="123"/>
      <c r="S48" s="123"/>
      <c r="T48" s="123"/>
      <c r="U48" s="123"/>
      <c r="V48" s="123"/>
      <c r="W48" s="123"/>
      <c r="X48" s="123"/>
      <c r="Y48" s="123"/>
    </row>
    <row r="49" spans="1:25" ht="19.5" thickBot="1" x14ac:dyDescent="0.3">
      <c r="A49" s="123"/>
      <c r="B49" s="121" t="s">
        <v>31</v>
      </c>
      <c r="C49" s="3">
        <v>1</v>
      </c>
      <c r="D49" s="3">
        <v>2</v>
      </c>
      <c r="E49" s="3">
        <v>3</v>
      </c>
      <c r="F49" s="3">
        <v>4</v>
      </c>
      <c r="G49" s="4">
        <v>5</v>
      </c>
      <c r="H49" s="3">
        <v>6</v>
      </c>
      <c r="I49" s="3">
        <v>7</v>
      </c>
      <c r="J49" s="3">
        <v>8</v>
      </c>
      <c r="K49" s="5">
        <v>9</v>
      </c>
      <c r="L49" s="1" t="s">
        <v>1</v>
      </c>
      <c r="M49" s="183" t="s">
        <v>260</v>
      </c>
      <c r="N49" s="501" t="s">
        <v>85</v>
      </c>
      <c r="O49" s="293" t="s">
        <v>24</v>
      </c>
      <c r="Y49" s="123"/>
    </row>
    <row r="50" spans="1:25" x14ac:dyDescent="0.2">
      <c r="A50" s="123"/>
      <c r="B50" s="6">
        <v>1</v>
      </c>
      <c r="C50" s="68">
        <v>39.69003</v>
      </c>
      <c r="D50" s="9">
        <v>39.890059999999998</v>
      </c>
      <c r="E50" s="9">
        <v>39.800939999999997</v>
      </c>
      <c r="F50" s="9">
        <v>40.029969999999999</v>
      </c>
      <c r="G50" s="67">
        <v>39.7866</v>
      </c>
      <c r="H50" s="9">
        <v>39.702770000000001</v>
      </c>
      <c r="I50" s="9">
        <v>39.728859999999997</v>
      </c>
      <c r="J50" s="9">
        <v>39.519660000000002</v>
      </c>
      <c r="K50" s="9">
        <v>39.863959999999999</v>
      </c>
      <c r="L50" s="9">
        <f>AVERAGE(C50:K50)</f>
        <v>39.779205555555556</v>
      </c>
      <c r="M50" s="73">
        <f>_xlfn.STDEV.P(C50:K50)</f>
        <v>0.13604539210711991</v>
      </c>
      <c r="N50" s="502"/>
      <c r="O50" s="292" t="s">
        <v>4</v>
      </c>
      <c r="S50" s="2" t="s">
        <v>7</v>
      </c>
      <c r="T50" s="2" t="s">
        <v>8</v>
      </c>
      <c r="U50" s="2" t="s">
        <v>9</v>
      </c>
      <c r="V50" s="2" t="s">
        <v>10</v>
      </c>
      <c r="W50" s="41" t="s">
        <v>11</v>
      </c>
      <c r="X50" s="46" t="s">
        <v>12</v>
      </c>
      <c r="Y50" s="123"/>
    </row>
    <row r="51" spans="1:25" ht="15" thickBot="1" x14ac:dyDescent="0.25">
      <c r="A51" s="123"/>
      <c r="B51" s="7">
        <v>2</v>
      </c>
      <c r="C51" s="68">
        <v>39.681750000000001</v>
      </c>
      <c r="D51" s="9">
        <v>39.884929999999997</v>
      </c>
      <c r="E51" s="9">
        <v>39.797649999999997</v>
      </c>
      <c r="F51" s="9">
        <v>40.025069999999999</v>
      </c>
      <c r="G51" s="67">
        <v>39.777160000000002</v>
      </c>
      <c r="H51" s="9">
        <v>39.693420000000003</v>
      </c>
      <c r="I51" s="9">
        <v>39.72146</v>
      </c>
      <c r="J51" s="9">
        <v>39.514279999999999</v>
      </c>
      <c r="K51" s="9">
        <v>39.856560000000002</v>
      </c>
      <c r="L51" s="9">
        <f t="shared" ref="L51:L79" si="12">AVERAGE(C51:K51)</f>
        <v>39.772475555555552</v>
      </c>
      <c r="M51" s="21">
        <f t="shared" ref="M51:M79" si="13">_xlfn.STDEV.P(C51:K51)</f>
        <v>0.13659521913799874</v>
      </c>
      <c r="N51" s="502"/>
      <c r="O51" s="17">
        <f>AVERAGE(C81:K81)</f>
        <v>6.2514709150153147E-3</v>
      </c>
      <c r="S51" s="2" t="str">
        <f>indeter_MI!B16</f>
        <v>Поверка</v>
      </c>
      <c r="T51" s="2">
        <f>indeter_MI!C16</f>
        <v>0.1</v>
      </c>
      <c r="U51" s="2" t="str">
        <f>indeter_MI!D16</f>
        <v>Нормальное</v>
      </c>
      <c r="V51" s="2">
        <f>indeter_MI!E16</f>
        <v>2</v>
      </c>
      <c r="W51" s="59">
        <f>T51/V51</f>
        <v>0.05</v>
      </c>
      <c r="X51" s="52">
        <f t="shared" ref="X51:X56" si="14">W51*W51</f>
        <v>2.5000000000000005E-3</v>
      </c>
      <c r="Y51" s="123"/>
    </row>
    <row r="52" spans="1:25" x14ac:dyDescent="0.2">
      <c r="A52" s="123"/>
      <c r="B52" s="6">
        <v>3</v>
      </c>
      <c r="C52" s="68">
        <v>39.674460000000003</v>
      </c>
      <c r="D52" s="9">
        <v>39.876220000000004</v>
      </c>
      <c r="E52" s="9">
        <v>39.790990000000001</v>
      </c>
      <c r="F52" s="9">
        <v>40.015439999999998</v>
      </c>
      <c r="G52" s="67">
        <v>39.765549999999998</v>
      </c>
      <c r="H52" s="9">
        <v>39.684570000000001</v>
      </c>
      <c r="I52" s="9">
        <v>39.711449999999999</v>
      </c>
      <c r="J52" s="9">
        <v>39.508580000000002</v>
      </c>
      <c r="K52" s="9">
        <v>39.849730000000001</v>
      </c>
      <c r="L52" s="9">
        <f t="shared" si="12"/>
        <v>39.764109999999995</v>
      </c>
      <c r="M52" s="21">
        <f t="shared" si="13"/>
        <v>0.13590160002328416</v>
      </c>
      <c r="N52" s="502"/>
      <c r="O52" s="292" t="s">
        <v>5</v>
      </c>
      <c r="S52" s="2" t="str">
        <f>indeter_MI!B17</f>
        <v>Повторяемость*</v>
      </c>
      <c r="T52" s="2">
        <f>indeter_MI!C17</f>
        <v>0.01</v>
      </c>
      <c r="U52" s="2" t="str">
        <f>indeter_MI!D17</f>
        <v>Нормальное</v>
      </c>
      <c r="V52" s="2">
        <f>indeter_MI!E17</f>
        <v>1</v>
      </c>
      <c r="W52" s="59">
        <f t="shared" ref="W52:W60" si="15">T52/V52</f>
        <v>0.01</v>
      </c>
      <c r="X52" s="52">
        <f t="shared" si="14"/>
        <v>1E-4</v>
      </c>
      <c r="Y52" s="123"/>
    </row>
    <row r="53" spans="1:25" ht="15" thickBot="1" x14ac:dyDescent="0.25">
      <c r="A53" s="123"/>
      <c r="B53" s="7">
        <v>4</v>
      </c>
      <c r="C53" s="68">
        <v>39.672179999999997</v>
      </c>
      <c r="D53" s="9">
        <v>39.870190000000001</v>
      </c>
      <c r="E53" s="9">
        <v>39.786540000000002</v>
      </c>
      <c r="F53" s="9">
        <v>40.011139999999997</v>
      </c>
      <c r="G53" s="67">
        <v>39.761249999999997</v>
      </c>
      <c r="H53" s="9">
        <v>39.679839999999999</v>
      </c>
      <c r="I53" s="9">
        <v>39.706609999999998</v>
      </c>
      <c r="J53" s="9">
        <v>39.504309999999997</v>
      </c>
      <c r="K53" s="9">
        <v>39.84554</v>
      </c>
      <c r="L53" s="9">
        <f t="shared" si="12"/>
        <v>39.75973333333333</v>
      </c>
      <c r="M53" s="21">
        <f t="shared" si="13"/>
        <v>0.1356471597769586</v>
      </c>
      <c r="N53" s="502"/>
      <c r="O53" s="17">
        <f>O51/(SQRT(270))</f>
        <v>3.8045240419348324E-4</v>
      </c>
      <c r="S53" s="2" t="str">
        <f>indeter_MI!B18</f>
        <v>Гистерезис</v>
      </c>
      <c r="T53" s="2">
        <f>indeter_MI!C18</f>
        <v>0.01</v>
      </c>
      <c r="U53" s="2" t="str">
        <f>indeter_MI!D18</f>
        <v>Прямоугольное</v>
      </c>
      <c r="V53" s="2">
        <f>indeter_MI!E18</f>
        <v>1.73</v>
      </c>
      <c r="W53" s="59">
        <f t="shared" si="15"/>
        <v>5.7803468208092491E-3</v>
      </c>
      <c r="X53" s="52">
        <f t="shared" si="14"/>
        <v>3.3412409368839592E-5</v>
      </c>
      <c r="Y53" s="123"/>
    </row>
    <row r="54" spans="1:25" x14ac:dyDescent="0.2">
      <c r="A54" s="123"/>
      <c r="B54" s="6">
        <v>5</v>
      </c>
      <c r="C54" s="68">
        <v>39.670569999999998</v>
      </c>
      <c r="D54" s="9">
        <v>39.868899999999996</v>
      </c>
      <c r="E54" s="9">
        <v>39.783459999999998</v>
      </c>
      <c r="F54" s="9">
        <v>40.008620000000001</v>
      </c>
      <c r="G54" s="67">
        <v>39.760420000000003</v>
      </c>
      <c r="H54" s="9">
        <v>39.680489999999999</v>
      </c>
      <c r="I54" s="9">
        <v>39.70449</v>
      </c>
      <c r="J54" s="9">
        <v>39.502130000000001</v>
      </c>
      <c r="K54" s="9">
        <v>39.844569999999997</v>
      </c>
      <c r="L54" s="9">
        <f t="shared" si="12"/>
        <v>39.758183333333335</v>
      </c>
      <c r="M54" s="21">
        <f t="shared" si="13"/>
        <v>0.13549985928651936</v>
      </c>
      <c r="N54" s="502"/>
      <c r="S54" s="2" t="str">
        <f>indeter_MI!B19</f>
        <v>Влияние температуры</v>
      </c>
      <c r="T54" s="2">
        <f>indeter_MI!C19</f>
        <v>0.01</v>
      </c>
      <c r="U54" s="2" t="str">
        <f>indeter_MI!D19</f>
        <v>Прямоугольное</v>
      </c>
      <c r="V54" s="2">
        <f>indeter_MI!E19</f>
        <v>1.73</v>
      </c>
      <c r="W54" s="59">
        <f t="shared" si="15"/>
        <v>5.7803468208092491E-3</v>
      </c>
      <c r="X54" s="52">
        <f t="shared" si="14"/>
        <v>3.3412409368839592E-5</v>
      </c>
      <c r="Y54" s="123"/>
    </row>
    <row r="55" spans="1:25" ht="15" thickBot="1" x14ac:dyDescent="0.25">
      <c r="A55" s="123"/>
      <c r="B55" s="7">
        <v>6</v>
      </c>
      <c r="C55" s="68">
        <v>39.669589999999999</v>
      </c>
      <c r="D55" s="9">
        <v>39.870109999999997</v>
      </c>
      <c r="E55" s="9">
        <v>39.783029999999997</v>
      </c>
      <c r="F55" s="9">
        <v>40.005470000000003</v>
      </c>
      <c r="G55" s="67">
        <v>39.760249999999999</v>
      </c>
      <c r="H55" s="9">
        <v>39.679079999999999</v>
      </c>
      <c r="I55" s="9">
        <v>39.703200000000002</v>
      </c>
      <c r="J55" s="9">
        <v>39.500999999999998</v>
      </c>
      <c r="K55" s="9">
        <v>39.843069999999997</v>
      </c>
      <c r="L55" s="9">
        <f t="shared" si="12"/>
        <v>39.75719999999999</v>
      </c>
      <c r="M55" s="21">
        <f t="shared" si="13"/>
        <v>0.13530603000441507</v>
      </c>
      <c r="N55" s="502"/>
      <c r="S55" s="2" t="str">
        <f>indeter_MI!B20</f>
        <v>Дрейф*</v>
      </c>
      <c r="T55" s="2">
        <f>indeter_MI!C20</f>
        <v>0.1</v>
      </c>
      <c r="U55" s="2" t="str">
        <f>indeter_MI!D20</f>
        <v>Прямоугольное</v>
      </c>
      <c r="V55" s="2">
        <f>indeter_MI!E20</f>
        <v>1.73</v>
      </c>
      <c r="W55" s="59">
        <f t="shared" si="15"/>
        <v>5.7803468208092491E-2</v>
      </c>
      <c r="X55" s="52">
        <f t="shared" si="14"/>
        <v>3.3412409368839594E-3</v>
      </c>
      <c r="Y55" s="123"/>
    </row>
    <row r="56" spans="1:25" x14ac:dyDescent="0.2">
      <c r="A56" s="123"/>
      <c r="B56" s="6">
        <v>7</v>
      </c>
      <c r="C56" s="68">
        <v>39.673169999999999</v>
      </c>
      <c r="D56" s="9">
        <v>39.873399999999997</v>
      </c>
      <c r="E56" s="9">
        <v>39.782539999999997</v>
      </c>
      <c r="F56" s="9">
        <v>40.00703</v>
      </c>
      <c r="G56" s="67">
        <v>39.76238</v>
      </c>
      <c r="H56" s="9">
        <v>39.683059999999998</v>
      </c>
      <c r="I56" s="9">
        <v>39.708100000000002</v>
      </c>
      <c r="J56" s="9">
        <v>39.504710000000003</v>
      </c>
      <c r="K56" s="9">
        <v>39.846530000000001</v>
      </c>
      <c r="L56" s="9">
        <f t="shared" si="12"/>
        <v>39.760102222222223</v>
      </c>
      <c r="M56" s="21">
        <f t="shared" si="13"/>
        <v>0.13466429468024632</v>
      </c>
      <c r="N56" s="502"/>
      <c r="O56" s="2" t="s">
        <v>0</v>
      </c>
      <c r="P56" s="2" t="s">
        <v>2</v>
      </c>
      <c r="Q56" s="2" t="s">
        <v>3</v>
      </c>
      <c r="S56" s="2" t="str">
        <f>indeter_MI!B21</f>
        <v>Линейность</v>
      </c>
      <c r="T56" s="2">
        <f>indeter_MI!C21</f>
        <v>0.02</v>
      </c>
      <c r="U56" s="2" t="str">
        <f>indeter_MI!D21</f>
        <v>Прямоугольное</v>
      </c>
      <c r="V56" s="2">
        <f>indeter_MI!E21</f>
        <v>1.73</v>
      </c>
      <c r="W56" s="59">
        <f t="shared" si="15"/>
        <v>1.1560693641618498E-2</v>
      </c>
      <c r="X56" s="52">
        <f t="shared" si="14"/>
        <v>1.3364963747535837E-4</v>
      </c>
      <c r="Y56" s="123"/>
    </row>
    <row r="57" spans="1:25" ht="15" thickBot="1" x14ac:dyDescent="0.25">
      <c r="A57" s="123"/>
      <c r="B57" s="7">
        <v>8</v>
      </c>
      <c r="C57" s="68">
        <v>39.676960000000001</v>
      </c>
      <c r="D57" s="9">
        <v>39.87426</v>
      </c>
      <c r="E57" s="9">
        <v>39.785069999999997</v>
      </c>
      <c r="F57" s="9">
        <v>40.015099999999997</v>
      </c>
      <c r="G57" s="67">
        <v>39.768030000000003</v>
      </c>
      <c r="H57" s="9">
        <v>39.687869999999997</v>
      </c>
      <c r="I57" s="9">
        <v>39.712510000000002</v>
      </c>
      <c r="J57" s="9">
        <v>39.506239999999998</v>
      </c>
      <c r="K57" s="9">
        <v>39.849550000000001</v>
      </c>
      <c r="L57" s="9">
        <f t="shared" si="12"/>
        <v>39.763954444444444</v>
      </c>
      <c r="M57" s="21">
        <f t="shared" si="13"/>
        <v>0.13558540704098307</v>
      </c>
      <c r="N57" s="502"/>
      <c r="O57" s="38">
        <f>MAX(M50:M79)</f>
        <v>0.13765721558447</v>
      </c>
      <c r="P57" s="51">
        <f>MAX(C81:K81)</f>
        <v>9.2428604338699646E-3</v>
      </c>
      <c r="Q57" s="50">
        <f>O53</f>
        <v>3.8045240419348324E-4</v>
      </c>
      <c r="S57" s="2" t="str">
        <f>indeter_MI!B22</f>
        <v>Разрешающая способность</v>
      </c>
      <c r="T57" s="2">
        <f>indeter_MI!C22</f>
        <v>0.01</v>
      </c>
      <c r="U57" s="2" t="str">
        <f>indeter_MI!D22</f>
        <v>Прямоугольное</v>
      </c>
      <c r="V57" s="2">
        <f>indeter_MI!E22</f>
        <v>1.73</v>
      </c>
      <c r="W57" s="59">
        <f t="shared" si="15"/>
        <v>5.7803468208092491E-3</v>
      </c>
      <c r="X57" s="52">
        <f>W57*W57</f>
        <v>3.3412409368839592E-5</v>
      </c>
      <c r="Y57" s="123"/>
    </row>
    <row r="58" spans="1:25" x14ac:dyDescent="0.2">
      <c r="A58" s="123"/>
      <c r="B58" s="6">
        <v>9</v>
      </c>
      <c r="C58" s="68">
        <v>39.677930000000003</v>
      </c>
      <c r="D58" s="9">
        <v>39.87574</v>
      </c>
      <c r="E58" s="9">
        <v>39.787039999999998</v>
      </c>
      <c r="F58" s="9">
        <v>40.018030000000003</v>
      </c>
      <c r="G58" s="67">
        <v>39.770040000000002</v>
      </c>
      <c r="H58" s="9">
        <v>39.689169999999997</v>
      </c>
      <c r="I58" s="9">
        <v>39.711649999999999</v>
      </c>
      <c r="J58" s="9">
        <v>39.508800000000001</v>
      </c>
      <c r="K58" s="9">
        <v>39.849629999999998</v>
      </c>
      <c r="L58" s="9">
        <f t="shared" si="12"/>
        <v>39.76533666666667</v>
      </c>
      <c r="M58" s="21">
        <f t="shared" si="13"/>
        <v>0.13571864065861514</v>
      </c>
      <c r="N58" s="502"/>
      <c r="S58" s="36" t="s">
        <v>0</v>
      </c>
      <c r="T58" s="37">
        <f>O57</f>
        <v>0.13765721558447</v>
      </c>
      <c r="U58" s="36" t="s">
        <v>13</v>
      </c>
      <c r="V58" s="21">
        <v>1</v>
      </c>
      <c r="W58" s="61">
        <f t="shared" si="15"/>
        <v>0.13765721558447</v>
      </c>
      <c r="X58" s="53">
        <f>W58*W58</f>
        <v>1.894950900246925E-2</v>
      </c>
      <c r="Y58" s="123"/>
    </row>
    <row r="59" spans="1:25" ht="15" thickBot="1" x14ac:dyDescent="0.25">
      <c r="A59" s="123"/>
      <c r="B59" s="7">
        <v>10</v>
      </c>
      <c r="C59" s="68">
        <v>39.677720000000001</v>
      </c>
      <c r="D59" s="9">
        <v>39.877400000000002</v>
      </c>
      <c r="E59" s="9">
        <v>39.79</v>
      </c>
      <c r="F59" s="9">
        <v>40.020339999999997</v>
      </c>
      <c r="G59" s="67">
        <v>39.769390000000001</v>
      </c>
      <c r="H59" s="9">
        <v>39.69126</v>
      </c>
      <c r="I59" s="9">
        <v>39.715809999999998</v>
      </c>
      <c r="J59" s="9">
        <v>39.509979999999999</v>
      </c>
      <c r="K59" s="9">
        <v>39.852119999999999</v>
      </c>
      <c r="L59" s="9">
        <f t="shared" si="12"/>
        <v>39.767113333333334</v>
      </c>
      <c r="M59" s="21">
        <f t="shared" si="13"/>
        <v>0.13602960829662522</v>
      </c>
      <c r="N59" s="502"/>
      <c r="S59" s="26" t="s">
        <v>21</v>
      </c>
      <c r="T59" s="39">
        <f>P57</f>
        <v>9.2428604338699646E-3</v>
      </c>
      <c r="U59" s="26" t="s">
        <v>13</v>
      </c>
      <c r="V59" s="22">
        <v>1</v>
      </c>
      <c r="W59" s="60">
        <f t="shared" si="15"/>
        <v>9.2428604338699646E-3</v>
      </c>
      <c r="X59" s="54">
        <f>W59*W59</f>
        <v>8.5430468999998872E-5</v>
      </c>
      <c r="Y59" s="123"/>
    </row>
    <row r="60" spans="1:25" x14ac:dyDescent="0.2">
      <c r="A60" s="123"/>
      <c r="B60" s="6">
        <v>11</v>
      </c>
      <c r="C60" s="68">
        <v>39.672899999999998</v>
      </c>
      <c r="D60" s="9">
        <v>39.873179999999998</v>
      </c>
      <c r="E60" s="9">
        <v>39.788400000000003</v>
      </c>
      <c r="F60" s="9">
        <v>40.019829999999999</v>
      </c>
      <c r="G60" s="67">
        <v>39.764180000000003</v>
      </c>
      <c r="H60" s="9">
        <v>39.687390000000001</v>
      </c>
      <c r="I60" s="9">
        <v>39.713039999999999</v>
      </c>
      <c r="J60" s="9">
        <v>39.506</v>
      </c>
      <c r="K60" s="9">
        <v>39.847990000000003</v>
      </c>
      <c r="L60" s="9">
        <f t="shared" si="12"/>
        <v>39.763656666666662</v>
      </c>
      <c r="M60" s="21">
        <f t="shared" si="13"/>
        <v>0.1367670918020851</v>
      </c>
      <c r="N60" s="502"/>
      <c r="S60" s="25" t="s">
        <v>3</v>
      </c>
      <c r="T60" s="40">
        <f>Q57</f>
        <v>3.8045240419348324E-4</v>
      </c>
      <c r="U60" s="25" t="s">
        <v>13</v>
      </c>
      <c r="V60" s="17">
        <v>1</v>
      </c>
      <c r="W60" s="62">
        <f t="shared" si="15"/>
        <v>3.8045240419348324E-4</v>
      </c>
      <c r="X60" s="55">
        <f>W60*W60</f>
        <v>1.4474403185660156E-7</v>
      </c>
      <c r="Y60" s="123"/>
    </row>
    <row r="61" spans="1:25" ht="15" thickBot="1" x14ac:dyDescent="0.25">
      <c r="A61" s="123"/>
      <c r="B61" s="7">
        <v>12</v>
      </c>
      <c r="C61" s="68">
        <v>39.667740000000002</v>
      </c>
      <c r="D61" s="9">
        <v>39.870519999999999</v>
      </c>
      <c r="E61" s="9">
        <v>39.78434</v>
      </c>
      <c r="F61" s="9">
        <v>40.013300000000001</v>
      </c>
      <c r="G61" s="67">
        <v>39.752510000000001</v>
      </c>
      <c r="H61" s="9">
        <v>39.681019999999997</v>
      </c>
      <c r="I61" s="9">
        <v>39.703629999999997</v>
      </c>
      <c r="J61" s="9">
        <v>39.50047</v>
      </c>
      <c r="K61" s="9">
        <v>39.844889999999999</v>
      </c>
      <c r="L61" s="9">
        <f t="shared" si="12"/>
        <v>39.757602222222225</v>
      </c>
      <c r="M61" s="21">
        <f t="shared" si="13"/>
        <v>0.13721913130122129</v>
      </c>
      <c r="N61" s="502"/>
      <c r="W61" s="56"/>
      <c r="X61" s="56"/>
      <c r="Y61" s="123"/>
    </row>
    <row r="62" spans="1:25" x14ac:dyDescent="0.2">
      <c r="A62" s="123"/>
      <c r="B62" s="6">
        <v>13</v>
      </c>
      <c r="C62" s="68">
        <v>39.674410000000002</v>
      </c>
      <c r="D62" s="9">
        <v>39.87697</v>
      </c>
      <c r="E62" s="9">
        <v>39.78031</v>
      </c>
      <c r="F62" s="9">
        <v>40.012999999999998</v>
      </c>
      <c r="G62" s="67">
        <v>39.751730000000002</v>
      </c>
      <c r="H62" s="9">
        <v>39.683219999999999</v>
      </c>
      <c r="I62" s="9">
        <v>39.707880000000003</v>
      </c>
      <c r="J62" s="9">
        <v>39.503399999999999</v>
      </c>
      <c r="K62" s="9">
        <v>39.850299999999997</v>
      </c>
      <c r="L62" s="9">
        <f t="shared" si="12"/>
        <v>39.760135555555557</v>
      </c>
      <c r="M62" s="21">
        <f t="shared" si="13"/>
        <v>0.13666937616103597</v>
      </c>
      <c r="N62" s="502"/>
      <c r="S62" s="35" t="s">
        <v>22</v>
      </c>
      <c r="U62" s="41" t="s">
        <v>82</v>
      </c>
      <c r="V62" s="41"/>
      <c r="W62" s="57" t="s">
        <v>83</v>
      </c>
      <c r="X62" s="57"/>
      <c r="Y62" s="123"/>
    </row>
    <row r="63" spans="1:25" ht="15" thickBot="1" x14ac:dyDescent="0.25">
      <c r="A63" s="123"/>
      <c r="B63" s="7">
        <v>14</v>
      </c>
      <c r="C63" s="68">
        <v>39.679380000000002</v>
      </c>
      <c r="D63" s="9">
        <v>39.882129999999997</v>
      </c>
      <c r="E63" s="9">
        <v>39.786169999999998</v>
      </c>
      <c r="F63" s="9">
        <v>40.019390000000001</v>
      </c>
      <c r="G63" s="67">
        <v>39.765659999999997</v>
      </c>
      <c r="H63" s="9">
        <v>39.692070000000001</v>
      </c>
      <c r="I63" s="9">
        <v>39.714840000000002</v>
      </c>
      <c r="J63" s="9">
        <v>39.509169999999997</v>
      </c>
      <c r="K63" s="9">
        <v>39.852939999999997</v>
      </c>
      <c r="L63" s="9">
        <f t="shared" si="12"/>
        <v>39.766861111111112</v>
      </c>
      <c r="M63" s="21">
        <f t="shared" si="13"/>
        <v>0.13629998259105158</v>
      </c>
      <c r="N63" s="502"/>
      <c r="S63" s="42">
        <f>SUM(X51:X60)</f>
        <v>2.5210212017966943E-2</v>
      </c>
      <c r="V63" s="72">
        <f>SQRT(S63)</f>
        <v>0.1587772402391695</v>
      </c>
      <c r="W63" s="65"/>
      <c r="X63" s="72">
        <f>V63*2</f>
        <v>0.31755448047833901</v>
      </c>
      <c r="Y63" s="123"/>
    </row>
    <row r="64" spans="1:25" x14ac:dyDescent="0.2">
      <c r="A64" s="123"/>
      <c r="B64" s="6">
        <v>15</v>
      </c>
      <c r="C64" s="68">
        <v>39.685670000000002</v>
      </c>
      <c r="D64" s="9">
        <v>39.887729999999998</v>
      </c>
      <c r="E64" s="9">
        <v>39.790019999999998</v>
      </c>
      <c r="F64" s="9">
        <v>40.023159999999997</v>
      </c>
      <c r="G64" s="67">
        <v>39.777250000000002</v>
      </c>
      <c r="H64" s="9">
        <v>39.698569999999997</v>
      </c>
      <c r="I64" s="9">
        <v>39.720739999999999</v>
      </c>
      <c r="J64" s="9">
        <v>39.514740000000003</v>
      </c>
      <c r="K64" s="9">
        <v>39.85839</v>
      </c>
      <c r="L64" s="9">
        <f t="shared" si="12"/>
        <v>39.772918888888881</v>
      </c>
      <c r="M64" s="21">
        <f t="shared" si="13"/>
        <v>0.13578488841173481</v>
      </c>
      <c r="N64" s="502"/>
      <c r="S64" s="42">
        <f>ROUND(S63,8)</f>
        <v>2.521021E-2</v>
      </c>
      <c r="V64" s="72">
        <f>ROUND(V63,3)</f>
        <v>0.159</v>
      </c>
      <c r="W64" s="65"/>
      <c r="X64" s="72">
        <f>ROUND(X63,3)</f>
        <v>0.318</v>
      </c>
      <c r="Y64" s="123"/>
    </row>
    <row r="65" spans="1:25" ht="15" thickBot="1" x14ac:dyDescent="0.25">
      <c r="A65" s="123"/>
      <c r="B65" s="7">
        <v>16</v>
      </c>
      <c r="C65" s="68">
        <v>39.681669999999997</v>
      </c>
      <c r="D65" s="9">
        <v>39.880740000000003</v>
      </c>
      <c r="E65" s="9">
        <v>39.79419</v>
      </c>
      <c r="F65" s="9">
        <v>40.025069999999999</v>
      </c>
      <c r="G65" s="67">
        <v>39.771419999999999</v>
      </c>
      <c r="H65" s="9">
        <v>39.694389999999999</v>
      </c>
      <c r="I65" s="9">
        <v>39.715299999999999</v>
      </c>
      <c r="J65" s="9">
        <v>39.513689999999997</v>
      </c>
      <c r="K65" s="9">
        <v>39.852800000000002</v>
      </c>
      <c r="L65" s="9">
        <f t="shared" si="12"/>
        <v>39.769918888888888</v>
      </c>
      <c r="M65" s="21">
        <f t="shared" si="13"/>
        <v>0.13620775507734584</v>
      </c>
      <c r="N65" s="502"/>
      <c r="W65" s="56"/>
      <c r="X65" s="56"/>
      <c r="Y65" s="123"/>
    </row>
    <row r="66" spans="1:25" x14ac:dyDescent="0.2">
      <c r="A66" s="123"/>
      <c r="B66" s="6">
        <v>17</v>
      </c>
      <c r="C66" s="68">
        <v>39.673409999999997</v>
      </c>
      <c r="D66" s="9">
        <v>39.872459999999997</v>
      </c>
      <c r="E66" s="9">
        <v>39.790950000000002</v>
      </c>
      <c r="F66" s="9">
        <v>40.015439999999998</v>
      </c>
      <c r="G66" s="67">
        <v>39.759450000000001</v>
      </c>
      <c r="H66" s="9">
        <v>39.679920000000003</v>
      </c>
      <c r="I66" s="9">
        <v>39.70608</v>
      </c>
      <c r="J66" s="9">
        <v>39.50656</v>
      </c>
      <c r="K66" s="9">
        <v>39.844329999999999</v>
      </c>
      <c r="L66" s="9">
        <f t="shared" si="12"/>
        <v>39.760955555555562</v>
      </c>
      <c r="M66" s="21">
        <f t="shared" si="13"/>
        <v>0.1362221289831104</v>
      </c>
      <c r="N66" s="502"/>
      <c r="O66" s="292" t="s">
        <v>36</v>
      </c>
      <c r="W66" s="56"/>
      <c r="X66" s="56"/>
      <c r="Y66" s="123"/>
    </row>
    <row r="67" spans="1:25" ht="15" thickBot="1" x14ac:dyDescent="0.25">
      <c r="A67" s="123"/>
      <c r="B67" s="7">
        <v>18</v>
      </c>
      <c r="C67" s="68">
        <v>39.670250000000003</v>
      </c>
      <c r="D67" s="9">
        <v>39.873289999999997</v>
      </c>
      <c r="E67" s="9">
        <v>39.785769999999999</v>
      </c>
      <c r="F67" s="9">
        <v>40.01155</v>
      </c>
      <c r="G67" s="67">
        <v>39.754710000000003</v>
      </c>
      <c r="H67" s="9">
        <v>39.675379999999997</v>
      </c>
      <c r="I67" s="9">
        <v>39.701970000000003</v>
      </c>
      <c r="J67" s="9">
        <v>39.504600000000003</v>
      </c>
      <c r="K67" s="9">
        <v>39.842559999999999</v>
      </c>
      <c r="L67" s="9">
        <f t="shared" si="12"/>
        <v>39.757786666666661</v>
      </c>
      <c r="M67" s="21">
        <f t="shared" si="13"/>
        <v>0.13637709786552094</v>
      </c>
      <c r="N67" s="502"/>
      <c r="W67" s="56"/>
      <c r="X67" s="56"/>
      <c r="Y67" s="123"/>
    </row>
    <row r="68" spans="1:25" x14ac:dyDescent="0.2">
      <c r="A68" s="123"/>
      <c r="B68" s="6">
        <v>19</v>
      </c>
      <c r="C68" s="68">
        <v>39.667119999999997</v>
      </c>
      <c r="D68" s="9">
        <v>39.872369999999997</v>
      </c>
      <c r="E68" s="9">
        <v>39.78389</v>
      </c>
      <c r="F68" s="9">
        <v>40.010440000000003</v>
      </c>
      <c r="G68" s="67">
        <v>39.748690000000003</v>
      </c>
      <c r="H68" s="9">
        <v>39.672580000000004</v>
      </c>
      <c r="I68" s="9">
        <v>39.697719999999997</v>
      </c>
      <c r="J68" s="9">
        <v>39.501080000000002</v>
      </c>
      <c r="K68" s="9">
        <v>39.840000000000003</v>
      </c>
      <c r="L68" s="9">
        <f t="shared" si="12"/>
        <v>39.754876666666668</v>
      </c>
      <c r="M68" s="21">
        <f t="shared" si="13"/>
        <v>0.1371928640029553</v>
      </c>
      <c r="N68" s="502"/>
      <c r="O68" s="63" t="s">
        <v>23</v>
      </c>
      <c r="S68" s="2" t="s">
        <v>7</v>
      </c>
      <c r="T68" s="2" t="s">
        <v>8</v>
      </c>
      <c r="U68" s="2" t="s">
        <v>9</v>
      </c>
      <c r="V68" s="2" t="s">
        <v>10</v>
      </c>
      <c r="W68" s="57" t="s">
        <v>11</v>
      </c>
      <c r="X68" s="58" t="s">
        <v>12</v>
      </c>
      <c r="Y68" s="123"/>
    </row>
    <row r="69" spans="1:25" ht="15" thickBot="1" x14ac:dyDescent="0.25">
      <c r="A69" s="123"/>
      <c r="B69" s="7">
        <v>20</v>
      </c>
      <c r="C69" s="68">
        <v>39.66769</v>
      </c>
      <c r="D69" s="9">
        <v>39.874899999999997</v>
      </c>
      <c r="E69" s="9">
        <v>39.782359999999997</v>
      </c>
      <c r="F69" s="9">
        <v>40.009099999999997</v>
      </c>
      <c r="G69" s="67">
        <v>39.748049999999999</v>
      </c>
      <c r="H69" s="9">
        <v>39.673189999999998</v>
      </c>
      <c r="I69" s="9">
        <v>39.700319999999998</v>
      </c>
      <c r="J69" s="9">
        <v>39.499250000000004</v>
      </c>
      <c r="K69" s="9">
        <v>39.841769999999997</v>
      </c>
      <c r="L69" s="9">
        <f t="shared" si="12"/>
        <v>39.755181111111114</v>
      </c>
      <c r="M69" s="21">
        <f t="shared" si="13"/>
        <v>0.13742970198488319</v>
      </c>
      <c r="N69" s="502"/>
      <c r="O69" s="64">
        <f>MAX(C81:K81)</f>
        <v>9.2428604338699646E-3</v>
      </c>
      <c r="S69" s="2" t="str">
        <f>indeter_MI!B5</f>
        <v>Поверка</v>
      </c>
      <c r="T69" s="2">
        <f>indeter_MI!C5</f>
        <v>0.1</v>
      </c>
      <c r="U69" s="2" t="str">
        <f>indeter_MI!D5</f>
        <v>Нормальное</v>
      </c>
      <c r="V69" s="2">
        <f>indeter_MI!E5</f>
        <v>2</v>
      </c>
      <c r="W69" s="59">
        <f>T69/V69</f>
        <v>0.05</v>
      </c>
      <c r="X69" s="59">
        <f t="shared" ref="X69:X76" si="16">W69*W69</f>
        <v>2.5000000000000005E-3</v>
      </c>
      <c r="Y69" s="123"/>
    </row>
    <row r="70" spans="1:25" x14ac:dyDescent="0.2">
      <c r="A70" s="123"/>
      <c r="B70" s="6">
        <v>21</v>
      </c>
      <c r="C70" s="68">
        <v>39.669029999999999</v>
      </c>
      <c r="D70" s="9">
        <v>39.877400000000002</v>
      </c>
      <c r="E70" s="9">
        <v>39.785339999999998</v>
      </c>
      <c r="F70" s="9">
        <v>40.014420000000001</v>
      </c>
      <c r="G70" s="67">
        <v>39.751710000000003</v>
      </c>
      <c r="H70" s="9">
        <v>39.678870000000003</v>
      </c>
      <c r="I70" s="9">
        <v>39.704700000000003</v>
      </c>
      <c r="J70" s="9">
        <v>39.502099999999999</v>
      </c>
      <c r="K70" s="9">
        <v>39.843150000000001</v>
      </c>
      <c r="L70" s="9">
        <f t="shared" si="12"/>
        <v>39.75852444444444</v>
      </c>
      <c r="M70" s="21">
        <f t="shared" si="13"/>
        <v>0.13765721558447</v>
      </c>
      <c r="N70" s="502"/>
      <c r="S70" s="2" t="str">
        <f>indeter_MI!B6</f>
        <v>Повторяемость*</v>
      </c>
      <c r="T70" s="2">
        <f>indeter_MI!C6</f>
        <v>0.01</v>
      </c>
      <c r="U70" s="2" t="str">
        <f>indeter_MI!D6</f>
        <v>Нормальное</v>
      </c>
      <c r="V70" s="2">
        <f>indeter_MI!E6</f>
        <v>1</v>
      </c>
      <c r="W70" s="59">
        <f t="shared" ref="W70:W75" si="17">T70/V70</f>
        <v>0.01</v>
      </c>
      <c r="X70" s="59">
        <f t="shared" si="16"/>
        <v>1E-4</v>
      </c>
      <c r="Y70" s="123"/>
    </row>
    <row r="71" spans="1:25" ht="15" thickBot="1" x14ac:dyDescent="0.25">
      <c r="A71" s="123"/>
      <c r="B71" s="7">
        <v>22</v>
      </c>
      <c r="C71" s="68">
        <v>39.673070000000003</v>
      </c>
      <c r="D71" s="9">
        <v>39.87697</v>
      </c>
      <c r="E71" s="9">
        <v>39.786009999999997</v>
      </c>
      <c r="F71" s="9">
        <v>40.016959999999997</v>
      </c>
      <c r="G71" s="67">
        <v>39.753419999999998</v>
      </c>
      <c r="H71" s="9">
        <v>39.681080000000001</v>
      </c>
      <c r="I71" s="9">
        <v>39.706699999999998</v>
      </c>
      <c r="J71" s="9">
        <v>39.503979999999999</v>
      </c>
      <c r="K71" s="9">
        <v>39.843600000000002</v>
      </c>
      <c r="L71" s="9">
        <f t="shared" si="12"/>
        <v>39.760198888888887</v>
      </c>
      <c r="M71" s="21">
        <f t="shared" si="13"/>
        <v>0.13727149282793491</v>
      </c>
      <c r="N71" s="502"/>
      <c r="S71" s="2" t="str">
        <f>indeter_MI!B7</f>
        <v>Гистерезис</v>
      </c>
      <c r="T71" s="2">
        <f>indeter_MI!C7</f>
        <v>0.01</v>
      </c>
      <c r="U71" s="2" t="str">
        <f>indeter_MI!D7</f>
        <v>Прямоугольное</v>
      </c>
      <c r="V71" s="2">
        <f>indeter_MI!E7</f>
        <v>1.73</v>
      </c>
      <c r="W71" s="59">
        <f t="shared" si="17"/>
        <v>5.7803468208092491E-3</v>
      </c>
      <c r="X71" s="59">
        <f t="shared" si="16"/>
        <v>3.3412409368839592E-5</v>
      </c>
      <c r="Y71" s="123"/>
    </row>
    <row r="72" spans="1:25" x14ac:dyDescent="0.2">
      <c r="A72" s="123"/>
      <c r="B72" s="6">
        <v>23</v>
      </c>
      <c r="C72" s="68">
        <v>39.671390000000002</v>
      </c>
      <c r="D72" s="9">
        <v>39.872329999999998</v>
      </c>
      <c r="E72" s="9">
        <v>39.788319999999999</v>
      </c>
      <c r="F72" s="9">
        <v>40.016930000000002</v>
      </c>
      <c r="G72" s="67">
        <v>39.753369999999997</v>
      </c>
      <c r="H72" s="9">
        <v>39.680320000000002</v>
      </c>
      <c r="I72" s="9">
        <v>39.705919999999999</v>
      </c>
      <c r="J72" s="9">
        <v>39.504440000000002</v>
      </c>
      <c r="K72" s="9">
        <v>39.842750000000002</v>
      </c>
      <c r="L72" s="9">
        <f t="shared" si="12"/>
        <v>39.759530000000005</v>
      </c>
      <c r="M72" s="21">
        <f t="shared" si="13"/>
        <v>0.13693421048079951</v>
      </c>
      <c r="N72" s="502"/>
      <c r="S72" s="2" t="str">
        <f>indeter_MI!B8</f>
        <v>Влияние температуры</v>
      </c>
      <c r="T72" s="2">
        <f>indeter_MI!C8</f>
        <v>0.01</v>
      </c>
      <c r="U72" s="2" t="str">
        <f>indeter_MI!D8</f>
        <v>Прямоугольное</v>
      </c>
      <c r="V72" s="2">
        <f>indeter_MI!E8</f>
        <v>1.73</v>
      </c>
      <c r="W72" s="59">
        <f t="shared" si="17"/>
        <v>5.7803468208092491E-3</v>
      </c>
      <c r="X72" s="59">
        <f t="shared" si="16"/>
        <v>3.3412409368839592E-5</v>
      </c>
      <c r="Y72" s="123"/>
    </row>
    <row r="73" spans="1:25" ht="15" thickBot="1" x14ac:dyDescent="0.25">
      <c r="A73" s="123"/>
      <c r="B73" s="7">
        <v>24</v>
      </c>
      <c r="C73" s="68">
        <v>39.676960000000001</v>
      </c>
      <c r="D73" s="9">
        <v>39.880710000000001</v>
      </c>
      <c r="E73" s="9">
        <v>39.786630000000002</v>
      </c>
      <c r="F73" s="9">
        <v>40.013840000000002</v>
      </c>
      <c r="G73" s="67">
        <v>39.754100000000001</v>
      </c>
      <c r="H73" s="9">
        <v>39.67653</v>
      </c>
      <c r="I73" s="9">
        <v>39.706960000000002</v>
      </c>
      <c r="J73" s="9">
        <v>39.50667</v>
      </c>
      <c r="K73" s="9">
        <v>39.8461</v>
      </c>
      <c r="L73" s="9">
        <f t="shared" si="12"/>
        <v>39.760944444444441</v>
      </c>
      <c r="M73" s="21">
        <f t="shared" si="13"/>
        <v>0.13662886136546989</v>
      </c>
      <c r="N73" s="502"/>
      <c r="S73" s="2" t="str">
        <f>indeter_MI!B9</f>
        <v>Дрейф*</v>
      </c>
      <c r="T73" s="2">
        <f>indeter_MI!C9</f>
        <v>0.1</v>
      </c>
      <c r="U73" s="2" t="str">
        <f>indeter_MI!D9</f>
        <v>Прямоугольное</v>
      </c>
      <c r="V73" s="2">
        <f>indeter_MI!E9</f>
        <v>1.73</v>
      </c>
      <c r="W73" s="59">
        <f t="shared" si="17"/>
        <v>5.7803468208092491E-2</v>
      </c>
      <c r="X73" s="59">
        <f t="shared" si="16"/>
        <v>3.3412409368839594E-3</v>
      </c>
      <c r="Y73" s="123"/>
    </row>
    <row r="74" spans="1:25" x14ac:dyDescent="0.2">
      <c r="A74" s="123"/>
      <c r="B74" s="6">
        <v>25</v>
      </c>
      <c r="C74" s="68">
        <v>39.684930000000001</v>
      </c>
      <c r="D74" s="9">
        <v>39.885010000000001</v>
      </c>
      <c r="E74" s="9">
        <v>39.790599999999998</v>
      </c>
      <c r="F74" s="9">
        <v>40.020659999999999</v>
      </c>
      <c r="G74" s="67">
        <v>39.767859999999999</v>
      </c>
      <c r="H74" s="9">
        <v>39.687130000000003</v>
      </c>
      <c r="I74" s="9">
        <v>39.716189999999997</v>
      </c>
      <c r="J74" s="9">
        <v>39.513019999999997</v>
      </c>
      <c r="K74" s="9">
        <v>39.852849999999997</v>
      </c>
      <c r="L74" s="9">
        <f t="shared" si="12"/>
        <v>39.768694444444442</v>
      </c>
      <c r="M74" s="21">
        <f t="shared" si="13"/>
        <v>0.1359632449607133</v>
      </c>
      <c r="N74" s="502"/>
      <c r="S74" s="2" t="str">
        <f>indeter_MI!B10</f>
        <v>Линейность</v>
      </c>
      <c r="T74" s="2">
        <f>indeter_MI!C10</f>
        <v>0.02</v>
      </c>
      <c r="U74" s="2" t="str">
        <f>indeter_MI!D10</f>
        <v>Прямоугольное</v>
      </c>
      <c r="V74" s="2">
        <f>indeter_MI!E10</f>
        <v>1.73</v>
      </c>
      <c r="W74" s="59">
        <f t="shared" si="17"/>
        <v>1.1560693641618498E-2</v>
      </c>
      <c r="X74" s="59">
        <f t="shared" si="16"/>
        <v>1.3364963747535837E-4</v>
      </c>
      <c r="Y74" s="123"/>
    </row>
    <row r="75" spans="1:25" ht="15" thickBot="1" x14ac:dyDescent="0.25">
      <c r="A75" s="123"/>
      <c r="B75" s="7">
        <v>26</v>
      </c>
      <c r="C75" s="68">
        <v>39.686160000000001</v>
      </c>
      <c r="D75" s="9">
        <v>39.878369999999997</v>
      </c>
      <c r="E75" s="9">
        <v>39.797249999999998</v>
      </c>
      <c r="F75" s="9">
        <v>40.025419999999997</v>
      </c>
      <c r="G75" s="67">
        <v>39.774799999999999</v>
      </c>
      <c r="H75" s="9">
        <v>39.690460000000002</v>
      </c>
      <c r="I75" s="9">
        <v>39.718690000000002</v>
      </c>
      <c r="J75" s="9">
        <v>39.514679999999998</v>
      </c>
      <c r="K75" s="9">
        <v>39.8521</v>
      </c>
      <c r="L75" s="9">
        <f t="shared" si="12"/>
        <v>39.770881111111109</v>
      </c>
      <c r="M75" s="21">
        <f t="shared" si="13"/>
        <v>0.13567085754742642</v>
      </c>
      <c r="N75" s="502"/>
      <c r="S75" s="2" t="str">
        <f>indeter_MI!B11</f>
        <v>Разрешающая способность</v>
      </c>
      <c r="T75" s="2">
        <f>indeter_MI!C11</f>
        <v>0.01</v>
      </c>
      <c r="U75" s="2" t="str">
        <f>indeter_MI!D11</f>
        <v>Прямоугольное</v>
      </c>
      <c r="V75" s="2">
        <f>indeter_MI!E11</f>
        <v>1.73</v>
      </c>
      <c r="W75" s="59">
        <f t="shared" si="17"/>
        <v>5.7803468208092491E-3</v>
      </c>
      <c r="X75" s="59">
        <f t="shared" si="16"/>
        <v>3.3412409368839592E-5</v>
      </c>
      <c r="Y75" s="123"/>
    </row>
    <row r="76" spans="1:25" x14ac:dyDescent="0.2">
      <c r="A76" s="123"/>
      <c r="B76" s="6">
        <v>27</v>
      </c>
      <c r="C76" s="68">
        <v>39.682899999999997</v>
      </c>
      <c r="D76" s="9">
        <v>39.872590000000002</v>
      </c>
      <c r="E76" s="9">
        <v>39.797280000000001</v>
      </c>
      <c r="F76" s="9">
        <v>40.023069999999997</v>
      </c>
      <c r="G76" s="67">
        <v>39.769970000000001</v>
      </c>
      <c r="H76" s="9">
        <v>39.685459999999999</v>
      </c>
      <c r="I76" s="9">
        <v>39.716610000000003</v>
      </c>
      <c r="J76" s="9">
        <v>39.513420000000004</v>
      </c>
      <c r="K76" s="9">
        <v>39.850700000000003</v>
      </c>
      <c r="L76" s="9">
        <f t="shared" si="12"/>
        <v>39.768000000000001</v>
      </c>
      <c r="M76" s="21">
        <f t="shared" si="13"/>
        <v>0.13548555987016897</v>
      </c>
      <c r="N76" s="502"/>
      <c r="S76" s="48" t="s">
        <v>21</v>
      </c>
      <c r="T76" s="49">
        <f>O69</f>
        <v>9.2428604338699646E-3</v>
      </c>
      <c r="U76" s="49" t="s">
        <v>13</v>
      </c>
      <c r="V76" s="16">
        <v>1</v>
      </c>
      <c r="W76" s="60">
        <f>T76/V76</f>
        <v>9.2428604338699646E-3</v>
      </c>
      <c r="X76" s="60">
        <f t="shared" si="16"/>
        <v>8.5430468999998872E-5</v>
      </c>
      <c r="Y76" s="123"/>
    </row>
    <row r="77" spans="1:25" ht="15" thickBot="1" x14ac:dyDescent="0.25">
      <c r="A77" s="123"/>
      <c r="B77" s="7">
        <v>28</v>
      </c>
      <c r="C77" s="68">
        <v>39.677500000000002</v>
      </c>
      <c r="D77" s="9">
        <v>39.868070000000003</v>
      </c>
      <c r="E77" s="9">
        <v>39.797080000000001</v>
      </c>
      <c r="F77" s="9">
        <v>40.018590000000003</v>
      </c>
      <c r="G77" s="67">
        <v>39.763269999999999</v>
      </c>
      <c r="H77" s="9">
        <v>39.681150000000002</v>
      </c>
      <c r="I77" s="9">
        <v>39.711239999999997</v>
      </c>
      <c r="J77" s="9">
        <v>39.509059999999998</v>
      </c>
      <c r="K77" s="9">
        <v>39.846429999999998</v>
      </c>
      <c r="L77" s="68">
        <f t="shared" si="12"/>
        <v>39.763598888888886</v>
      </c>
      <c r="M77" s="21">
        <f t="shared" si="13"/>
        <v>0.13567080374072607</v>
      </c>
      <c r="N77" s="502"/>
      <c r="X77" s="56"/>
      <c r="Y77" s="123"/>
    </row>
    <row r="78" spans="1:25" ht="15" thickBot="1" x14ac:dyDescent="0.25">
      <c r="A78" s="123"/>
      <c r="B78" s="8">
        <v>29</v>
      </c>
      <c r="C78" s="68">
        <v>39.680079999999997</v>
      </c>
      <c r="D78" s="9">
        <v>39.873420000000003</v>
      </c>
      <c r="E78" s="9">
        <v>39.793869999999998</v>
      </c>
      <c r="F78" s="9">
        <v>40.016039999999997</v>
      </c>
      <c r="G78" s="67">
        <v>39.759990000000002</v>
      </c>
      <c r="H78" s="9">
        <v>39.685540000000003</v>
      </c>
      <c r="I78" s="9">
        <v>39.71275</v>
      </c>
      <c r="J78" s="9">
        <v>39.51108</v>
      </c>
      <c r="K78" s="9">
        <v>39.850700000000003</v>
      </c>
      <c r="L78" s="68">
        <f t="shared" si="12"/>
        <v>39.764830000000003</v>
      </c>
      <c r="M78" s="21">
        <f t="shared" si="13"/>
        <v>0.13487010697539881</v>
      </c>
      <c r="N78" s="502"/>
      <c r="S78" s="35" t="s">
        <v>22</v>
      </c>
      <c r="U78" s="41" t="s">
        <v>82</v>
      </c>
      <c r="V78" s="41"/>
      <c r="W78" s="41" t="s">
        <v>83</v>
      </c>
      <c r="X78" s="57"/>
      <c r="Y78" s="123"/>
    </row>
    <row r="79" spans="1:25" ht="15" thickBot="1" x14ac:dyDescent="0.25">
      <c r="A79" s="123"/>
      <c r="B79" s="8">
        <v>30</v>
      </c>
      <c r="C79" s="68">
        <v>39.675669999999997</v>
      </c>
      <c r="D79" s="9">
        <v>39.868630000000003</v>
      </c>
      <c r="E79" s="9">
        <v>39.795090000000002</v>
      </c>
      <c r="F79" s="9">
        <v>40.020099999999999</v>
      </c>
      <c r="G79" s="67">
        <v>39.757759999999998</v>
      </c>
      <c r="H79" s="9">
        <v>39.680669999999999</v>
      </c>
      <c r="I79" s="9">
        <v>39.707369999999997</v>
      </c>
      <c r="J79" s="9">
        <v>39.506990000000002</v>
      </c>
      <c r="K79" s="9">
        <v>39.846429999999998</v>
      </c>
      <c r="L79" s="68">
        <f t="shared" si="12"/>
        <v>39.76207888888888</v>
      </c>
      <c r="M79" s="21">
        <f t="shared" si="13"/>
        <v>0.13675153311709731</v>
      </c>
      <c r="N79" s="502"/>
      <c r="S79" s="42">
        <f>SUM(X69:X76)</f>
        <v>6.2605582714658353E-3</v>
      </c>
      <c r="V79" s="72">
        <f>SQRT(S79)</f>
        <v>7.9123689698255575E-2</v>
      </c>
      <c r="W79" s="65"/>
      <c r="X79" s="72">
        <f>V79*2</f>
        <v>0.15824737939651115</v>
      </c>
      <c r="Y79" s="123"/>
    </row>
    <row r="80" spans="1:25" ht="19.5" thickBot="1" x14ac:dyDescent="0.4">
      <c r="A80" s="123"/>
      <c r="B80" s="93" t="s">
        <v>40</v>
      </c>
      <c r="C80" s="30">
        <f>AVERAGE(C50:C79)</f>
        <v>39.676076333333334</v>
      </c>
      <c r="D80" s="31">
        <f t="shared" ref="D80:K80" si="18">AVERAGE(D50:D79)</f>
        <v>39.875966666666663</v>
      </c>
      <c r="E80" s="31">
        <f t="shared" si="18"/>
        <v>39.789037666666673</v>
      </c>
      <c r="F80" s="31">
        <f t="shared" si="18"/>
        <v>40.016750666666667</v>
      </c>
      <c r="G80" s="31">
        <f t="shared" si="18"/>
        <v>39.762699000000005</v>
      </c>
      <c r="H80" s="31">
        <f t="shared" si="18"/>
        <v>39.68454899999999</v>
      </c>
      <c r="I80" s="31">
        <f t="shared" si="18"/>
        <v>39.710426333333331</v>
      </c>
      <c r="J80" s="31">
        <f t="shared" si="18"/>
        <v>39.507469666666672</v>
      </c>
      <c r="K80" s="31">
        <f t="shared" si="18"/>
        <v>39.848401333333335</v>
      </c>
      <c r="N80" s="502"/>
      <c r="S80" s="42">
        <f>ROUND(S79,8)</f>
        <v>6.2605600000000001E-3</v>
      </c>
      <c r="V80" s="72">
        <f>ROUND(V79,3)</f>
        <v>7.9000000000000001E-2</v>
      </c>
      <c r="W80" s="65"/>
      <c r="X80" s="72">
        <f>ROUND(X79,3)</f>
        <v>0.158</v>
      </c>
      <c r="Y80" s="123"/>
    </row>
    <row r="81" spans="1:25" ht="19.5" thickBot="1" x14ac:dyDescent="0.4">
      <c r="A81" s="123"/>
      <c r="B81" s="93" t="s">
        <v>39</v>
      </c>
      <c r="C81" s="27">
        <f>_xlfn.STDEV.P(C50:C79)</f>
        <v>5.9635942648336611E-3</v>
      </c>
      <c r="D81" s="22">
        <f t="shared" ref="D81:K81" si="19">_xlfn.STDEV.P(D50:D79)</f>
        <v>5.596957109795157E-3</v>
      </c>
      <c r="E81" s="22">
        <f t="shared" si="19"/>
        <v>5.3771347285419199E-3</v>
      </c>
      <c r="F81" s="22">
        <f t="shared" si="19"/>
        <v>5.8353891234617606E-3</v>
      </c>
      <c r="G81" s="22">
        <f t="shared" si="19"/>
        <v>9.2428604338699646E-3</v>
      </c>
      <c r="H81" s="22">
        <f t="shared" si="19"/>
        <v>7.0839185719015815E-3</v>
      </c>
      <c r="I81" s="22">
        <f t="shared" si="19"/>
        <v>6.8364105997876399E-3</v>
      </c>
      <c r="J81" s="22">
        <f t="shared" si="19"/>
        <v>5.0272792398626783E-3</v>
      </c>
      <c r="K81" s="22">
        <f t="shared" si="19"/>
        <v>5.2996941630834736E-3</v>
      </c>
      <c r="N81" s="502"/>
      <c r="Y81" s="123"/>
    </row>
    <row r="82" spans="1:25" ht="19.5" thickBot="1" x14ac:dyDescent="0.4">
      <c r="A82" s="123"/>
      <c r="B82" s="93" t="s">
        <v>52</v>
      </c>
      <c r="C82" s="11">
        <f>MAX(C50:C79)-C80</f>
        <v>1.3953666666665754E-2</v>
      </c>
      <c r="D82" s="12">
        <f t="shared" ref="D82:K82" si="20">MAX(D50:D79)-D80</f>
        <v>1.4093333333335067E-2</v>
      </c>
      <c r="E82" s="12">
        <f t="shared" si="20"/>
        <v>1.1902333333324577E-2</v>
      </c>
      <c r="F82" s="12">
        <f t="shared" si="20"/>
        <v>1.3219333333331917E-2</v>
      </c>
      <c r="G82" s="24">
        <f t="shared" si="20"/>
        <v>2.3900999999995065E-2</v>
      </c>
      <c r="H82" s="12">
        <f t="shared" si="20"/>
        <v>1.8221000000011145E-2</v>
      </c>
      <c r="I82" s="12">
        <f t="shared" si="20"/>
        <v>1.8433666666666682E-2</v>
      </c>
      <c r="J82" s="12">
        <f t="shared" si="20"/>
        <v>1.2190333333329306E-2</v>
      </c>
      <c r="K82" s="12">
        <f t="shared" si="20"/>
        <v>1.5558666666663612E-2</v>
      </c>
      <c r="N82" s="502"/>
      <c r="Y82" s="123"/>
    </row>
    <row r="83" spans="1:25" ht="19.5" thickBot="1" x14ac:dyDescent="0.4">
      <c r="A83" s="123"/>
      <c r="B83" s="93" t="s">
        <v>51</v>
      </c>
      <c r="C83" s="11">
        <f>C80-MIN(C50:C79)</f>
        <v>8.9563333333373407E-3</v>
      </c>
      <c r="D83" s="12">
        <f t="shared" ref="D83:K83" si="21">D80-MIN(D50:D79)</f>
        <v>7.8966666666602237E-3</v>
      </c>
      <c r="E83" s="12">
        <f t="shared" si="21"/>
        <v>8.7276666666724623E-3</v>
      </c>
      <c r="F83" s="12">
        <f t="shared" si="21"/>
        <v>1.1280666666664274E-2</v>
      </c>
      <c r="G83" s="24">
        <f t="shared" si="21"/>
        <v>1.4649000000005685E-2</v>
      </c>
      <c r="H83" s="12">
        <f t="shared" si="21"/>
        <v>1.1968999999986352E-2</v>
      </c>
      <c r="I83" s="12">
        <f t="shared" si="21"/>
        <v>1.270633333333393E-2</v>
      </c>
      <c r="J83" s="12">
        <f t="shared" si="21"/>
        <v>8.2196666666689566E-3</v>
      </c>
      <c r="K83" s="12">
        <f t="shared" si="21"/>
        <v>8.4013333333317064E-3</v>
      </c>
      <c r="N83" s="502"/>
      <c r="Y83" s="123"/>
    </row>
    <row r="84" spans="1:25" ht="20.25" thickBot="1" x14ac:dyDescent="0.4">
      <c r="A84" s="123"/>
      <c r="B84" s="94" t="s">
        <v>44</v>
      </c>
      <c r="C84" s="14">
        <f>(C82+C83)/2</f>
        <v>1.1455000000001547E-2</v>
      </c>
      <c r="D84" s="15">
        <f t="shared" ref="D84:K84" si="22">(D82+D83)/2</f>
        <v>1.0994999999997646E-2</v>
      </c>
      <c r="E84" s="15">
        <f t="shared" si="22"/>
        <v>1.031499999999852E-2</v>
      </c>
      <c r="F84" s="15">
        <f t="shared" si="22"/>
        <v>1.2249999999998096E-2</v>
      </c>
      <c r="G84" s="15">
        <f t="shared" si="22"/>
        <v>1.9275000000000375E-2</v>
      </c>
      <c r="H84" s="15">
        <f t="shared" si="22"/>
        <v>1.5094999999998748E-2</v>
      </c>
      <c r="I84" s="15">
        <f t="shared" si="22"/>
        <v>1.5570000000000306E-2</v>
      </c>
      <c r="J84" s="15">
        <f t="shared" si="22"/>
        <v>1.0204999999999131E-2</v>
      </c>
      <c r="K84" s="15">
        <f t="shared" si="22"/>
        <v>1.1979999999997659E-2</v>
      </c>
      <c r="N84" s="502"/>
      <c r="Y84" s="123"/>
    </row>
    <row r="85" spans="1:25" ht="19.5" thickBot="1" x14ac:dyDescent="0.4">
      <c r="A85" s="123"/>
      <c r="B85" s="95" t="s">
        <v>43</v>
      </c>
      <c r="C85" s="43">
        <f>C80-$G80</f>
        <v>-8.6622666666670511E-2</v>
      </c>
      <c r="D85" s="13">
        <f t="shared" ref="D85:K85" si="23">D80-$G80</f>
        <v>0.11326766666665833</v>
      </c>
      <c r="E85" s="13">
        <f t="shared" si="23"/>
        <v>2.6338666666667621E-2</v>
      </c>
      <c r="F85" s="13">
        <f t="shared" si="23"/>
        <v>0.2540516666666619</v>
      </c>
      <c r="G85" s="13">
        <f>G80-$G80</f>
        <v>0</v>
      </c>
      <c r="H85" s="13">
        <f t="shared" si="23"/>
        <v>-7.8150000000015041E-2</v>
      </c>
      <c r="I85" s="13">
        <f t="shared" si="23"/>
        <v>-5.2272666666674183E-2</v>
      </c>
      <c r="J85" s="13">
        <f t="shared" si="23"/>
        <v>-0.25522933333333242</v>
      </c>
      <c r="K85" s="13">
        <f t="shared" si="23"/>
        <v>8.5702333333330216E-2</v>
      </c>
      <c r="N85" s="502"/>
      <c r="Y85" s="123"/>
    </row>
    <row r="86" spans="1:25" ht="18.75" x14ac:dyDescent="0.35">
      <c r="A86" s="123"/>
      <c r="B86" s="99" t="s">
        <v>45</v>
      </c>
      <c r="C86" s="45">
        <v>40</v>
      </c>
      <c r="N86" s="502"/>
      <c r="Y86" s="123"/>
    </row>
    <row r="87" spans="1:25" ht="18.75" x14ac:dyDescent="0.2">
      <c r="A87" s="123"/>
      <c r="B87" s="100" t="s">
        <v>46</v>
      </c>
      <c r="C87" s="44">
        <f>AVERAGE(C50:K79)</f>
        <v>39.763486296296307</v>
      </c>
      <c r="N87" s="502"/>
      <c r="Y87" s="123"/>
    </row>
    <row r="88" spans="1:25" ht="18.75" x14ac:dyDescent="0.2">
      <c r="A88" s="123"/>
      <c r="B88" s="101" t="s">
        <v>47</v>
      </c>
      <c r="C88" s="28">
        <f>C87-C86</f>
        <v>-0.23651370370369307</v>
      </c>
      <c r="N88" s="502"/>
      <c r="Y88" s="123"/>
    </row>
    <row r="89" spans="1:25" ht="18.75" x14ac:dyDescent="0.2">
      <c r="A89" s="123"/>
      <c r="B89" s="102" t="s">
        <v>48</v>
      </c>
      <c r="C89" s="29">
        <f>MAX(C80:K80)-MIN(C80:K80)</f>
        <v>0.50928099999999432</v>
      </c>
      <c r="N89" s="502"/>
      <c r="Y89" s="123"/>
    </row>
    <row r="90" spans="1:25" ht="18.75" x14ac:dyDescent="0.2">
      <c r="A90" s="123"/>
      <c r="B90" s="103" t="s">
        <v>49</v>
      </c>
      <c r="C90" s="32">
        <f>MAX(C85:K85)</f>
        <v>0.2540516666666619</v>
      </c>
      <c r="N90" s="502"/>
      <c r="Y90" s="123"/>
    </row>
    <row r="91" spans="1:25" x14ac:dyDescent="0.2">
      <c r="A91" s="123"/>
      <c r="B91" s="104"/>
      <c r="C91" s="32">
        <f>MIN(C85:K85)</f>
        <v>-0.25522933333333242</v>
      </c>
      <c r="D91" s="65"/>
      <c r="N91" s="502"/>
      <c r="Y91" s="123"/>
    </row>
    <row r="92" spans="1:25" ht="18.75" x14ac:dyDescent="0.2">
      <c r="A92" s="123"/>
      <c r="B92" s="105" t="s">
        <v>50</v>
      </c>
      <c r="C92" s="33">
        <f>AVERAGE(C84:K84)</f>
        <v>1.301555555555467E-2</v>
      </c>
      <c r="N92" s="502"/>
      <c r="Y92" s="123"/>
    </row>
    <row r="93" spans="1:25" ht="18.75" x14ac:dyDescent="0.35">
      <c r="A93" s="123"/>
      <c r="B93" s="180" t="s">
        <v>259</v>
      </c>
      <c r="C93" s="181">
        <f>_xlfn.STDEV.P(C50:K79)</f>
        <v>0.13632305115662899</v>
      </c>
      <c r="N93" s="502"/>
      <c r="Y93" s="123"/>
    </row>
    <row r="94" spans="1:25" x14ac:dyDescent="0.2">
      <c r="A94" s="123"/>
      <c r="B94" s="123"/>
      <c r="C94" s="123"/>
      <c r="D94" s="123"/>
      <c r="E94" s="123"/>
      <c r="F94" s="123"/>
      <c r="G94" s="123"/>
      <c r="H94" s="123"/>
      <c r="I94" s="123"/>
      <c r="J94" s="123"/>
      <c r="K94" s="123"/>
      <c r="L94" s="123"/>
      <c r="M94" s="123"/>
      <c r="N94" s="123"/>
      <c r="O94" s="123"/>
      <c r="P94" s="123"/>
      <c r="Q94" s="123"/>
      <c r="R94" s="123"/>
      <c r="S94" s="123"/>
      <c r="T94" s="123"/>
      <c r="U94" s="123"/>
      <c r="V94" s="123"/>
      <c r="W94" s="123"/>
      <c r="X94" s="123"/>
      <c r="Y94" s="123"/>
    </row>
  </sheetData>
  <mergeCells count="2">
    <mergeCell ref="N2:N46"/>
    <mergeCell ref="N49:N93"/>
  </mergeCells>
  <pageMargins left="0.7" right="0.7" top="0.75" bottom="0.75" header="0.3" footer="0.3"/>
  <pageSetup paperSize="9"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Лист25"/>
  <dimension ref="A1:Y94"/>
  <sheetViews>
    <sheetView topLeftCell="A23" zoomScale="55" zoomScaleNormal="55" workbookViewId="0">
      <selection activeCell="K44" sqref="K44"/>
    </sheetView>
  </sheetViews>
  <sheetFormatPr defaultRowHeight="14.25" x14ac:dyDescent="0.2"/>
  <cols>
    <col min="1" max="1" width="9" style="292"/>
    <col min="2" max="2" width="22.75" style="292" customWidth="1"/>
    <col min="3" max="11" width="6" style="292" customWidth="1"/>
    <col min="12" max="17" width="9" style="292"/>
    <col min="18" max="18" width="16.625" style="292" customWidth="1"/>
    <col min="19" max="19" width="19.375" style="292" customWidth="1"/>
    <col min="20" max="20" width="9.75" style="292" customWidth="1"/>
    <col min="21" max="21" width="9" style="292"/>
    <col min="22" max="22" width="11.625" style="292" customWidth="1"/>
    <col min="23" max="23" width="13.375" style="292" customWidth="1"/>
    <col min="24" max="24" width="17.625" style="292" customWidth="1"/>
    <col min="25" max="16384" width="9" style="292"/>
  </cols>
  <sheetData>
    <row r="1" spans="1:25" ht="15" thickBot="1" x14ac:dyDescent="0.25">
      <c r="A1" s="120"/>
      <c r="B1" s="120"/>
      <c r="C1" s="120"/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 t="s">
        <v>138</v>
      </c>
      <c r="P1" s="120"/>
      <c r="Q1" s="120"/>
      <c r="R1" s="120"/>
      <c r="S1" s="120"/>
      <c r="T1" s="120"/>
      <c r="U1" s="120"/>
      <c r="V1" s="120"/>
      <c r="W1" s="120"/>
      <c r="X1" s="120"/>
      <c r="Y1" s="120"/>
    </row>
    <row r="2" spans="1:25" ht="19.5" thickBot="1" x14ac:dyDescent="0.4">
      <c r="A2" s="120"/>
      <c r="B2" s="122" t="s">
        <v>25</v>
      </c>
      <c r="C2" s="3">
        <v>1</v>
      </c>
      <c r="D2" s="3">
        <v>2</v>
      </c>
      <c r="E2" s="3">
        <v>3</v>
      </c>
      <c r="F2" s="3">
        <v>4</v>
      </c>
      <c r="G2" s="4">
        <v>5</v>
      </c>
      <c r="H2" s="3">
        <v>6</v>
      </c>
      <c r="I2" s="3">
        <v>7</v>
      </c>
      <c r="J2" s="3">
        <v>8</v>
      </c>
      <c r="K2" s="5">
        <v>9</v>
      </c>
      <c r="L2" s="184" t="s">
        <v>261</v>
      </c>
      <c r="M2" s="184" t="s">
        <v>42</v>
      </c>
      <c r="N2" s="503" t="s">
        <v>86</v>
      </c>
      <c r="O2" s="293" t="s">
        <v>38</v>
      </c>
      <c r="Y2" s="120"/>
    </row>
    <row r="3" spans="1:25" x14ac:dyDescent="0.2">
      <c r="A3" s="120"/>
      <c r="B3" s="6">
        <v>1</v>
      </c>
      <c r="C3" s="18">
        <v>99.23</v>
      </c>
      <c r="D3" s="19">
        <v>99.22</v>
      </c>
      <c r="E3" s="19">
        <v>99.21</v>
      </c>
      <c r="F3" s="20">
        <v>99.21</v>
      </c>
      <c r="G3" s="23">
        <v>99.21</v>
      </c>
      <c r="H3" s="19">
        <v>99.21</v>
      </c>
      <c r="I3" s="19">
        <v>99.21</v>
      </c>
      <c r="J3" s="19">
        <v>99.22</v>
      </c>
      <c r="K3" s="19">
        <v>99.24</v>
      </c>
      <c r="L3" s="9">
        <f t="shared" ref="L3:L32" si="0">AVERAGE(C3:K3)</f>
        <v>99.217777777777783</v>
      </c>
      <c r="M3" s="21">
        <f t="shared" ref="M3:M32" si="1">_xlfn.STDEV.P(C3:K3)</f>
        <v>1.0304020550552649E-2</v>
      </c>
      <c r="N3" s="503"/>
      <c r="O3" s="292" t="s">
        <v>4</v>
      </c>
      <c r="S3" s="2" t="s">
        <v>7</v>
      </c>
      <c r="T3" s="2" t="s">
        <v>8</v>
      </c>
      <c r="U3" s="2" t="s">
        <v>9</v>
      </c>
      <c r="V3" s="2" t="s">
        <v>10</v>
      </c>
      <c r="W3" s="41" t="s">
        <v>11</v>
      </c>
      <c r="X3" s="46" t="s">
        <v>12</v>
      </c>
      <c r="Y3" s="120"/>
    </row>
    <row r="4" spans="1:25" ht="15" thickBot="1" x14ac:dyDescent="0.25">
      <c r="A4" s="120"/>
      <c r="B4" s="7">
        <v>2</v>
      </c>
      <c r="C4" s="18">
        <v>99.23</v>
      </c>
      <c r="D4" s="19">
        <v>99.22</v>
      </c>
      <c r="E4" s="19">
        <v>99.21</v>
      </c>
      <c r="F4" s="19">
        <v>99.21</v>
      </c>
      <c r="G4" s="23">
        <v>99.21</v>
      </c>
      <c r="H4" s="19">
        <v>99.21</v>
      </c>
      <c r="I4" s="19">
        <v>99.21</v>
      </c>
      <c r="J4" s="19">
        <v>99.22</v>
      </c>
      <c r="K4" s="19">
        <v>99.24</v>
      </c>
      <c r="L4" s="9">
        <f t="shared" si="0"/>
        <v>99.217777777777783</v>
      </c>
      <c r="M4" s="21">
        <f>_xlfn.STDEV.P(C4:K4)</f>
        <v>1.0304020550552649E-2</v>
      </c>
      <c r="N4" s="503"/>
      <c r="O4" s="17">
        <f>AVERAGE(C35:K35)</f>
        <v>5.4037037037041893E-2</v>
      </c>
      <c r="S4" s="2" t="str">
        <f>indeter_MI!B5</f>
        <v>Поверка</v>
      </c>
      <c r="T4" s="2">
        <f>indeter_MI!C5</f>
        <v>0.1</v>
      </c>
      <c r="U4" s="2" t="str">
        <f>indeter_MI!D5</f>
        <v>Нормальное</v>
      </c>
      <c r="V4" s="2">
        <f>indeter_MI!E5</f>
        <v>2</v>
      </c>
      <c r="W4" s="59">
        <f>T4/V4</f>
        <v>0.05</v>
      </c>
      <c r="X4" s="52">
        <f t="shared" ref="X4:X9" si="2">W4*W4</f>
        <v>2.5000000000000005E-3</v>
      </c>
      <c r="Y4" s="120"/>
    </row>
    <row r="5" spans="1:25" x14ac:dyDescent="0.2">
      <c r="A5" s="120"/>
      <c r="B5" s="6">
        <v>3</v>
      </c>
      <c r="C5" s="18">
        <v>99.23</v>
      </c>
      <c r="D5" s="19">
        <v>99.22</v>
      </c>
      <c r="E5" s="19">
        <v>99.21</v>
      </c>
      <c r="F5" s="19">
        <v>99.21</v>
      </c>
      <c r="G5" s="23">
        <v>99.21</v>
      </c>
      <c r="H5" s="19">
        <v>99.21</v>
      </c>
      <c r="I5" s="19">
        <v>99.21</v>
      </c>
      <c r="J5" s="19">
        <v>99.22</v>
      </c>
      <c r="K5" s="19">
        <v>99.24</v>
      </c>
      <c r="L5" s="9">
        <f t="shared" si="0"/>
        <v>99.217777777777783</v>
      </c>
      <c r="M5" s="21">
        <f t="shared" si="1"/>
        <v>1.0304020550552649E-2</v>
      </c>
      <c r="N5" s="503"/>
      <c r="O5" s="292" t="s">
        <v>5</v>
      </c>
      <c r="S5" s="2" t="str">
        <f>indeter_MI!B6</f>
        <v>Повторяемость*</v>
      </c>
      <c r="T5" s="2">
        <f>indeter_MI!C6</f>
        <v>0.01</v>
      </c>
      <c r="U5" s="2" t="str">
        <f>indeter_MI!D6</f>
        <v>Нормальное</v>
      </c>
      <c r="V5" s="2">
        <f>indeter_MI!E6</f>
        <v>1</v>
      </c>
      <c r="W5" s="59">
        <f t="shared" ref="W5:W13" si="3">T5/V5</f>
        <v>0.01</v>
      </c>
      <c r="X5" s="52">
        <f t="shared" si="2"/>
        <v>1E-4</v>
      </c>
      <c r="Y5" s="120"/>
    </row>
    <row r="6" spans="1:25" ht="15" thickBot="1" x14ac:dyDescent="0.25">
      <c r="A6" s="120"/>
      <c r="B6" s="7">
        <v>4</v>
      </c>
      <c r="C6" s="18">
        <v>99.23</v>
      </c>
      <c r="D6" s="19">
        <v>99.22</v>
      </c>
      <c r="E6" s="19">
        <v>99.21</v>
      </c>
      <c r="F6" s="19">
        <v>99.21</v>
      </c>
      <c r="G6" s="23">
        <v>99.21</v>
      </c>
      <c r="H6" s="19">
        <v>99.21</v>
      </c>
      <c r="I6" s="19">
        <v>99.21</v>
      </c>
      <c r="J6" s="19">
        <v>99.22</v>
      </c>
      <c r="K6" s="19">
        <v>99.24</v>
      </c>
      <c r="L6" s="9">
        <f t="shared" si="0"/>
        <v>99.217777777777783</v>
      </c>
      <c r="M6" s="21">
        <f t="shared" si="1"/>
        <v>1.0304020550552649E-2</v>
      </c>
      <c r="N6" s="503"/>
      <c r="O6" s="17">
        <f>O4/(SQRT(270))</f>
        <v>3.2885893473255522E-3</v>
      </c>
      <c r="S6" s="2" t="str">
        <f>indeter_MI!B7</f>
        <v>Гистерезис</v>
      </c>
      <c r="T6" s="2">
        <f>indeter_MI!C7</f>
        <v>0.01</v>
      </c>
      <c r="U6" s="2" t="str">
        <f>indeter_MI!D7</f>
        <v>Прямоугольное</v>
      </c>
      <c r="V6" s="2">
        <f>indeter_MI!E7</f>
        <v>1.73</v>
      </c>
      <c r="W6" s="59">
        <f t="shared" si="3"/>
        <v>5.7803468208092491E-3</v>
      </c>
      <c r="X6" s="52">
        <f t="shared" si="2"/>
        <v>3.3412409368839592E-5</v>
      </c>
      <c r="Y6" s="120"/>
    </row>
    <row r="7" spans="1:25" x14ac:dyDescent="0.2">
      <c r="A7" s="120"/>
      <c r="B7" s="6">
        <v>5</v>
      </c>
      <c r="C7" s="18">
        <v>99.23</v>
      </c>
      <c r="D7" s="19">
        <v>99.22</v>
      </c>
      <c r="E7" s="19">
        <v>99.21</v>
      </c>
      <c r="F7" s="19">
        <v>99.21</v>
      </c>
      <c r="G7" s="23">
        <v>99.21</v>
      </c>
      <c r="H7" s="19">
        <v>99.21</v>
      </c>
      <c r="I7" s="19">
        <v>99.21</v>
      </c>
      <c r="J7" s="19">
        <v>99.22</v>
      </c>
      <c r="K7" s="19">
        <v>99.24</v>
      </c>
      <c r="L7" s="9">
        <f t="shared" si="0"/>
        <v>99.217777777777783</v>
      </c>
      <c r="M7" s="21">
        <f t="shared" si="1"/>
        <v>1.0304020550552649E-2</v>
      </c>
      <c r="N7" s="503"/>
      <c r="S7" s="2" t="str">
        <f>indeter_MI!B8</f>
        <v>Влияние температуры</v>
      </c>
      <c r="T7" s="2">
        <f>indeter_MI!C8</f>
        <v>0.01</v>
      </c>
      <c r="U7" s="2" t="str">
        <f>indeter_MI!D8</f>
        <v>Прямоугольное</v>
      </c>
      <c r="V7" s="2">
        <f>indeter_MI!E8</f>
        <v>1.73</v>
      </c>
      <c r="W7" s="59">
        <f t="shared" si="3"/>
        <v>5.7803468208092491E-3</v>
      </c>
      <c r="X7" s="52">
        <f t="shared" si="2"/>
        <v>3.3412409368839592E-5</v>
      </c>
      <c r="Y7" s="120"/>
    </row>
    <row r="8" spans="1:25" ht="15" thickBot="1" x14ac:dyDescent="0.25">
      <c r="A8" s="120"/>
      <c r="B8" s="7">
        <v>6</v>
      </c>
      <c r="C8" s="18">
        <v>99.23</v>
      </c>
      <c r="D8" s="19">
        <v>99.22</v>
      </c>
      <c r="E8" s="19">
        <v>99.21</v>
      </c>
      <c r="F8" s="19">
        <v>99.21</v>
      </c>
      <c r="G8" s="23">
        <v>99.21</v>
      </c>
      <c r="H8" s="19">
        <v>99.21</v>
      </c>
      <c r="I8" s="19">
        <v>99.21</v>
      </c>
      <c r="J8" s="19">
        <v>99.22</v>
      </c>
      <c r="K8" s="19">
        <v>99.24</v>
      </c>
      <c r="L8" s="9">
        <f t="shared" si="0"/>
        <v>99.217777777777783</v>
      </c>
      <c r="M8" s="21">
        <f t="shared" si="1"/>
        <v>1.0304020550552649E-2</v>
      </c>
      <c r="N8" s="503"/>
      <c r="S8" s="2" t="str">
        <f>indeter_MI!B9</f>
        <v>Дрейф*</v>
      </c>
      <c r="T8" s="2">
        <f>indeter_MI!C9</f>
        <v>0.1</v>
      </c>
      <c r="U8" s="2" t="str">
        <f>indeter_MI!D9</f>
        <v>Прямоугольное</v>
      </c>
      <c r="V8" s="2">
        <f>indeter_MI!E9</f>
        <v>1.73</v>
      </c>
      <c r="W8" s="59">
        <f t="shared" si="3"/>
        <v>5.7803468208092491E-2</v>
      </c>
      <c r="X8" s="52">
        <f t="shared" si="2"/>
        <v>3.3412409368839594E-3</v>
      </c>
      <c r="Y8" s="120"/>
    </row>
    <row r="9" spans="1:25" x14ac:dyDescent="0.2">
      <c r="A9" s="120"/>
      <c r="B9" s="6">
        <v>7</v>
      </c>
      <c r="C9" s="18">
        <v>99.23</v>
      </c>
      <c r="D9" s="19">
        <v>99.22</v>
      </c>
      <c r="E9" s="19">
        <v>99.21</v>
      </c>
      <c r="F9" s="19">
        <v>99.21</v>
      </c>
      <c r="G9" s="23">
        <v>99.21</v>
      </c>
      <c r="H9" s="19">
        <v>99.21</v>
      </c>
      <c r="I9" s="19">
        <v>99.21</v>
      </c>
      <c r="J9" s="19">
        <v>99.22</v>
      </c>
      <c r="K9" s="19">
        <v>99.24</v>
      </c>
      <c r="L9" s="9">
        <f t="shared" si="0"/>
        <v>99.217777777777783</v>
      </c>
      <c r="M9" s="21">
        <f t="shared" si="1"/>
        <v>1.0304020550552649E-2</v>
      </c>
      <c r="N9" s="503"/>
      <c r="O9" s="2" t="s">
        <v>0</v>
      </c>
      <c r="P9" s="2" t="s">
        <v>2</v>
      </c>
      <c r="Q9" s="2" t="s">
        <v>3</v>
      </c>
      <c r="S9" s="2" t="str">
        <f>indeter_MI!B10</f>
        <v>Линейность</v>
      </c>
      <c r="T9" s="2">
        <f>indeter_MI!C10</f>
        <v>0.02</v>
      </c>
      <c r="U9" s="2" t="str">
        <f>indeter_MI!D10</f>
        <v>Прямоугольное</v>
      </c>
      <c r="V9" s="2">
        <f>indeter_MI!E10</f>
        <v>1.73</v>
      </c>
      <c r="W9" s="59">
        <f t="shared" si="3"/>
        <v>1.1560693641618498E-2</v>
      </c>
      <c r="X9" s="52">
        <f t="shared" si="2"/>
        <v>1.3364963747535837E-4</v>
      </c>
      <c r="Y9" s="120"/>
    </row>
    <row r="10" spans="1:25" ht="15" thickBot="1" x14ac:dyDescent="0.25">
      <c r="A10" s="120"/>
      <c r="B10" s="7">
        <v>8</v>
      </c>
      <c r="C10" s="18">
        <v>99.23</v>
      </c>
      <c r="D10" s="19">
        <v>99.22</v>
      </c>
      <c r="E10" s="19">
        <v>99.21</v>
      </c>
      <c r="F10" s="19">
        <v>99.21</v>
      </c>
      <c r="G10" s="23">
        <v>99.21</v>
      </c>
      <c r="H10" s="19">
        <v>99.21</v>
      </c>
      <c r="I10" s="19">
        <v>99.21</v>
      </c>
      <c r="J10" s="19">
        <v>99.22</v>
      </c>
      <c r="K10" s="19">
        <v>99.24</v>
      </c>
      <c r="L10" s="9">
        <f t="shared" si="0"/>
        <v>99.217777777777783</v>
      </c>
      <c r="M10" s="21">
        <f t="shared" si="1"/>
        <v>1.0304020550552649E-2</v>
      </c>
      <c r="N10" s="503"/>
      <c r="O10" s="38">
        <f>MAX(M4:M33)</f>
        <v>0.288097205817756</v>
      </c>
      <c r="P10" s="51">
        <f>MAX(C35:K35)</f>
        <v>0.21599999999997976</v>
      </c>
      <c r="Q10" s="50">
        <f>O6</f>
        <v>3.2885893473255522E-3</v>
      </c>
      <c r="S10" s="2" t="str">
        <f>indeter_MI!B11</f>
        <v>Разрешающая способность</v>
      </c>
      <c r="T10" s="2">
        <f>indeter_MI!C11</f>
        <v>0.01</v>
      </c>
      <c r="U10" s="2" t="str">
        <f>indeter_MI!D11</f>
        <v>Прямоугольное</v>
      </c>
      <c r="V10" s="2">
        <f>indeter_MI!E11</f>
        <v>1.73</v>
      </c>
      <c r="W10" s="59">
        <f t="shared" si="3"/>
        <v>5.7803468208092491E-3</v>
      </c>
      <c r="X10" s="52">
        <f>W10*W10</f>
        <v>3.3412409368839592E-5</v>
      </c>
      <c r="Y10" s="120"/>
    </row>
    <row r="11" spans="1:25" x14ac:dyDescent="0.2">
      <c r="A11" s="120"/>
      <c r="B11" s="6">
        <v>9</v>
      </c>
      <c r="C11" s="18">
        <v>99.23</v>
      </c>
      <c r="D11" s="19">
        <v>99.22</v>
      </c>
      <c r="E11" s="19">
        <v>99.21</v>
      </c>
      <c r="F11" s="19">
        <v>99.21</v>
      </c>
      <c r="G11" s="23">
        <v>99.21</v>
      </c>
      <c r="H11" s="19">
        <v>99.21</v>
      </c>
      <c r="I11" s="19">
        <v>99.21</v>
      </c>
      <c r="J11" s="19">
        <v>99.22</v>
      </c>
      <c r="K11" s="19">
        <v>99.24</v>
      </c>
      <c r="L11" s="9">
        <f t="shared" si="0"/>
        <v>99.217777777777783</v>
      </c>
      <c r="M11" s="21">
        <f t="shared" si="1"/>
        <v>1.0304020550552649E-2</v>
      </c>
      <c r="N11" s="503"/>
      <c r="S11" s="36" t="s">
        <v>0</v>
      </c>
      <c r="T11" s="37">
        <f>O10</f>
        <v>0.288097205817756</v>
      </c>
      <c r="U11" s="36" t="s">
        <v>13</v>
      </c>
      <c r="V11" s="21">
        <v>1</v>
      </c>
      <c r="W11" s="61">
        <f t="shared" si="3"/>
        <v>0.288097205817756</v>
      </c>
      <c r="X11" s="53">
        <f>W11*W11</f>
        <v>8.2999999999998464E-2</v>
      </c>
      <c r="Y11" s="120"/>
    </row>
    <row r="12" spans="1:25" ht="15" thickBot="1" x14ac:dyDescent="0.25">
      <c r="A12" s="120"/>
      <c r="B12" s="7">
        <v>10</v>
      </c>
      <c r="C12" s="18">
        <v>99.23</v>
      </c>
      <c r="D12" s="19">
        <v>99.22</v>
      </c>
      <c r="E12" s="19">
        <v>99.21</v>
      </c>
      <c r="F12" s="19">
        <v>99.21</v>
      </c>
      <c r="G12" s="23">
        <v>99.21</v>
      </c>
      <c r="H12" s="19">
        <v>99.21</v>
      </c>
      <c r="I12" s="19">
        <v>99.21</v>
      </c>
      <c r="J12" s="19">
        <v>99.22</v>
      </c>
      <c r="K12" s="19">
        <v>99.24</v>
      </c>
      <c r="L12" s="9">
        <f t="shared" si="0"/>
        <v>99.217777777777783</v>
      </c>
      <c r="M12" s="21">
        <f t="shared" si="1"/>
        <v>1.0304020550552649E-2</v>
      </c>
      <c r="N12" s="503"/>
      <c r="S12" s="26" t="s">
        <v>21</v>
      </c>
      <c r="T12" s="39">
        <f>P10</f>
        <v>0.21599999999997976</v>
      </c>
      <c r="U12" s="26" t="s">
        <v>13</v>
      </c>
      <c r="V12" s="22">
        <v>1</v>
      </c>
      <c r="W12" s="60">
        <f t="shared" si="3"/>
        <v>0.21599999999997976</v>
      </c>
      <c r="X12" s="54">
        <f>W12*W12</f>
        <v>4.665599999999126E-2</v>
      </c>
      <c r="Y12" s="120"/>
    </row>
    <row r="13" spans="1:25" x14ac:dyDescent="0.2">
      <c r="A13" s="120"/>
      <c r="B13" s="6">
        <v>11</v>
      </c>
      <c r="C13" s="18">
        <v>99.22</v>
      </c>
      <c r="D13" s="19">
        <v>99.22</v>
      </c>
      <c r="E13" s="19">
        <v>99.21</v>
      </c>
      <c r="F13" s="19">
        <v>99.21</v>
      </c>
      <c r="G13" s="23">
        <v>99.21</v>
      </c>
      <c r="H13" s="19">
        <v>99.21</v>
      </c>
      <c r="I13" s="19">
        <v>99.21</v>
      </c>
      <c r="J13" s="19">
        <v>99.22</v>
      </c>
      <c r="K13" s="19">
        <v>99.24</v>
      </c>
      <c r="L13" s="9">
        <f t="shared" si="0"/>
        <v>99.216666666666669</v>
      </c>
      <c r="M13" s="21">
        <f t="shared" si="1"/>
        <v>9.4280904158215492E-3</v>
      </c>
      <c r="N13" s="503"/>
      <c r="S13" s="25" t="s">
        <v>3</v>
      </c>
      <c r="T13" s="40">
        <f>Q10</f>
        <v>3.2885893473255522E-3</v>
      </c>
      <c r="U13" s="25" t="s">
        <v>13</v>
      </c>
      <c r="V13" s="17">
        <v>1</v>
      </c>
      <c r="W13" s="62">
        <f t="shared" si="3"/>
        <v>3.2885893473255522E-3</v>
      </c>
      <c r="X13" s="55">
        <f>W13*W13</f>
        <v>1.0814819895343101E-5</v>
      </c>
      <c r="Y13" s="120"/>
    </row>
    <row r="14" spans="1:25" ht="15" thickBot="1" x14ac:dyDescent="0.25">
      <c r="A14" s="120"/>
      <c r="B14" s="7">
        <v>12</v>
      </c>
      <c r="C14" s="18">
        <v>99.22</v>
      </c>
      <c r="D14" s="19">
        <v>99.22</v>
      </c>
      <c r="E14" s="19">
        <v>99.21</v>
      </c>
      <c r="F14" s="19">
        <v>99.21</v>
      </c>
      <c r="G14" s="23">
        <v>99.21</v>
      </c>
      <c r="H14" s="19">
        <v>99.21</v>
      </c>
      <c r="I14" s="19">
        <v>99.21</v>
      </c>
      <c r="J14" s="19">
        <v>99.22</v>
      </c>
      <c r="K14" s="19">
        <v>99.24</v>
      </c>
      <c r="L14" s="9">
        <f t="shared" si="0"/>
        <v>99.216666666666669</v>
      </c>
      <c r="M14" s="21">
        <f t="shared" si="1"/>
        <v>9.4280904158215492E-3</v>
      </c>
      <c r="N14" s="503"/>
      <c r="W14" s="56"/>
      <c r="X14" s="56"/>
      <c r="Y14" s="120"/>
    </row>
    <row r="15" spans="1:25" x14ac:dyDescent="0.2">
      <c r="A15" s="120"/>
      <c r="B15" s="6">
        <v>13</v>
      </c>
      <c r="C15" s="18">
        <v>99.22</v>
      </c>
      <c r="D15" s="19">
        <v>99.22</v>
      </c>
      <c r="E15" s="19">
        <v>99.21</v>
      </c>
      <c r="F15" s="19">
        <v>99.21</v>
      </c>
      <c r="G15" s="23">
        <v>99.21</v>
      </c>
      <c r="H15" s="19">
        <v>99.21</v>
      </c>
      <c r="I15" s="19">
        <v>99.21</v>
      </c>
      <c r="J15" s="19">
        <v>99.22</v>
      </c>
      <c r="K15" s="19">
        <v>99.24</v>
      </c>
      <c r="L15" s="9">
        <f t="shared" si="0"/>
        <v>99.216666666666669</v>
      </c>
      <c r="M15" s="21">
        <f t="shared" si="1"/>
        <v>9.4280904158215492E-3</v>
      </c>
      <c r="N15" s="503"/>
      <c r="S15" s="35" t="s">
        <v>22</v>
      </c>
      <c r="U15" s="41" t="s">
        <v>82</v>
      </c>
      <c r="V15" s="41"/>
      <c r="W15" s="57" t="s">
        <v>83</v>
      </c>
      <c r="X15" s="57"/>
      <c r="Y15" s="120"/>
    </row>
    <row r="16" spans="1:25" ht="15" thickBot="1" x14ac:dyDescent="0.25">
      <c r="A16" s="120"/>
      <c r="B16" s="7">
        <v>14</v>
      </c>
      <c r="C16" s="18">
        <v>99.22</v>
      </c>
      <c r="D16" s="19">
        <v>99.22</v>
      </c>
      <c r="E16" s="19">
        <v>99.21</v>
      </c>
      <c r="F16" s="19">
        <v>99.21</v>
      </c>
      <c r="G16" s="23">
        <v>99.21</v>
      </c>
      <c r="H16" s="19">
        <v>99.21</v>
      </c>
      <c r="I16" s="19">
        <v>99.21</v>
      </c>
      <c r="J16" s="19">
        <v>99.22</v>
      </c>
      <c r="K16" s="19">
        <v>99.24</v>
      </c>
      <c r="L16" s="9">
        <f t="shared" si="0"/>
        <v>99.216666666666669</v>
      </c>
      <c r="M16" s="21">
        <f t="shared" si="1"/>
        <v>9.4280904158215492E-3</v>
      </c>
      <c r="N16" s="503"/>
      <c r="S16" s="42">
        <f>SUM(X4:X13)</f>
        <v>0.13584194262235089</v>
      </c>
      <c r="V16" s="72">
        <f>SQRT(S16)</f>
        <v>0.36856741937174925</v>
      </c>
      <c r="W16" s="65"/>
      <c r="X16" s="72">
        <f>V16*2</f>
        <v>0.7371348387434985</v>
      </c>
      <c r="Y16" s="120"/>
    </row>
    <row r="17" spans="1:25" x14ac:dyDescent="0.2">
      <c r="A17" s="120"/>
      <c r="B17" s="6">
        <v>15</v>
      </c>
      <c r="C17" s="18">
        <v>99.22</v>
      </c>
      <c r="D17" s="19">
        <v>99.22</v>
      </c>
      <c r="E17" s="19">
        <v>99.21</v>
      </c>
      <c r="F17" s="19">
        <v>99.21</v>
      </c>
      <c r="G17" s="23">
        <v>99.21</v>
      </c>
      <c r="H17" s="19">
        <v>99.2</v>
      </c>
      <c r="I17" s="19">
        <v>99.21</v>
      </c>
      <c r="J17" s="19">
        <v>99.22</v>
      </c>
      <c r="K17" s="19">
        <v>99.23</v>
      </c>
      <c r="L17" s="9">
        <f t="shared" si="0"/>
        <v>99.214444444444453</v>
      </c>
      <c r="M17" s="21">
        <f t="shared" si="1"/>
        <v>8.3147941928324916E-3</v>
      </c>
      <c r="N17" s="503"/>
      <c r="S17" s="42">
        <f>ROUND(S16,8)</f>
        <v>0.13584193999999999</v>
      </c>
      <c r="V17" s="72">
        <f>ROUND(V16,3)</f>
        <v>0.36899999999999999</v>
      </c>
      <c r="W17" s="65"/>
      <c r="X17" s="72">
        <f>ROUND(X16,3)</f>
        <v>0.73699999999999999</v>
      </c>
      <c r="Y17" s="120"/>
    </row>
    <row r="18" spans="1:25" ht="15" thickBot="1" x14ac:dyDescent="0.25">
      <c r="A18" s="120"/>
      <c r="B18" s="7">
        <v>16</v>
      </c>
      <c r="C18" s="18">
        <v>99.22</v>
      </c>
      <c r="D18" s="19">
        <v>99.21</v>
      </c>
      <c r="E18" s="19">
        <v>99.21</v>
      </c>
      <c r="F18" s="19">
        <v>99.21</v>
      </c>
      <c r="G18" s="23">
        <v>99.21</v>
      </c>
      <c r="H18" s="19">
        <v>99.2</v>
      </c>
      <c r="I18" s="19">
        <v>99.21</v>
      </c>
      <c r="J18" s="19">
        <v>99.22</v>
      </c>
      <c r="K18" s="19">
        <v>99.24</v>
      </c>
      <c r="L18" s="9">
        <f t="shared" si="0"/>
        <v>99.214444444444453</v>
      </c>
      <c r="M18" s="21">
        <f t="shared" si="1"/>
        <v>1.0657403385138903E-2</v>
      </c>
      <c r="N18" s="503"/>
      <c r="W18" s="56"/>
      <c r="X18" s="56"/>
      <c r="Y18" s="120"/>
    </row>
    <row r="19" spans="1:25" x14ac:dyDescent="0.2">
      <c r="A19" s="120"/>
      <c r="B19" s="6">
        <v>17</v>
      </c>
      <c r="C19" s="18">
        <v>99.22</v>
      </c>
      <c r="D19" s="19">
        <v>99.21</v>
      </c>
      <c r="E19" s="19">
        <v>99.21</v>
      </c>
      <c r="F19" s="19">
        <v>99.2</v>
      </c>
      <c r="G19" s="23">
        <v>99.21</v>
      </c>
      <c r="H19" s="19">
        <v>99.2</v>
      </c>
      <c r="I19" s="19">
        <v>99.21</v>
      </c>
      <c r="J19" s="19">
        <v>99.22</v>
      </c>
      <c r="K19" s="19">
        <v>99.24</v>
      </c>
      <c r="L19" s="9">
        <f t="shared" si="0"/>
        <v>99.213333333333338</v>
      </c>
      <c r="M19" s="21">
        <f t="shared" si="1"/>
        <v>1.154700538379113E-2</v>
      </c>
      <c r="N19" s="503"/>
      <c r="O19" s="292" t="s">
        <v>36</v>
      </c>
      <c r="W19" s="56"/>
      <c r="X19" s="56"/>
      <c r="Y19" s="120"/>
    </row>
    <row r="20" spans="1:25" ht="15" thickBot="1" x14ac:dyDescent="0.25">
      <c r="A20" s="120"/>
      <c r="B20" s="7">
        <v>18</v>
      </c>
      <c r="C20" s="18">
        <v>99.22</v>
      </c>
      <c r="D20" s="19">
        <v>99.21</v>
      </c>
      <c r="E20" s="19">
        <v>99.21</v>
      </c>
      <c r="F20" s="19">
        <v>99.2</v>
      </c>
      <c r="G20" s="23">
        <v>99.21</v>
      </c>
      <c r="H20" s="19">
        <v>99.2</v>
      </c>
      <c r="I20" s="19">
        <v>99.21</v>
      </c>
      <c r="J20" s="19">
        <v>99.21</v>
      </c>
      <c r="K20" s="19">
        <v>99.23</v>
      </c>
      <c r="L20" s="9">
        <f t="shared" si="0"/>
        <v>99.211111111111123</v>
      </c>
      <c r="M20" s="21">
        <f t="shared" si="1"/>
        <v>8.7488976377913669E-3</v>
      </c>
      <c r="N20" s="503"/>
      <c r="W20" s="56"/>
      <c r="X20" s="56"/>
      <c r="Y20" s="120"/>
    </row>
    <row r="21" spans="1:25" x14ac:dyDescent="0.2">
      <c r="A21" s="120"/>
      <c r="B21" s="6">
        <v>19</v>
      </c>
      <c r="C21" s="18">
        <v>99.22</v>
      </c>
      <c r="D21" s="19">
        <v>99.21</v>
      </c>
      <c r="E21" s="19">
        <v>99.21</v>
      </c>
      <c r="F21" s="19">
        <v>99.2</v>
      </c>
      <c r="G21" s="23">
        <v>99.21</v>
      </c>
      <c r="H21" s="19">
        <v>99.08</v>
      </c>
      <c r="I21" s="19">
        <v>99.2</v>
      </c>
      <c r="J21" s="19">
        <v>99.21</v>
      </c>
      <c r="K21" s="19">
        <v>99.23</v>
      </c>
      <c r="L21" s="9">
        <f t="shared" si="0"/>
        <v>99.196666666666673</v>
      </c>
      <c r="M21" s="21">
        <f t="shared" si="1"/>
        <v>4.2163702135578365E-2</v>
      </c>
      <c r="N21" s="503"/>
      <c r="O21" s="63" t="s">
        <v>23</v>
      </c>
      <c r="S21" s="2" t="s">
        <v>7</v>
      </c>
      <c r="T21" s="2" t="s">
        <v>8</v>
      </c>
      <c r="U21" s="2" t="s">
        <v>9</v>
      </c>
      <c r="V21" s="2" t="s">
        <v>10</v>
      </c>
      <c r="W21" s="57" t="s">
        <v>11</v>
      </c>
      <c r="X21" s="58" t="s">
        <v>12</v>
      </c>
      <c r="Y21" s="120"/>
    </row>
    <row r="22" spans="1:25" ht="15" thickBot="1" x14ac:dyDescent="0.25">
      <c r="A22" s="120"/>
      <c r="B22" s="7">
        <v>20</v>
      </c>
      <c r="C22" s="18">
        <v>99.22</v>
      </c>
      <c r="D22" s="19">
        <v>99.21</v>
      </c>
      <c r="E22" s="19">
        <v>99.21</v>
      </c>
      <c r="F22" s="19">
        <v>99.2</v>
      </c>
      <c r="G22" s="23">
        <v>99.2</v>
      </c>
      <c r="H22" s="19">
        <v>98.96</v>
      </c>
      <c r="I22" s="19">
        <v>99.2</v>
      </c>
      <c r="J22" s="19">
        <v>99.21</v>
      </c>
      <c r="K22" s="19">
        <v>99.23</v>
      </c>
      <c r="L22" s="9">
        <f t="shared" si="0"/>
        <v>99.182222222222236</v>
      </c>
      <c r="M22" s="21">
        <f t="shared" si="1"/>
        <v>7.913108362117878E-2</v>
      </c>
      <c r="N22" s="503"/>
      <c r="O22" s="64">
        <f>MAX(C35:K35)</f>
        <v>0.21599999999997976</v>
      </c>
      <c r="S22" s="2" t="str">
        <f>indeter_MI!B16</f>
        <v>Поверка</v>
      </c>
      <c r="T22" s="2">
        <f>indeter_MI!C16</f>
        <v>0.1</v>
      </c>
      <c r="U22" s="2" t="str">
        <f>indeter_MI!D16</f>
        <v>Нормальное</v>
      </c>
      <c r="V22" s="2">
        <f>indeter_MI!E16</f>
        <v>2</v>
      </c>
      <c r="W22" s="59">
        <f>T22/V22</f>
        <v>0.05</v>
      </c>
      <c r="X22" s="59">
        <f t="shared" ref="X22:X29" si="4">W22*W22</f>
        <v>2.5000000000000005E-3</v>
      </c>
      <c r="Y22" s="120"/>
    </row>
    <row r="23" spans="1:25" x14ac:dyDescent="0.2">
      <c r="A23" s="120"/>
      <c r="B23" s="6">
        <v>21</v>
      </c>
      <c r="C23" s="18">
        <v>99.22</v>
      </c>
      <c r="D23" s="19">
        <v>99.21</v>
      </c>
      <c r="E23" s="19">
        <v>99.21</v>
      </c>
      <c r="F23" s="19">
        <v>99.2</v>
      </c>
      <c r="G23" s="23">
        <v>99.2</v>
      </c>
      <c r="H23" s="19">
        <v>98.91</v>
      </c>
      <c r="I23" s="19">
        <v>99.2</v>
      </c>
      <c r="J23" s="19">
        <v>99.21</v>
      </c>
      <c r="K23" s="19">
        <v>99.23</v>
      </c>
      <c r="L23" s="9">
        <f t="shared" si="0"/>
        <v>99.176666666666677</v>
      </c>
      <c r="M23" s="21">
        <f t="shared" si="1"/>
        <v>9.4751136023680058E-2</v>
      </c>
      <c r="N23" s="503"/>
      <c r="S23" s="2" t="str">
        <f>indeter_MI!B17</f>
        <v>Повторяемость*</v>
      </c>
      <c r="T23" s="2">
        <f>indeter_MI!C17</f>
        <v>0.01</v>
      </c>
      <c r="U23" s="2" t="str">
        <f>indeter_MI!D17</f>
        <v>Нормальное</v>
      </c>
      <c r="V23" s="2">
        <f>indeter_MI!E17</f>
        <v>1</v>
      </c>
      <c r="W23" s="59">
        <f t="shared" ref="W23:W28" si="5">T23/V23</f>
        <v>0.01</v>
      </c>
      <c r="X23" s="59">
        <f t="shared" si="4"/>
        <v>1E-4</v>
      </c>
      <c r="Y23" s="120"/>
    </row>
    <row r="24" spans="1:25" ht="15" thickBot="1" x14ac:dyDescent="0.25">
      <c r="A24" s="120"/>
      <c r="B24" s="7">
        <v>22</v>
      </c>
      <c r="C24" s="18">
        <v>99.22</v>
      </c>
      <c r="D24" s="19">
        <v>99.21</v>
      </c>
      <c r="E24" s="19">
        <v>99.2</v>
      </c>
      <c r="F24" s="19">
        <v>99.1</v>
      </c>
      <c r="G24" s="23">
        <v>99.2</v>
      </c>
      <c r="H24" s="19">
        <v>98.79</v>
      </c>
      <c r="I24" s="19">
        <v>99.2</v>
      </c>
      <c r="J24" s="19">
        <v>99.21</v>
      </c>
      <c r="K24" s="19">
        <v>99.22</v>
      </c>
      <c r="L24" s="9">
        <f t="shared" si="0"/>
        <v>99.15000000000002</v>
      </c>
      <c r="M24" s="21">
        <f t="shared" si="1"/>
        <v>0.13190905958272711</v>
      </c>
      <c r="N24" s="503"/>
      <c r="S24" s="2" t="str">
        <f>indeter_MI!B18</f>
        <v>Гистерезис</v>
      </c>
      <c r="T24" s="2">
        <f>indeter_MI!C18</f>
        <v>0.01</v>
      </c>
      <c r="U24" s="2" t="str">
        <f>indeter_MI!D18</f>
        <v>Прямоугольное</v>
      </c>
      <c r="V24" s="2">
        <f>indeter_MI!E18</f>
        <v>1.73</v>
      </c>
      <c r="W24" s="59">
        <f t="shared" si="5"/>
        <v>5.7803468208092491E-3</v>
      </c>
      <c r="X24" s="59">
        <f t="shared" si="4"/>
        <v>3.3412409368839592E-5</v>
      </c>
      <c r="Y24" s="120"/>
    </row>
    <row r="25" spans="1:25" x14ac:dyDescent="0.2">
      <c r="A25" s="120"/>
      <c r="B25" s="6">
        <v>23</v>
      </c>
      <c r="C25" s="18">
        <v>99.22</v>
      </c>
      <c r="D25" s="19">
        <v>99.21</v>
      </c>
      <c r="E25" s="19">
        <v>99.2</v>
      </c>
      <c r="F25" s="19">
        <v>98.96</v>
      </c>
      <c r="G25" s="23">
        <v>99.2</v>
      </c>
      <c r="H25" s="19">
        <v>98.69</v>
      </c>
      <c r="I25" s="19">
        <v>99.2</v>
      </c>
      <c r="J25" s="19">
        <v>99.21</v>
      </c>
      <c r="K25" s="19">
        <v>99.23</v>
      </c>
      <c r="L25" s="9">
        <f t="shared" si="0"/>
        <v>99.124444444444464</v>
      </c>
      <c r="M25" s="21">
        <f t="shared" si="1"/>
        <v>0.17250514395622654</v>
      </c>
      <c r="N25" s="503"/>
      <c r="S25" s="2" t="str">
        <f>indeter_MI!B19</f>
        <v>Влияние температуры</v>
      </c>
      <c r="T25" s="2">
        <f>indeter_MI!C19</f>
        <v>0.01</v>
      </c>
      <c r="U25" s="2" t="str">
        <f>indeter_MI!D19</f>
        <v>Прямоугольное</v>
      </c>
      <c r="V25" s="2">
        <f>indeter_MI!E19</f>
        <v>1.73</v>
      </c>
      <c r="W25" s="59">
        <f t="shared" si="5"/>
        <v>5.7803468208092491E-3</v>
      </c>
      <c r="X25" s="59">
        <f t="shared" si="4"/>
        <v>3.3412409368839592E-5</v>
      </c>
      <c r="Y25" s="120"/>
    </row>
    <row r="26" spans="1:25" ht="15" thickBot="1" x14ac:dyDescent="0.25">
      <c r="A26" s="120"/>
      <c r="B26" s="7">
        <v>24</v>
      </c>
      <c r="C26" s="18">
        <v>99.22</v>
      </c>
      <c r="D26" s="19">
        <v>99.21</v>
      </c>
      <c r="E26" s="19">
        <v>99.2</v>
      </c>
      <c r="F26" s="19">
        <v>98.83</v>
      </c>
      <c r="G26" s="23">
        <v>99.2</v>
      </c>
      <c r="H26" s="19">
        <v>98.58</v>
      </c>
      <c r="I26" s="19">
        <v>99.2</v>
      </c>
      <c r="J26" s="19">
        <v>99.21</v>
      </c>
      <c r="K26" s="19">
        <v>99.23</v>
      </c>
      <c r="L26" s="9">
        <f t="shared" si="0"/>
        <v>99.097777777777793</v>
      </c>
      <c r="M26" s="21">
        <f t="shared" si="1"/>
        <v>0.21826476163787817</v>
      </c>
      <c r="N26" s="503"/>
      <c r="S26" s="2" t="str">
        <f>indeter_MI!B20</f>
        <v>Дрейф*</v>
      </c>
      <c r="T26" s="2">
        <f>indeter_MI!C20</f>
        <v>0.1</v>
      </c>
      <c r="U26" s="2" t="str">
        <f>indeter_MI!D20</f>
        <v>Прямоугольное</v>
      </c>
      <c r="V26" s="2">
        <f>indeter_MI!E20</f>
        <v>1.73</v>
      </c>
      <c r="W26" s="59">
        <f t="shared" si="5"/>
        <v>5.7803468208092491E-2</v>
      </c>
      <c r="X26" s="59">
        <f t="shared" si="4"/>
        <v>3.3412409368839594E-3</v>
      </c>
      <c r="Y26" s="120"/>
    </row>
    <row r="27" spans="1:25" x14ac:dyDescent="0.2">
      <c r="A27" s="120"/>
      <c r="B27" s="6">
        <v>25</v>
      </c>
      <c r="C27" s="18">
        <v>99.22</v>
      </c>
      <c r="D27" s="19">
        <v>99.21</v>
      </c>
      <c r="E27" s="19">
        <v>99.2</v>
      </c>
      <c r="F27" s="19">
        <v>98.7</v>
      </c>
      <c r="G27" s="23">
        <v>99.2</v>
      </c>
      <c r="H27" s="19">
        <v>98.52</v>
      </c>
      <c r="I27" s="19">
        <v>99.2</v>
      </c>
      <c r="J27" s="19">
        <v>99.21</v>
      </c>
      <c r="K27" s="19">
        <v>99.31</v>
      </c>
      <c r="L27" s="9">
        <f t="shared" si="0"/>
        <v>99.085555555555558</v>
      </c>
      <c r="M27" s="21">
        <f t="shared" si="1"/>
        <v>0.25974821616802174</v>
      </c>
      <c r="N27" s="503"/>
      <c r="S27" s="2" t="str">
        <f>indeter_MI!B21</f>
        <v>Линейность</v>
      </c>
      <c r="T27" s="2">
        <f>indeter_MI!C21</f>
        <v>0.02</v>
      </c>
      <c r="U27" s="2" t="str">
        <f>indeter_MI!D21</f>
        <v>Прямоугольное</v>
      </c>
      <c r="V27" s="2">
        <f>indeter_MI!E21</f>
        <v>1.73</v>
      </c>
      <c r="W27" s="59">
        <f t="shared" si="5"/>
        <v>1.1560693641618498E-2</v>
      </c>
      <c r="X27" s="59">
        <f t="shared" si="4"/>
        <v>1.3364963747535837E-4</v>
      </c>
      <c r="Y27" s="120"/>
    </row>
    <row r="28" spans="1:25" ht="15" thickBot="1" x14ac:dyDescent="0.25">
      <c r="A28" s="120"/>
      <c r="B28" s="7">
        <v>26</v>
      </c>
      <c r="C28" s="18">
        <v>99.22</v>
      </c>
      <c r="D28" s="19">
        <v>99.21</v>
      </c>
      <c r="E28" s="19">
        <v>99.2</v>
      </c>
      <c r="F28" s="19">
        <v>98.59</v>
      </c>
      <c r="G28" s="23">
        <v>99.2</v>
      </c>
      <c r="H28" s="19">
        <v>98.48</v>
      </c>
      <c r="I28" s="19">
        <v>99.16</v>
      </c>
      <c r="J28" s="19">
        <v>99.21</v>
      </c>
      <c r="K28" s="19">
        <v>99.22</v>
      </c>
      <c r="L28" s="9">
        <f t="shared" si="0"/>
        <v>99.054444444444442</v>
      </c>
      <c r="M28" s="21">
        <f t="shared" si="1"/>
        <v>0.27936877703180368</v>
      </c>
      <c r="N28" s="503"/>
      <c r="S28" s="2" t="str">
        <f>indeter_MI!B22</f>
        <v>Разрешающая способность</v>
      </c>
      <c r="T28" s="2">
        <f>indeter_MI!C22</f>
        <v>0.01</v>
      </c>
      <c r="U28" s="2" t="str">
        <f>indeter_MI!D22</f>
        <v>Прямоугольное</v>
      </c>
      <c r="V28" s="2">
        <f>indeter_MI!E22</f>
        <v>1.73</v>
      </c>
      <c r="W28" s="59">
        <f t="shared" si="5"/>
        <v>5.7803468208092491E-3</v>
      </c>
      <c r="X28" s="59">
        <f t="shared" si="4"/>
        <v>3.3412409368839592E-5</v>
      </c>
      <c r="Y28" s="120"/>
    </row>
    <row r="29" spans="1:25" x14ac:dyDescent="0.2">
      <c r="A29" s="120"/>
      <c r="B29" s="6">
        <v>27</v>
      </c>
      <c r="C29" s="18">
        <v>99.22</v>
      </c>
      <c r="D29" s="19">
        <v>99.21</v>
      </c>
      <c r="E29" s="19">
        <v>99.2</v>
      </c>
      <c r="F29" s="19">
        <v>98.54</v>
      </c>
      <c r="G29" s="23">
        <v>99.2</v>
      </c>
      <c r="H29" s="19">
        <v>98.48</v>
      </c>
      <c r="I29" s="19">
        <v>99.14</v>
      </c>
      <c r="J29" s="19">
        <v>99.21</v>
      </c>
      <c r="K29" s="19">
        <v>99.22</v>
      </c>
      <c r="L29" s="9">
        <f t="shared" si="0"/>
        <v>99.046666666666681</v>
      </c>
      <c r="M29" s="21">
        <f t="shared" si="1"/>
        <v>0.288097205817756</v>
      </c>
      <c r="N29" s="503"/>
      <c r="S29" s="48" t="s">
        <v>21</v>
      </c>
      <c r="T29" s="49">
        <f>O22</f>
        <v>0.21599999999997976</v>
      </c>
      <c r="U29" s="49" t="s">
        <v>13</v>
      </c>
      <c r="V29" s="16">
        <v>1</v>
      </c>
      <c r="W29" s="60">
        <f>T29/V29</f>
        <v>0.21599999999997976</v>
      </c>
      <c r="X29" s="60">
        <f t="shared" si="4"/>
        <v>4.665599999999126E-2</v>
      </c>
      <c r="Y29" s="120"/>
    </row>
    <row r="30" spans="1:25" ht="15" thickBot="1" x14ac:dyDescent="0.25">
      <c r="A30" s="120"/>
      <c r="B30" s="7">
        <v>28</v>
      </c>
      <c r="C30" s="18">
        <v>99.21</v>
      </c>
      <c r="D30" s="19">
        <v>99.21</v>
      </c>
      <c r="E30" s="19">
        <v>99.2</v>
      </c>
      <c r="F30" s="19">
        <v>98.55</v>
      </c>
      <c r="G30" s="23">
        <v>99.18</v>
      </c>
      <c r="H30" s="19">
        <v>98.51</v>
      </c>
      <c r="I30" s="19">
        <v>99.12</v>
      </c>
      <c r="J30" s="19">
        <v>99.21</v>
      </c>
      <c r="K30" s="19">
        <v>99.23</v>
      </c>
      <c r="L30" s="9">
        <f t="shared" si="0"/>
        <v>99.046666666666681</v>
      </c>
      <c r="M30" s="21">
        <f t="shared" si="1"/>
        <v>0.27788886667555035</v>
      </c>
      <c r="N30" s="503"/>
      <c r="X30" s="56"/>
      <c r="Y30" s="120"/>
    </row>
    <row r="31" spans="1:25" ht="15" thickBot="1" x14ac:dyDescent="0.25">
      <c r="A31" s="120"/>
      <c r="B31" s="8">
        <v>29</v>
      </c>
      <c r="C31" s="18">
        <v>99.21</v>
      </c>
      <c r="D31" s="19">
        <v>99.21</v>
      </c>
      <c r="E31" s="19">
        <v>99.2</v>
      </c>
      <c r="F31" s="19">
        <v>98.55</v>
      </c>
      <c r="G31" s="23">
        <v>99.18</v>
      </c>
      <c r="H31" s="19">
        <v>98.54</v>
      </c>
      <c r="I31" s="19">
        <v>99.07</v>
      </c>
      <c r="J31" s="19">
        <v>99.21</v>
      </c>
      <c r="K31" s="19">
        <v>99.22</v>
      </c>
      <c r="L31" s="9">
        <f t="shared" si="0"/>
        <v>99.043333333333351</v>
      </c>
      <c r="M31" s="21">
        <f t="shared" si="1"/>
        <v>0.26981475126463922</v>
      </c>
      <c r="N31" s="503"/>
      <c r="S31" s="35" t="s">
        <v>22</v>
      </c>
      <c r="U31" s="41" t="s">
        <v>82</v>
      </c>
      <c r="V31" s="41"/>
      <c r="W31" s="41" t="s">
        <v>83</v>
      </c>
      <c r="X31" s="57"/>
      <c r="Y31" s="120"/>
    </row>
    <row r="32" spans="1:25" ht="15" thickBot="1" x14ac:dyDescent="0.25">
      <c r="A32" s="120"/>
      <c r="B32" s="8">
        <v>30</v>
      </c>
      <c r="C32" s="18">
        <v>99.21</v>
      </c>
      <c r="D32" s="19">
        <v>99.21</v>
      </c>
      <c r="E32" s="19">
        <v>99.2</v>
      </c>
      <c r="F32" s="19">
        <v>98.55</v>
      </c>
      <c r="G32" s="23">
        <v>99.18</v>
      </c>
      <c r="H32" s="19">
        <v>98.54</v>
      </c>
      <c r="I32" s="19">
        <v>99.07</v>
      </c>
      <c r="J32" s="19">
        <v>99.21</v>
      </c>
      <c r="K32" s="19">
        <v>99.22</v>
      </c>
      <c r="L32" s="9">
        <f t="shared" si="0"/>
        <v>99.043333333333351</v>
      </c>
      <c r="M32" s="21">
        <f t="shared" si="1"/>
        <v>0.26981475126463922</v>
      </c>
      <c r="N32" s="503"/>
      <c r="S32" s="42">
        <f>SUM(X22:X29)</f>
        <v>5.2831127802457099E-2</v>
      </c>
      <c r="V32" s="72">
        <f>SQRT(S32)</f>
        <v>0.22985022906766289</v>
      </c>
      <c r="W32" s="65"/>
      <c r="X32" s="72">
        <f>V32*2</f>
        <v>0.45970045813532578</v>
      </c>
      <c r="Y32" s="120"/>
    </row>
    <row r="33" spans="1:25" ht="19.5" thickBot="1" x14ac:dyDescent="0.4">
      <c r="A33" s="120"/>
      <c r="B33" s="93" t="s">
        <v>64</v>
      </c>
      <c r="C33" s="30">
        <f>AVERAGE(C3:C32)</f>
        <v>99.22233333333331</v>
      </c>
      <c r="D33" s="31">
        <f t="shared" ref="D33:K33" si="6">AVERAGE(D3:D32)</f>
        <v>99.215000000000018</v>
      </c>
      <c r="E33" s="31">
        <f t="shared" si="6"/>
        <v>99.206999999999951</v>
      </c>
      <c r="F33" s="31">
        <f t="shared" si="6"/>
        <v>99.057666666666691</v>
      </c>
      <c r="G33" s="31">
        <f t="shared" si="6"/>
        <v>99.204333333333295</v>
      </c>
      <c r="H33" s="31">
        <f t="shared" si="6"/>
        <v>98.994000000000014</v>
      </c>
      <c r="I33" s="31">
        <f t="shared" si="6"/>
        <v>99.191333333333333</v>
      </c>
      <c r="J33" s="31">
        <f t="shared" si="6"/>
        <v>99.215666666666692</v>
      </c>
      <c r="K33" s="31">
        <f t="shared" si="6"/>
        <v>99.236333333333292</v>
      </c>
      <c r="N33" s="503"/>
      <c r="S33" s="42">
        <f>ROUND(S32,8)</f>
        <v>5.2831129999999997E-2</v>
      </c>
      <c r="V33" s="72">
        <f>ROUND(V32,3)</f>
        <v>0.23</v>
      </c>
      <c r="W33" s="65"/>
      <c r="X33" s="72">
        <f>ROUND(X32,3)</f>
        <v>0.46</v>
      </c>
      <c r="Y33" s="120"/>
    </row>
    <row r="34" spans="1:25" ht="19.5" thickBot="1" x14ac:dyDescent="0.4">
      <c r="A34" s="120"/>
      <c r="B34" s="93" t="s">
        <v>39</v>
      </c>
      <c r="C34" s="27">
        <f>_xlfn.STDEV.P(C3:C32)</f>
        <v>6.1553951042096133E-3</v>
      </c>
      <c r="D34" s="22">
        <f t="shared" ref="D34:K34" si="7">_xlfn.STDEV.P(D3:D32)</f>
        <v>5.0000000000025562E-3</v>
      </c>
      <c r="E34" s="22">
        <f t="shared" si="7"/>
        <v>4.5825756949516719E-3</v>
      </c>
      <c r="F34" s="22">
        <f t="shared" si="7"/>
        <v>0.25321510399043728</v>
      </c>
      <c r="G34" s="22">
        <f t="shared" si="7"/>
        <v>9.1954094827512104E-3</v>
      </c>
      <c r="H34" s="22">
        <f t="shared" si="7"/>
        <v>0.29117692216245128</v>
      </c>
      <c r="I34" s="22">
        <f t="shared" si="7"/>
        <v>3.8706875645318981E-2</v>
      </c>
      <c r="J34" s="22">
        <f t="shared" si="7"/>
        <v>4.9553562491087026E-3</v>
      </c>
      <c r="K34" s="22">
        <f t="shared" si="7"/>
        <v>1.5595583420385598E-2</v>
      </c>
      <c r="N34" s="503"/>
      <c r="S34" s="66"/>
      <c r="T34" s="66"/>
      <c r="U34" s="66"/>
      <c r="V34" s="66"/>
      <c r="W34" s="66"/>
      <c r="X34" s="66"/>
      <c r="Y34" s="124"/>
    </row>
    <row r="35" spans="1:25" ht="19.5" thickBot="1" x14ac:dyDescent="0.4">
      <c r="A35" s="120"/>
      <c r="B35" s="93" t="s">
        <v>65</v>
      </c>
      <c r="C35" s="11">
        <f>MAX(C3:C32)-C33</f>
        <v>7.6666666666937999E-3</v>
      </c>
      <c r="D35" s="12">
        <f t="shared" ref="D35:K35" si="8">MAX(D3:D32)-D33</f>
        <v>4.9999999999812417E-3</v>
      </c>
      <c r="E35" s="12">
        <f t="shared" si="8"/>
        <v>3.0000000000427463E-3</v>
      </c>
      <c r="F35" s="12">
        <f t="shared" si="8"/>
        <v>0.15233333333330279</v>
      </c>
      <c r="G35" s="24">
        <f t="shared" si="8"/>
        <v>5.6666666666984611E-3</v>
      </c>
      <c r="H35" s="12">
        <f t="shared" si="8"/>
        <v>0.21599999999997976</v>
      </c>
      <c r="I35" s="12">
        <f t="shared" si="8"/>
        <v>1.8666666666661058E-2</v>
      </c>
      <c r="J35" s="12">
        <f t="shared" si="8"/>
        <v>4.3333333333066548E-3</v>
      </c>
      <c r="K35" s="12">
        <f t="shared" si="8"/>
        <v>7.3666666666710512E-2</v>
      </c>
      <c r="N35" s="503"/>
      <c r="Y35" s="120"/>
    </row>
    <row r="36" spans="1:25" ht="19.5" thickBot="1" x14ac:dyDescent="0.4">
      <c r="A36" s="120"/>
      <c r="B36" s="93" t="s">
        <v>66</v>
      </c>
      <c r="C36" s="11">
        <f>C33-MIN(C3:C32)</f>
        <v>1.2333333333316432E-2</v>
      </c>
      <c r="D36" s="12">
        <f t="shared" ref="D36:K36" si="9">D33-MIN(D3:D32)</f>
        <v>5.0000000000238742E-3</v>
      </c>
      <c r="E36" s="12">
        <f t="shared" si="9"/>
        <v>6.9999999999481588E-3</v>
      </c>
      <c r="F36" s="12">
        <f t="shared" si="9"/>
        <v>0.5176666666666847</v>
      </c>
      <c r="G36" s="24">
        <f t="shared" si="9"/>
        <v>2.4333333333288465E-2</v>
      </c>
      <c r="H36" s="12">
        <f t="shared" si="9"/>
        <v>0.51400000000001</v>
      </c>
      <c r="I36" s="12">
        <f t="shared" si="9"/>
        <v>0.12133333333333951</v>
      </c>
      <c r="J36" s="12">
        <f t="shared" si="9"/>
        <v>5.6666666666984611E-3</v>
      </c>
      <c r="K36" s="12">
        <f t="shared" si="9"/>
        <v>1.6333333333292899E-2</v>
      </c>
      <c r="N36" s="503"/>
      <c r="Y36" s="120"/>
    </row>
    <row r="37" spans="1:25" ht="15.75" thickBot="1" x14ac:dyDescent="0.25">
      <c r="A37" s="120"/>
      <c r="B37" s="94" t="s">
        <v>37</v>
      </c>
      <c r="C37" s="14">
        <f>(C35+C36)/2</f>
        <v>1.0000000000005116E-2</v>
      </c>
      <c r="D37" s="15">
        <f t="shared" ref="D37:K37" si="10">(D35+D36)/2</f>
        <v>5.000000000002558E-3</v>
      </c>
      <c r="E37" s="15">
        <f t="shared" si="10"/>
        <v>4.9999999999954525E-3</v>
      </c>
      <c r="F37" s="15">
        <f t="shared" si="10"/>
        <v>0.33499999999999375</v>
      </c>
      <c r="G37" s="15">
        <f t="shared" si="10"/>
        <v>1.4999999999993463E-2</v>
      </c>
      <c r="H37" s="15">
        <f t="shared" si="10"/>
        <v>0.36499999999999488</v>
      </c>
      <c r="I37" s="15">
        <f t="shared" si="10"/>
        <v>7.0000000000000284E-2</v>
      </c>
      <c r="J37" s="15">
        <f t="shared" si="10"/>
        <v>5.000000000002558E-3</v>
      </c>
      <c r="K37" s="15">
        <f t="shared" si="10"/>
        <v>4.5000000000001705E-2</v>
      </c>
      <c r="N37" s="503"/>
      <c r="Y37" s="120"/>
    </row>
    <row r="38" spans="1:25" ht="19.5" thickBot="1" x14ac:dyDescent="0.4">
      <c r="A38" s="120"/>
      <c r="B38" s="95" t="s">
        <v>67</v>
      </c>
      <c r="C38" s="43">
        <f>C33-$G33</f>
        <v>1.8000000000014893E-2</v>
      </c>
      <c r="D38" s="13">
        <f t="shared" ref="D38:K38" si="11">D33-$G33</f>
        <v>1.0666666666722335E-2</v>
      </c>
      <c r="E38" s="13">
        <f t="shared" si="11"/>
        <v>2.6666666666557148E-3</v>
      </c>
      <c r="F38" s="13">
        <f t="shared" si="11"/>
        <v>-0.14666666666660433</v>
      </c>
      <c r="G38" s="13">
        <f>G33-$G33</f>
        <v>0</v>
      </c>
      <c r="H38" s="13">
        <f t="shared" si="11"/>
        <v>-0.2103333333332813</v>
      </c>
      <c r="I38" s="13">
        <f t="shared" si="11"/>
        <v>-1.2999999999962597E-2</v>
      </c>
      <c r="J38" s="13">
        <f t="shared" si="11"/>
        <v>1.1333333333396922E-2</v>
      </c>
      <c r="K38" s="13">
        <f t="shared" si="11"/>
        <v>3.1999999999996476E-2</v>
      </c>
      <c r="N38" s="503"/>
      <c r="Y38" s="120"/>
    </row>
    <row r="39" spans="1:25" ht="18.75" x14ac:dyDescent="0.35">
      <c r="A39" s="120"/>
      <c r="B39" s="99" t="s">
        <v>68</v>
      </c>
      <c r="C39" s="45">
        <v>98</v>
      </c>
      <c r="N39" s="503"/>
      <c r="Y39" s="120"/>
    </row>
    <row r="40" spans="1:25" ht="18.75" x14ac:dyDescent="0.2">
      <c r="A40" s="120"/>
      <c r="B40" s="100" t="s">
        <v>69</v>
      </c>
      <c r="C40" s="44">
        <f>AVERAGE(C3:K32)</f>
        <v>99.171518518518354</v>
      </c>
      <c r="N40" s="503"/>
      <c r="Y40" s="120"/>
    </row>
    <row r="41" spans="1:25" ht="18.75" x14ac:dyDescent="0.2">
      <c r="A41" s="120"/>
      <c r="B41" s="101" t="s">
        <v>70</v>
      </c>
      <c r="C41" s="28">
        <f>C40-C39</f>
        <v>1.1715185185183543</v>
      </c>
      <c r="N41" s="503"/>
      <c r="Y41" s="120"/>
    </row>
    <row r="42" spans="1:25" ht="18.75" x14ac:dyDescent="0.2">
      <c r="A42" s="120"/>
      <c r="B42" s="102" t="s">
        <v>71</v>
      </c>
      <c r="C42" s="29">
        <f>MAX(C33:K33)-MIN(C33:K33)</f>
        <v>0.24233333333327778</v>
      </c>
      <c r="N42" s="503"/>
      <c r="Y42" s="120"/>
    </row>
    <row r="43" spans="1:25" ht="18.75" x14ac:dyDescent="0.2">
      <c r="A43" s="120"/>
      <c r="B43" s="103" t="s">
        <v>72</v>
      </c>
      <c r="C43" s="32">
        <f>MAX(C38:K38)</f>
        <v>3.1999999999996476E-2</v>
      </c>
      <c r="N43" s="503"/>
      <c r="Y43" s="120"/>
    </row>
    <row r="44" spans="1:25" x14ac:dyDescent="0.2">
      <c r="A44" s="120"/>
      <c r="B44" s="104"/>
      <c r="C44" s="32">
        <f>MIN(C38:K38)</f>
        <v>-0.2103333333332813</v>
      </c>
      <c r="D44" s="65"/>
      <c r="N44" s="503"/>
      <c r="Y44" s="120"/>
    </row>
    <row r="45" spans="1:25" ht="18.75" x14ac:dyDescent="0.2">
      <c r="A45" s="120"/>
      <c r="B45" s="105" t="s">
        <v>50</v>
      </c>
      <c r="C45" s="33">
        <f>AVERAGE(C37:K37)</f>
        <v>9.4999999999998863E-2</v>
      </c>
      <c r="N45" s="503"/>
      <c r="Y45" s="120"/>
    </row>
    <row r="46" spans="1:25" ht="18.75" x14ac:dyDescent="0.35">
      <c r="A46" s="120"/>
      <c r="B46" s="180" t="s">
        <v>259</v>
      </c>
      <c r="C46" s="181">
        <f>_xlfn.STDEV.P(C3:K32)</f>
        <v>0.15226533137436651</v>
      </c>
      <c r="N46" s="503"/>
      <c r="Y46" s="120"/>
    </row>
    <row r="47" spans="1:25" x14ac:dyDescent="0.2">
      <c r="A47" s="120"/>
      <c r="B47" s="120"/>
      <c r="C47" s="120"/>
      <c r="D47" s="120"/>
      <c r="E47" s="120"/>
      <c r="F47" s="120"/>
      <c r="G47" s="120"/>
      <c r="H47" s="120"/>
      <c r="I47" s="120"/>
      <c r="J47" s="120"/>
      <c r="K47" s="120"/>
      <c r="L47" s="120"/>
      <c r="M47" s="120"/>
      <c r="N47" s="120"/>
      <c r="O47" s="120"/>
      <c r="P47" s="120"/>
      <c r="Q47" s="120"/>
      <c r="R47" s="120"/>
      <c r="S47" s="120"/>
      <c r="T47" s="120"/>
      <c r="U47" s="120"/>
      <c r="V47" s="120"/>
      <c r="W47" s="120"/>
      <c r="X47" s="120"/>
      <c r="Y47" s="120"/>
    </row>
    <row r="48" spans="1:25" ht="15" thickBot="1" x14ac:dyDescent="0.25">
      <c r="A48" s="123"/>
      <c r="B48" s="123"/>
      <c r="C48" s="123"/>
      <c r="D48" s="123"/>
      <c r="E48" s="123"/>
      <c r="F48" s="123"/>
      <c r="G48" s="123"/>
      <c r="H48" s="123"/>
      <c r="I48" s="123"/>
      <c r="J48" s="123"/>
      <c r="K48" s="123"/>
      <c r="L48" s="123"/>
      <c r="M48" s="123"/>
      <c r="N48" s="123"/>
      <c r="O48" s="123" t="s">
        <v>6</v>
      </c>
      <c r="P48" s="123"/>
      <c r="Q48" s="123"/>
      <c r="R48" s="123"/>
      <c r="S48" s="123"/>
      <c r="T48" s="123"/>
      <c r="U48" s="123"/>
      <c r="V48" s="123"/>
      <c r="W48" s="123"/>
      <c r="X48" s="123"/>
      <c r="Y48" s="123"/>
    </row>
    <row r="49" spans="1:25" ht="19.5" thickBot="1" x14ac:dyDescent="0.3">
      <c r="A49" s="123"/>
      <c r="B49" s="121" t="s">
        <v>31</v>
      </c>
      <c r="C49" s="3">
        <v>1</v>
      </c>
      <c r="D49" s="3">
        <v>2</v>
      </c>
      <c r="E49" s="3">
        <v>3</v>
      </c>
      <c r="F49" s="3">
        <v>4</v>
      </c>
      <c r="G49" s="4">
        <v>5</v>
      </c>
      <c r="H49" s="3">
        <v>6</v>
      </c>
      <c r="I49" s="3">
        <v>7</v>
      </c>
      <c r="J49" s="3">
        <v>8</v>
      </c>
      <c r="K49" s="5">
        <v>9</v>
      </c>
      <c r="L49" s="1" t="s">
        <v>1</v>
      </c>
      <c r="M49" s="183" t="s">
        <v>260</v>
      </c>
      <c r="N49" s="501" t="s">
        <v>85</v>
      </c>
      <c r="O49" s="293" t="s">
        <v>24</v>
      </c>
      <c r="Y49" s="123"/>
    </row>
    <row r="50" spans="1:25" x14ac:dyDescent="0.2">
      <c r="A50" s="123"/>
      <c r="B50" s="6">
        <v>1</v>
      </c>
      <c r="C50" s="68">
        <v>39.69003</v>
      </c>
      <c r="D50" s="9">
        <v>39.890059999999998</v>
      </c>
      <c r="E50" s="9">
        <v>39.800939999999997</v>
      </c>
      <c r="F50" s="9">
        <v>40.029969999999999</v>
      </c>
      <c r="G50" s="67">
        <v>39.7866</v>
      </c>
      <c r="H50" s="9">
        <v>39.702770000000001</v>
      </c>
      <c r="I50" s="9">
        <v>39.728859999999997</v>
      </c>
      <c r="J50" s="9">
        <v>39.519660000000002</v>
      </c>
      <c r="K50" s="9">
        <v>39.863959999999999</v>
      </c>
      <c r="L50" s="9">
        <f>AVERAGE(C50:K50)</f>
        <v>39.779205555555556</v>
      </c>
      <c r="M50" s="73">
        <f>_xlfn.STDEV.P(C50:K50)</f>
        <v>0.13604539210711991</v>
      </c>
      <c r="N50" s="502"/>
      <c r="O50" s="292" t="s">
        <v>4</v>
      </c>
      <c r="S50" s="2" t="s">
        <v>7</v>
      </c>
      <c r="T50" s="2" t="s">
        <v>8</v>
      </c>
      <c r="U50" s="2" t="s">
        <v>9</v>
      </c>
      <c r="V50" s="2" t="s">
        <v>10</v>
      </c>
      <c r="W50" s="41" t="s">
        <v>11</v>
      </c>
      <c r="X50" s="46" t="s">
        <v>12</v>
      </c>
      <c r="Y50" s="123"/>
    </row>
    <row r="51" spans="1:25" ht="15" thickBot="1" x14ac:dyDescent="0.25">
      <c r="A51" s="123"/>
      <c r="B51" s="7">
        <v>2</v>
      </c>
      <c r="C51" s="68">
        <v>39.681750000000001</v>
      </c>
      <c r="D51" s="9">
        <v>39.884929999999997</v>
      </c>
      <c r="E51" s="9">
        <v>39.797649999999997</v>
      </c>
      <c r="F51" s="9">
        <v>40.025069999999999</v>
      </c>
      <c r="G51" s="67">
        <v>39.777160000000002</v>
      </c>
      <c r="H51" s="9">
        <v>39.693420000000003</v>
      </c>
      <c r="I51" s="9">
        <v>39.72146</v>
      </c>
      <c r="J51" s="9">
        <v>39.514279999999999</v>
      </c>
      <c r="K51" s="9">
        <v>39.856560000000002</v>
      </c>
      <c r="L51" s="9">
        <f t="shared" ref="L51:L79" si="12">AVERAGE(C51:K51)</f>
        <v>39.772475555555552</v>
      </c>
      <c r="M51" s="21">
        <f t="shared" ref="M51:M79" si="13">_xlfn.STDEV.P(C51:K51)</f>
        <v>0.13659521913799874</v>
      </c>
      <c r="N51" s="502"/>
      <c r="O51" s="17">
        <f>AVERAGE(C81:K81)</f>
        <v>6.2514709150153147E-3</v>
      </c>
      <c r="S51" s="2" t="str">
        <f>indeter_MI!B16</f>
        <v>Поверка</v>
      </c>
      <c r="T51" s="2">
        <f>indeter_MI!C16</f>
        <v>0.1</v>
      </c>
      <c r="U51" s="2" t="str">
        <f>indeter_MI!D16</f>
        <v>Нормальное</v>
      </c>
      <c r="V51" s="2">
        <f>indeter_MI!E16</f>
        <v>2</v>
      </c>
      <c r="W51" s="59">
        <f>T51/V51</f>
        <v>0.05</v>
      </c>
      <c r="X51" s="52">
        <f t="shared" ref="X51:X56" si="14">W51*W51</f>
        <v>2.5000000000000005E-3</v>
      </c>
      <c r="Y51" s="123"/>
    </row>
    <row r="52" spans="1:25" x14ac:dyDescent="0.2">
      <c r="A52" s="123"/>
      <c r="B52" s="6">
        <v>3</v>
      </c>
      <c r="C52" s="68">
        <v>39.674460000000003</v>
      </c>
      <c r="D52" s="9">
        <v>39.876220000000004</v>
      </c>
      <c r="E52" s="9">
        <v>39.790990000000001</v>
      </c>
      <c r="F52" s="9">
        <v>40.015439999999998</v>
      </c>
      <c r="G52" s="67">
        <v>39.765549999999998</v>
      </c>
      <c r="H52" s="9">
        <v>39.684570000000001</v>
      </c>
      <c r="I52" s="9">
        <v>39.711449999999999</v>
      </c>
      <c r="J52" s="9">
        <v>39.508580000000002</v>
      </c>
      <c r="K52" s="9">
        <v>39.849730000000001</v>
      </c>
      <c r="L52" s="9">
        <f t="shared" si="12"/>
        <v>39.764109999999995</v>
      </c>
      <c r="M52" s="21">
        <f t="shared" si="13"/>
        <v>0.13590160002328416</v>
      </c>
      <c r="N52" s="502"/>
      <c r="O52" s="292" t="s">
        <v>5</v>
      </c>
      <c r="S52" s="2" t="str">
        <f>indeter_MI!B17</f>
        <v>Повторяемость*</v>
      </c>
      <c r="T52" s="2">
        <f>indeter_MI!C17</f>
        <v>0.01</v>
      </c>
      <c r="U52" s="2" t="str">
        <f>indeter_MI!D17</f>
        <v>Нормальное</v>
      </c>
      <c r="V52" s="2">
        <f>indeter_MI!E17</f>
        <v>1</v>
      </c>
      <c r="W52" s="59">
        <f t="shared" ref="W52:W60" si="15">T52/V52</f>
        <v>0.01</v>
      </c>
      <c r="X52" s="52">
        <f t="shared" si="14"/>
        <v>1E-4</v>
      </c>
      <c r="Y52" s="123"/>
    </row>
    <row r="53" spans="1:25" ht="15" thickBot="1" x14ac:dyDescent="0.25">
      <c r="A53" s="123"/>
      <c r="B53" s="7">
        <v>4</v>
      </c>
      <c r="C53" s="68">
        <v>39.672179999999997</v>
      </c>
      <c r="D53" s="9">
        <v>39.870190000000001</v>
      </c>
      <c r="E53" s="9">
        <v>39.786540000000002</v>
      </c>
      <c r="F53" s="9">
        <v>40.011139999999997</v>
      </c>
      <c r="G53" s="67">
        <v>39.761249999999997</v>
      </c>
      <c r="H53" s="9">
        <v>39.679839999999999</v>
      </c>
      <c r="I53" s="9">
        <v>39.706609999999998</v>
      </c>
      <c r="J53" s="9">
        <v>39.504309999999997</v>
      </c>
      <c r="K53" s="9">
        <v>39.84554</v>
      </c>
      <c r="L53" s="9">
        <f t="shared" si="12"/>
        <v>39.75973333333333</v>
      </c>
      <c r="M53" s="21">
        <f t="shared" si="13"/>
        <v>0.1356471597769586</v>
      </c>
      <c r="N53" s="502"/>
      <c r="O53" s="17">
        <f>O51/(SQRT(270))</f>
        <v>3.8045240419348324E-4</v>
      </c>
      <c r="S53" s="2" t="str">
        <f>indeter_MI!B18</f>
        <v>Гистерезис</v>
      </c>
      <c r="T53" s="2">
        <f>indeter_MI!C18</f>
        <v>0.01</v>
      </c>
      <c r="U53" s="2" t="str">
        <f>indeter_MI!D18</f>
        <v>Прямоугольное</v>
      </c>
      <c r="V53" s="2">
        <f>indeter_MI!E18</f>
        <v>1.73</v>
      </c>
      <c r="W53" s="59">
        <f t="shared" si="15"/>
        <v>5.7803468208092491E-3</v>
      </c>
      <c r="X53" s="52">
        <f t="shared" si="14"/>
        <v>3.3412409368839592E-5</v>
      </c>
      <c r="Y53" s="123"/>
    </row>
    <row r="54" spans="1:25" x14ac:dyDescent="0.2">
      <c r="A54" s="123"/>
      <c r="B54" s="6">
        <v>5</v>
      </c>
      <c r="C54" s="68">
        <v>39.670569999999998</v>
      </c>
      <c r="D54" s="9">
        <v>39.868899999999996</v>
      </c>
      <c r="E54" s="9">
        <v>39.783459999999998</v>
      </c>
      <c r="F54" s="9">
        <v>40.008620000000001</v>
      </c>
      <c r="G54" s="67">
        <v>39.760420000000003</v>
      </c>
      <c r="H54" s="9">
        <v>39.680489999999999</v>
      </c>
      <c r="I54" s="9">
        <v>39.70449</v>
      </c>
      <c r="J54" s="9">
        <v>39.502130000000001</v>
      </c>
      <c r="K54" s="9">
        <v>39.844569999999997</v>
      </c>
      <c r="L54" s="9">
        <f t="shared" si="12"/>
        <v>39.758183333333335</v>
      </c>
      <c r="M54" s="21">
        <f t="shared" si="13"/>
        <v>0.13549985928651936</v>
      </c>
      <c r="N54" s="502"/>
      <c r="S54" s="2" t="str">
        <f>indeter_MI!B19</f>
        <v>Влияние температуры</v>
      </c>
      <c r="T54" s="2">
        <f>indeter_MI!C19</f>
        <v>0.01</v>
      </c>
      <c r="U54" s="2" t="str">
        <f>indeter_MI!D19</f>
        <v>Прямоугольное</v>
      </c>
      <c r="V54" s="2">
        <f>indeter_MI!E19</f>
        <v>1.73</v>
      </c>
      <c r="W54" s="59">
        <f t="shared" si="15"/>
        <v>5.7803468208092491E-3</v>
      </c>
      <c r="X54" s="52">
        <f t="shared" si="14"/>
        <v>3.3412409368839592E-5</v>
      </c>
      <c r="Y54" s="123"/>
    </row>
    <row r="55" spans="1:25" ht="15" thickBot="1" x14ac:dyDescent="0.25">
      <c r="A55" s="123"/>
      <c r="B55" s="7">
        <v>6</v>
      </c>
      <c r="C55" s="68">
        <v>39.669589999999999</v>
      </c>
      <c r="D55" s="9">
        <v>39.870109999999997</v>
      </c>
      <c r="E55" s="9">
        <v>39.783029999999997</v>
      </c>
      <c r="F55" s="9">
        <v>40.005470000000003</v>
      </c>
      <c r="G55" s="67">
        <v>39.760249999999999</v>
      </c>
      <c r="H55" s="9">
        <v>39.679079999999999</v>
      </c>
      <c r="I55" s="9">
        <v>39.703200000000002</v>
      </c>
      <c r="J55" s="9">
        <v>39.500999999999998</v>
      </c>
      <c r="K55" s="9">
        <v>39.843069999999997</v>
      </c>
      <c r="L55" s="9">
        <f t="shared" si="12"/>
        <v>39.75719999999999</v>
      </c>
      <c r="M55" s="21">
        <f t="shared" si="13"/>
        <v>0.13530603000441507</v>
      </c>
      <c r="N55" s="502"/>
      <c r="S55" s="2" t="str">
        <f>indeter_MI!B20</f>
        <v>Дрейф*</v>
      </c>
      <c r="T55" s="2">
        <f>indeter_MI!C20</f>
        <v>0.1</v>
      </c>
      <c r="U55" s="2" t="str">
        <f>indeter_MI!D20</f>
        <v>Прямоугольное</v>
      </c>
      <c r="V55" s="2">
        <f>indeter_MI!E20</f>
        <v>1.73</v>
      </c>
      <c r="W55" s="59">
        <f t="shared" si="15"/>
        <v>5.7803468208092491E-2</v>
      </c>
      <c r="X55" s="52">
        <f t="shared" si="14"/>
        <v>3.3412409368839594E-3</v>
      </c>
      <c r="Y55" s="123"/>
    </row>
    <row r="56" spans="1:25" x14ac:dyDescent="0.2">
      <c r="A56" s="123"/>
      <c r="B56" s="6">
        <v>7</v>
      </c>
      <c r="C56" s="68">
        <v>39.673169999999999</v>
      </c>
      <c r="D56" s="9">
        <v>39.873399999999997</v>
      </c>
      <c r="E56" s="9">
        <v>39.782539999999997</v>
      </c>
      <c r="F56" s="9">
        <v>40.00703</v>
      </c>
      <c r="G56" s="67">
        <v>39.76238</v>
      </c>
      <c r="H56" s="9">
        <v>39.683059999999998</v>
      </c>
      <c r="I56" s="9">
        <v>39.708100000000002</v>
      </c>
      <c r="J56" s="9">
        <v>39.504710000000003</v>
      </c>
      <c r="K56" s="9">
        <v>39.846530000000001</v>
      </c>
      <c r="L56" s="9">
        <f t="shared" si="12"/>
        <v>39.760102222222223</v>
      </c>
      <c r="M56" s="21">
        <f t="shared" si="13"/>
        <v>0.13466429468024632</v>
      </c>
      <c r="N56" s="502"/>
      <c r="O56" s="2" t="s">
        <v>0</v>
      </c>
      <c r="P56" s="2" t="s">
        <v>2</v>
      </c>
      <c r="Q56" s="2" t="s">
        <v>3</v>
      </c>
      <c r="S56" s="2" t="str">
        <f>indeter_MI!B21</f>
        <v>Линейность</v>
      </c>
      <c r="T56" s="2">
        <f>indeter_MI!C21</f>
        <v>0.02</v>
      </c>
      <c r="U56" s="2" t="str">
        <f>indeter_MI!D21</f>
        <v>Прямоугольное</v>
      </c>
      <c r="V56" s="2">
        <f>indeter_MI!E21</f>
        <v>1.73</v>
      </c>
      <c r="W56" s="59">
        <f t="shared" si="15"/>
        <v>1.1560693641618498E-2</v>
      </c>
      <c r="X56" s="52">
        <f t="shared" si="14"/>
        <v>1.3364963747535837E-4</v>
      </c>
      <c r="Y56" s="123"/>
    </row>
    <row r="57" spans="1:25" ht="15" thickBot="1" x14ac:dyDescent="0.25">
      <c r="A57" s="123"/>
      <c r="B57" s="7">
        <v>8</v>
      </c>
      <c r="C57" s="68">
        <v>39.676960000000001</v>
      </c>
      <c r="D57" s="9">
        <v>39.87426</v>
      </c>
      <c r="E57" s="9">
        <v>39.785069999999997</v>
      </c>
      <c r="F57" s="9">
        <v>40.015099999999997</v>
      </c>
      <c r="G57" s="67">
        <v>39.768030000000003</v>
      </c>
      <c r="H57" s="9">
        <v>39.687869999999997</v>
      </c>
      <c r="I57" s="9">
        <v>39.712510000000002</v>
      </c>
      <c r="J57" s="9">
        <v>39.506239999999998</v>
      </c>
      <c r="K57" s="9">
        <v>39.849550000000001</v>
      </c>
      <c r="L57" s="9">
        <f t="shared" si="12"/>
        <v>39.763954444444444</v>
      </c>
      <c r="M57" s="21">
        <f t="shared" si="13"/>
        <v>0.13558540704098307</v>
      </c>
      <c r="N57" s="502"/>
      <c r="O57" s="38">
        <f>MAX(M50:M79)</f>
        <v>0.13765721558447</v>
      </c>
      <c r="P57" s="51">
        <f>MAX(C81:K81)</f>
        <v>9.2428604338699646E-3</v>
      </c>
      <c r="Q57" s="50">
        <f>O53</f>
        <v>3.8045240419348324E-4</v>
      </c>
      <c r="S57" s="2" t="str">
        <f>indeter_MI!B22</f>
        <v>Разрешающая способность</v>
      </c>
      <c r="T57" s="2">
        <f>indeter_MI!C22</f>
        <v>0.01</v>
      </c>
      <c r="U57" s="2" t="str">
        <f>indeter_MI!D22</f>
        <v>Прямоугольное</v>
      </c>
      <c r="V57" s="2">
        <f>indeter_MI!E22</f>
        <v>1.73</v>
      </c>
      <c r="W57" s="59">
        <f t="shared" si="15"/>
        <v>5.7803468208092491E-3</v>
      </c>
      <c r="X57" s="52">
        <f>W57*W57</f>
        <v>3.3412409368839592E-5</v>
      </c>
      <c r="Y57" s="123"/>
    </row>
    <row r="58" spans="1:25" x14ac:dyDescent="0.2">
      <c r="A58" s="123"/>
      <c r="B58" s="6">
        <v>9</v>
      </c>
      <c r="C58" s="68">
        <v>39.677930000000003</v>
      </c>
      <c r="D58" s="9">
        <v>39.87574</v>
      </c>
      <c r="E58" s="9">
        <v>39.787039999999998</v>
      </c>
      <c r="F58" s="9">
        <v>40.018030000000003</v>
      </c>
      <c r="G58" s="67">
        <v>39.770040000000002</v>
      </c>
      <c r="H58" s="9">
        <v>39.689169999999997</v>
      </c>
      <c r="I58" s="9">
        <v>39.711649999999999</v>
      </c>
      <c r="J58" s="9">
        <v>39.508800000000001</v>
      </c>
      <c r="K58" s="9">
        <v>39.849629999999998</v>
      </c>
      <c r="L58" s="9">
        <f t="shared" si="12"/>
        <v>39.76533666666667</v>
      </c>
      <c r="M58" s="21">
        <f t="shared" si="13"/>
        <v>0.13571864065861514</v>
      </c>
      <c r="N58" s="502"/>
      <c r="S58" s="36" t="s">
        <v>0</v>
      </c>
      <c r="T58" s="37">
        <f>O57</f>
        <v>0.13765721558447</v>
      </c>
      <c r="U58" s="36" t="s">
        <v>13</v>
      </c>
      <c r="V58" s="21">
        <v>1</v>
      </c>
      <c r="W58" s="61">
        <f t="shared" si="15"/>
        <v>0.13765721558447</v>
      </c>
      <c r="X58" s="53">
        <f>W58*W58</f>
        <v>1.894950900246925E-2</v>
      </c>
      <c r="Y58" s="123"/>
    </row>
    <row r="59" spans="1:25" ht="15" thickBot="1" x14ac:dyDescent="0.25">
      <c r="A59" s="123"/>
      <c r="B59" s="7">
        <v>10</v>
      </c>
      <c r="C59" s="68">
        <v>39.677720000000001</v>
      </c>
      <c r="D59" s="9">
        <v>39.877400000000002</v>
      </c>
      <c r="E59" s="9">
        <v>39.79</v>
      </c>
      <c r="F59" s="9">
        <v>40.020339999999997</v>
      </c>
      <c r="G59" s="67">
        <v>39.769390000000001</v>
      </c>
      <c r="H59" s="9">
        <v>39.69126</v>
      </c>
      <c r="I59" s="9">
        <v>39.715809999999998</v>
      </c>
      <c r="J59" s="9">
        <v>39.509979999999999</v>
      </c>
      <c r="K59" s="9">
        <v>39.852119999999999</v>
      </c>
      <c r="L59" s="9">
        <f t="shared" si="12"/>
        <v>39.767113333333334</v>
      </c>
      <c r="M59" s="21">
        <f t="shared" si="13"/>
        <v>0.13602960829662522</v>
      </c>
      <c r="N59" s="502"/>
      <c r="S59" s="26" t="s">
        <v>21</v>
      </c>
      <c r="T59" s="39">
        <f>P57</f>
        <v>9.2428604338699646E-3</v>
      </c>
      <c r="U59" s="26" t="s">
        <v>13</v>
      </c>
      <c r="V59" s="22">
        <v>1</v>
      </c>
      <c r="W59" s="60">
        <f t="shared" si="15"/>
        <v>9.2428604338699646E-3</v>
      </c>
      <c r="X59" s="54">
        <f>W59*W59</f>
        <v>8.5430468999998872E-5</v>
      </c>
      <c r="Y59" s="123"/>
    </row>
    <row r="60" spans="1:25" x14ac:dyDescent="0.2">
      <c r="A60" s="123"/>
      <c r="B60" s="6">
        <v>11</v>
      </c>
      <c r="C60" s="68">
        <v>39.672899999999998</v>
      </c>
      <c r="D60" s="9">
        <v>39.873179999999998</v>
      </c>
      <c r="E60" s="9">
        <v>39.788400000000003</v>
      </c>
      <c r="F60" s="9">
        <v>40.019829999999999</v>
      </c>
      <c r="G60" s="67">
        <v>39.764180000000003</v>
      </c>
      <c r="H60" s="9">
        <v>39.687390000000001</v>
      </c>
      <c r="I60" s="9">
        <v>39.713039999999999</v>
      </c>
      <c r="J60" s="9">
        <v>39.506</v>
      </c>
      <c r="K60" s="9">
        <v>39.847990000000003</v>
      </c>
      <c r="L60" s="9">
        <f t="shared" si="12"/>
        <v>39.763656666666662</v>
      </c>
      <c r="M60" s="21">
        <f t="shared" si="13"/>
        <v>0.1367670918020851</v>
      </c>
      <c r="N60" s="502"/>
      <c r="S60" s="25" t="s">
        <v>3</v>
      </c>
      <c r="T60" s="40">
        <f>Q57</f>
        <v>3.8045240419348324E-4</v>
      </c>
      <c r="U60" s="25" t="s">
        <v>13</v>
      </c>
      <c r="V60" s="17">
        <v>1</v>
      </c>
      <c r="W60" s="62">
        <f t="shared" si="15"/>
        <v>3.8045240419348324E-4</v>
      </c>
      <c r="X60" s="55">
        <f>W60*W60</f>
        <v>1.4474403185660156E-7</v>
      </c>
      <c r="Y60" s="123"/>
    </row>
    <row r="61" spans="1:25" ht="15" thickBot="1" x14ac:dyDescent="0.25">
      <c r="A61" s="123"/>
      <c r="B61" s="7">
        <v>12</v>
      </c>
      <c r="C61" s="68">
        <v>39.667740000000002</v>
      </c>
      <c r="D61" s="9">
        <v>39.870519999999999</v>
      </c>
      <c r="E61" s="9">
        <v>39.78434</v>
      </c>
      <c r="F61" s="9">
        <v>40.013300000000001</v>
      </c>
      <c r="G61" s="67">
        <v>39.752510000000001</v>
      </c>
      <c r="H61" s="9">
        <v>39.681019999999997</v>
      </c>
      <c r="I61" s="9">
        <v>39.703629999999997</v>
      </c>
      <c r="J61" s="9">
        <v>39.50047</v>
      </c>
      <c r="K61" s="9">
        <v>39.844889999999999</v>
      </c>
      <c r="L61" s="9">
        <f t="shared" si="12"/>
        <v>39.757602222222225</v>
      </c>
      <c r="M61" s="21">
        <f t="shared" si="13"/>
        <v>0.13721913130122129</v>
      </c>
      <c r="N61" s="502"/>
      <c r="W61" s="56"/>
      <c r="X61" s="56"/>
      <c r="Y61" s="123"/>
    </row>
    <row r="62" spans="1:25" x14ac:dyDescent="0.2">
      <c r="A62" s="123"/>
      <c r="B62" s="6">
        <v>13</v>
      </c>
      <c r="C62" s="68">
        <v>39.674410000000002</v>
      </c>
      <c r="D62" s="9">
        <v>39.87697</v>
      </c>
      <c r="E62" s="9">
        <v>39.78031</v>
      </c>
      <c r="F62" s="9">
        <v>40.012999999999998</v>
      </c>
      <c r="G62" s="67">
        <v>39.751730000000002</v>
      </c>
      <c r="H62" s="9">
        <v>39.683219999999999</v>
      </c>
      <c r="I62" s="9">
        <v>39.707880000000003</v>
      </c>
      <c r="J62" s="9">
        <v>39.503399999999999</v>
      </c>
      <c r="K62" s="9">
        <v>39.850299999999997</v>
      </c>
      <c r="L62" s="9">
        <f t="shared" si="12"/>
        <v>39.760135555555557</v>
      </c>
      <c r="M62" s="21">
        <f t="shared" si="13"/>
        <v>0.13666937616103597</v>
      </c>
      <c r="N62" s="502"/>
      <c r="S62" s="35" t="s">
        <v>22</v>
      </c>
      <c r="U62" s="41" t="s">
        <v>82</v>
      </c>
      <c r="V62" s="41"/>
      <c r="W62" s="57" t="s">
        <v>83</v>
      </c>
      <c r="X62" s="57"/>
      <c r="Y62" s="123"/>
    </row>
    <row r="63" spans="1:25" ht="15" thickBot="1" x14ac:dyDescent="0.25">
      <c r="A63" s="123"/>
      <c r="B63" s="7">
        <v>14</v>
      </c>
      <c r="C63" s="68">
        <v>39.679380000000002</v>
      </c>
      <c r="D63" s="9">
        <v>39.882129999999997</v>
      </c>
      <c r="E63" s="9">
        <v>39.786169999999998</v>
      </c>
      <c r="F63" s="9">
        <v>40.019390000000001</v>
      </c>
      <c r="G63" s="67">
        <v>39.765659999999997</v>
      </c>
      <c r="H63" s="9">
        <v>39.692070000000001</v>
      </c>
      <c r="I63" s="9">
        <v>39.714840000000002</v>
      </c>
      <c r="J63" s="9">
        <v>39.509169999999997</v>
      </c>
      <c r="K63" s="9">
        <v>39.852939999999997</v>
      </c>
      <c r="L63" s="9">
        <f t="shared" si="12"/>
        <v>39.766861111111112</v>
      </c>
      <c r="M63" s="21">
        <f t="shared" si="13"/>
        <v>0.13629998259105158</v>
      </c>
      <c r="N63" s="502"/>
      <c r="S63" s="42">
        <f>SUM(X51:X60)</f>
        <v>2.5210212017966943E-2</v>
      </c>
      <c r="V63" s="72">
        <f>SQRT(S63)</f>
        <v>0.1587772402391695</v>
      </c>
      <c r="W63" s="65"/>
      <c r="X63" s="72">
        <f>V63*2</f>
        <v>0.31755448047833901</v>
      </c>
      <c r="Y63" s="123"/>
    </row>
    <row r="64" spans="1:25" x14ac:dyDescent="0.2">
      <c r="A64" s="123"/>
      <c r="B64" s="6">
        <v>15</v>
      </c>
      <c r="C64" s="68">
        <v>39.685670000000002</v>
      </c>
      <c r="D64" s="9">
        <v>39.887729999999998</v>
      </c>
      <c r="E64" s="9">
        <v>39.790019999999998</v>
      </c>
      <c r="F64" s="9">
        <v>40.023159999999997</v>
      </c>
      <c r="G64" s="67">
        <v>39.777250000000002</v>
      </c>
      <c r="H64" s="9">
        <v>39.698569999999997</v>
      </c>
      <c r="I64" s="9">
        <v>39.720739999999999</v>
      </c>
      <c r="J64" s="9">
        <v>39.514740000000003</v>
      </c>
      <c r="K64" s="9">
        <v>39.85839</v>
      </c>
      <c r="L64" s="9">
        <f t="shared" si="12"/>
        <v>39.772918888888881</v>
      </c>
      <c r="M64" s="21">
        <f t="shared" si="13"/>
        <v>0.13578488841173481</v>
      </c>
      <c r="N64" s="502"/>
      <c r="S64" s="42">
        <f>ROUND(S63,8)</f>
        <v>2.521021E-2</v>
      </c>
      <c r="V64" s="72">
        <f>ROUND(V63,3)</f>
        <v>0.159</v>
      </c>
      <c r="W64" s="65"/>
      <c r="X64" s="72">
        <f>ROUND(X63,3)</f>
        <v>0.318</v>
      </c>
      <c r="Y64" s="123"/>
    </row>
    <row r="65" spans="1:25" ht="15" thickBot="1" x14ac:dyDescent="0.25">
      <c r="A65" s="123"/>
      <c r="B65" s="7">
        <v>16</v>
      </c>
      <c r="C65" s="68">
        <v>39.681669999999997</v>
      </c>
      <c r="D65" s="9">
        <v>39.880740000000003</v>
      </c>
      <c r="E65" s="9">
        <v>39.79419</v>
      </c>
      <c r="F65" s="9">
        <v>40.025069999999999</v>
      </c>
      <c r="G65" s="67">
        <v>39.771419999999999</v>
      </c>
      <c r="H65" s="9">
        <v>39.694389999999999</v>
      </c>
      <c r="I65" s="9">
        <v>39.715299999999999</v>
      </c>
      <c r="J65" s="9">
        <v>39.513689999999997</v>
      </c>
      <c r="K65" s="9">
        <v>39.852800000000002</v>
      </c>
      <c r="L65" s="9">
        <f t="shared" si="12"/>
        <v>39.769918888888888</v>
      </c>
      <c r="M65" s="21">
        <f t="shared" si="13"/>
        <v>0.13620775507734584</v>
      </c>
      <c r="N65" s="502"/>
      <c r="W65" s="56"/>
      <c r="X65" s="56"/>
      <c r="Y65" s="123"/>
    </row>
    <row r="66" spans="1:25" x14ac:dyDescent="0.2">
      <c r="A66" s="123"/>
      <c r="B66" s="6">
        <v>17</v>
      </c>
      <c r="C66" s="68">
        <v>39.673409999999997</v>
      </c>
      <c r="D66" s="9">
        <v>39.872459999999997</v>
      </c>
      <c r="E66" s="9">
        <v>39.790950000000002</v>
      </c>
      <c r="F66" s="9">
        <v>40.015439999999998</v>
      </c>
      <c r="G66" s="67">
        <v>39.759450000000001</v>
      </c>
      <c r="H66" s="9">
        <v>39.679920000000003</v>
      </c>
      <c r="I66" s="9">
        <v>39.70608</v>
      </c>
      <c r="J66" s="9">
        <v>39.50656</v>
      </c>
      <c r="K66" s="9">
        <v>39.844329999999999</v>
      </c>
      <c r="L66" s="9">
        <f t="shared" si="12"/>
        <v>39.760955555555562</v>
      </c>
      <c r="M66" s="21">
        <f t="shared" si="13"/>
        <v>0.1362221289831104</v>
      </c>
      <c r="N66" s="502"/>
      <c r="O66" s="292" t="s">
        <v>36</v>
      </c>
      <c r="W66" s="56"/>
      <c r="X66" s="56"/>
      <c r="Y66" s="123"/>
    </row>
    <row r="67" spans="1:25" ht="15" thickBot="1" x14ac:dyDescent="0.25">
      <c r="A67" s="123"/>
      <c r="B67" s="7">
        <v>18</v>
      </c>
      <c r="C67" s="68">
        <v>39.670250000000003</v>
      </c>
      <c r="D67" s="9">
        <v>39.873289999999997</v>
      </c>
      <c r="E67" s="9">
        <v>39.785769999999999</v>
      </c>
      <c r="F67" s="9">
        <v>40.01155</v>
      </c>
      <c r="G67" s="67">
        <v>39.754710000000003</v>
      </c>
      <c r="H67" s="9">
        <v>39.675379999999997</v>
      </c>
      <c r="I67" s="9">
        <v>39.701970000000003</v>
      </c>
      <c r="J67" s="9">
        <v>39.504600000000003</v>
      </c>
      <c r="K67" s="9">
        <v>39.842559999999999</v>
      </c>
      <c r="L67" s="9">
        <f t="shared" si="12"/>
        <v>39.757786666666661</v>
      </c>
      <c r="M67" s="21">
        <f t="shared" si="13"/>
        <v>0.13637709786552094</v>
      </c>
      <c r="N67" s="502"/>
      <c r="W67" s="56"/>
      <c r="X67" s="56"/>
      <c r="Y67" s="123"/>
    </row>
    <row r="68" spans="1:25" x14ac:dyDescent="0.2">
      <c r="A68" s="123"/>
      <c r="B68" s="6">
        <v>19</v>
      </c>
      <c r="C68" s="68">
        <v>39.667119999999997</v>
      </c>
      <c r="D68" s="9">
        <v>39.872369999999997</v>
      </c>
      <c r="E68" s="9">
        <v>39.78389</v>
      </c>
      <c r="F68" s="9">
        <v>40.010440000000003</v>
      </c>
      <c r="G68" s="67">
        <v>39.748690000000003</v>
      </c>
      <c r="H68" s="9">
        <v>39.672580000000004</v>
      </c>
      <c r="I68" s="9">
        <v>39.697719999999997</v>
      </c>
      <c r="J68" s="9">
        <v>39.501080000000002</v>
      </c>
      <c r="K68" s="9">
        <v>39.840000000000003</v>
      </c>
      <c r="L68" s="9">
        <f t="shared" si="12"/>
        <v>39.754876666666668</v>
      </c>
      <c r="M68" s="21">
        <f t="shared" si="13"/>
        <v>0.1371928640029553</v>
      </c>
      <c r="N68" s="502"/>
      <c r="O68" s="63" t="s">
        <v>23</v>
      </c>
      <c r="S68" s="2" t="s">
        <v>7</v>
      </c>
      <c r="T68" s="2" t="s">
        <v>8</v>
      </c>
      <c r="U68" s="2" t="s">
        <v>9</v>
      </c>
      <c r="V68" s="2" t="s">
        <v>10</v>
      </c>
      <c r="W68" s="57" t="s">
        <v>11</v>
      </c>
      <c r="X68" s="58" t="s">
        <v>12</v>
      </c>
      <c r="Y68" s="123"/>
    </row>
    <row r="69" spans="1:25" ht="15" thickBot="1" x14ac:dyDescent="0.25">
      <c r="A69" s="123"/>
      <c r="B69" s="7">
        <v>20</v>
      </c>
      <c r="C69" s="68">
        <v>39.66769</v>
      </c>
      <c r="D69" s="9">
        <v>39.874899999999997</v>
      </c>
      <c r="E69" s="9">
        <v>39.782359999999997</v>
      </c>
      <c r="F69" s="9">
        <v>40.009099999999997</v>
      </c>
      <c r="G69" s="67">
        <v>39.748049999999999</v>
      </c>
      <c r="H69" s="9">
        <v>39.673189999999998</v>
      </c>
      <c r="I69" s="9">
        <v>39.700319999999998</v>
      </c>
      <c r="J69" s="9">
        <v>39.499250000000004</v>
      </c>
      <c r="K69" s="9">
        <v>39.841769999999997</v>
      </c>
      <c r="L69" s="9">
        <f t="shared" si="12"/>
        <v>39.755181111111114</v>
      </c>
      <c r="M69" s="21">
        <f t="shared" si="13"/>
        <v>0.13742970198488319</v>
      </c>
      <c r="N69" s="502"/>
      <c r="O69" s="64">
        <f>MAX(C81:K81)</f>
        <v>9.2428604338699646E-3</v>
      </c>
      <c r="S69" s="2" t="str">
        <f>indeter_MI!B5</f>
        <v>Поверка</v>
      </c>
      <c r="T69" s="2">
        <f>indeter_MI!C5</f>
        <v>0.1</v>
      </c>
      <c r="U69" s="2" t="str">
        <f>indeter_MI!D5</f>
        <v>Нормальное</v>
      </c>
      <c r="V69" s="2">
        <f>indeter_MI!E5</f>
        <v>2</v>
      </c>
      <c r="W69" s="59">
        <f>T69/V69</f>
        <v>0.05</v>
      </c>
      <c r="X69" s="59">
        <f t="shared" ref="X69:X76" si="16">W69*W69</f>
        <v>2.5000000000000005E-3</v>
      </c>
      <c r="Y69" s="123"/>
    </row>
    <row r="70" spans="1:25" x14ac:dyDescent="0.2">
      <c r="A70" s="123"/>
      <c r="B70" s="6">
        <v>21</v>
      </c>
      <c r="C70" s="68">
        <v>39.669029999999999</v>
      </c>
      <c r="D70" s="9">
        <v>39.877400000000002</v>
      </c>
      <c r="E70" s="9">
        <v>39.785339999999998</v>
      </c>
      <c r="F70" s="9">
        <v>40.014420000000001</v>
      </c>
      <c r="G70" s="67">
        <v>39.751710000000003</v>
      </c>
      <c r="H70" s="9">
        <v>39.678870000000003</v>
      </c>
      <c r="I70" s="9">
        <v>39.704700000000003</v>
      </c>
      <c r="J70" s="9">
        <v>39.502099999999999</v>
      </c>
      <c r="K70" s="9">
        <v>39.843150000000001</v>
      </c>
      <c r="L70" s="9">
        <f t="shared" si="12"/>
        <v>39.75852444444444</v>
      </c>
      <c r="M70" s="21">
        <f t="shared" si="13"/>
        <v>0.13765721558447</v>
      </c>
      <c r="N70" s="502"/>
      <c r="S70" s="2" t="str">
        <f>indeter_MI!B6</f>
        <v>Повторяемость*</v>
      </c>
      <c r="T70" s="2">
        <f>indeter_MI!C6</f>
        <v>0.01</v>
      </c>
      <c r="U70" s="2" t="str">
        <f>indeter_MI!D6</f>
        <v>Нормальное</v>
      </c>
      <c r="V70" s="2">
        <f>indeter_MI!E6</f>
        <v>1</v>
      </c>
      <c r="W70" s="59">
        <f t="shared" ref="W70:W75" si="17">T70/V70</f>
        <v>0.01</v>
      </c>
      <c r="X70" s="59">
        <f t="shared" si="16"/>
        <v>1E-4</v>
      </c>
      <c r="Y70" s="123"/>
    </row>
    <row r="71" spans="1:25" ht="15" thickBot="1" x14ac:dyDescent="0.25">
      <c r="A71" s="123"/>
      <c r="B71" s="7">
        <v>22</v>
      </c>
      <c r="C71" s="68">
        <v>39.673070000000003</v>
      </c>
      <c r="D71" s="9">
        <v>39.87697</v>
      </c>
      <c r="E71" s="9">
        <v>39.786009999999997</v>
      </c>
      <c r="F71" s="9">
        <v>40.016959999999997</v>
      </c>
      <c r="G71" s="67">
        <v>39.753419999999998</v>
      </c>
      <c r="H71" s="9">
        <v>39.681080000000001</v>
      </c>
      <c r="I71" s="9">
        <v>39.706699999999998</v>
      </c>
      <c r="J71" s="9">
        <v>39.503979999999999</v>
      </c>
      <c r="K71" s="9">
        <v>39.843600000000002</v>
      </c>
      <c r="L71" s="9">
        <f t="shared" si="12"/>
        <v>39.760198888888887</v>
      </c>
      <c r="M71" s="21">
        <f t="shared" si="13"/>
        <v>0.13727149282793491</v>
      </c>
      <c r="N71" s="502"/>
      <c r="S71" s="2" t="str">
        <f>indeter_MI!B7</f>
        <v>Гистерезис</v>
      </c>
      <c r="T71" s="2">
        <f>indeter_MI!C7</f>
        <v>0.01</v>
      </c>
      <c r="U71" s="2" t="str">
        <f>indeter_MI!D7</f>
        <v>Прямоугольное</v>
      </c>
      <c r="V71" s="2">
        <f>indeter_MI!E7</f>
        <v>1.73</v>
      </c>
      <c r="W71" s="59">
        <f t="shared" si="17"/>
        <v>5.7803468208092491E-3</v>
      </c>
      <c r="X71" s="59">
        <f t="shared" si="16"/>
        <v>3.3412409368839592E-5</v>
      </c>
      <c r="Y71" s="123"/>
    </row>
    <row r="72" spans="1:25" x14ac:dyDescent="0.2">
      <c r="A72" s="123"/>
      <c r="B72" s="6">
        <v>23</v>
      </c>
      <c r="C72" s="68">
        <v>39.671390000000002</v>
      </c>
      <c r="D72" s="9">
        <v>39.872329999999998</v>
      </c>
      <c r="E72" s="9">
        <v>39.788319999999999</v>
      </c>
      <c r="F72" s="9">
        <v>40.016930000000002</v>
      </c>
      <c r="G72" s="67">
        <v>39.753369999999997</v>
      </c>
      <c r="H72" s="9">
        <v>39.680320000000002</v>
      </c>
      <c r="I72" s="9">
        <v>39.705919999999999</v>
      </c>
      <c r="J72" s="9">
        <v>39.504440000000002</v>
      </c>
      <c r="K72" s="9">
        <v>39.842750000000002</v>
      </c>
      <c r="L72" s="9">
        <f t="shared" si="12"/>
        <v>39.759530000000005</v>
      </c>
      <c r="M72" s="21">
        <f t="shared" si="13"/>
        <v>0.13693421048079951</v>
      </c>
      <c r="N72" s="502"/>
      <c r="S72" s="2" t="str">
        <f>indeter_MI!B8</f>
        <v>Влияние температуры</v>
      </c>
      <c r="T72" s="2">
        <f>indeter_MI!C8</f>
        <v>0.01</v>
      </c>
      <c r="U72" s="2" t="str">
        <f>indeter_MI!D8</f>
        <v>Прямоугольное</v>
      </c>
      <c r="V72" s="2">
        <f>indeter_MI!E8</f>
        <v>1.73</v>
      </c>
      <c r="W72" s="59">
        <f t="shared" si="17"/>
        <v>5.7803468208092491E-3</v>
      </c>
      <c r="X72" s="59">
        <f t="shared" si="16"/>
        <v>3.3412409368839592E-5</v>
      </c>
      <c r="Y72" s="123"/>
    </row>
    <row r="73" spans="1:25" ht="15" thickBot="1" x14ac:dyDescent="0.25">
      <c r="A73" s="123"/>
      <c r="B73" s="7">
        <v>24</v>
      </c>
      <c r="C73" s="68">
        <v>39.676960000000001</v>
      </c>
      <c r="D73" s="9">
        <v>39.880710000000001</v>
      </c>
      <c r="E73" s="9">
        <v>39.786630000000002</v>
      </c>
      <c r="F73" s="9">
        <v>40.013840000000002</v>
      </c>
      <c r="G73" s="67">
        <v>39.754100000000001</v>
      </c>
      <c r="H73" s="9">
        <v>39.67653</v>
      </c>
      <c r="I73" s="9">
        <v>39.706960000000002</v>
      </c>
      <c r="J73" s="9">
        <v>39.50667</v>
      </c>
      <c r="K73" s="9">
        <v>39.8461</v>
      </c>
      <c r="L73" s="9">
        <f t="shared" si="12"/>
        <v>39.760944444444441</v>
      </c>
      <c r="M73" s="21">
        <f t="shared" si="13"/>
        <v>0.13662886136546989</v>
      </c>
      <c r="N73" s="502"/>
      <c r="S73" s="2" t="str">
        <f>indeter_MI!B9</f>
        <v>Дрейф*</v>
      </c>
      <c r="T73" s="2">
        <f>indeter_MI!C9</f>
        <v>0.1</v>
      </c>
      <c r="U73" s="2" t="str">
        <f>indeter_MI!D9</f>
        <v>Прямоугольное</v>
      </c>
      <c r="V73" s="2">
        <f>indeter_MI!E9</f>
        <v>1.73</v>
      </c>
      <c r="W73" s="59">
        <f t="shared" si="17"/>
        <v>5.7803468208092491E-2</v>
      </c>
      <c r="X73" s="59">
        <f t="shared" si="16"/>
        <v>3.3412409368839594E-3</v>
      </c>
      <c r="Y73" s="123"/>
    </row>
    <row r="74" spans="1:25" x14ac:dyDescent="0.2">
      <c r="A74" s="123"/>
      <c r="B74" s="6">
        <v>25</v>
      </c>
      <c r="C74" s="68">
        <v>39.684930000000001</v>
      </c>
      <c r="D74" s="9">
        <v>39.885010000000001</v>
      </c>
      <c r="E74" s="9">
        <v>39.790599999999998</v>
      </c>
      <c r="F74" s="9">
        <v>40.020659999999999</v>
      </c>
      <c r="G74" s="67">
        <v>39.767859999999999</v>
      </c>
      <c r="H74" s="9">
        <v>39.687130000000003</v>
      </c>
      <c r="I74" s="9">
        <v>39.716189999999997</v>
      </c>
      <c r="J74" s="9">
        <v>39.513019999999997</v>
      </c>
      <c r="K74" s="9">
        <v>39.852849999999997</v>
      </c>
      <c r="L74" s="9">
        <f t="shared" si="12"/>
        <v>39.768694444444442</v>
      </c>
      <c r="M74" s="21">
        <f t="shared" si="13"/>
        <v>0.1359632449607133</v>
      </c>
      <c r="N74" s="502"/>
      <c r="S74" s="2" t="str">
        <f>indeter_MI!B10</f>
        <v>Линейность</v>
      </c>
      <c r="T74" s="2">
        <f>indeter_MI!C10</f>
        <v>0.02</v>
      </c>
      <c r="U74" s="2" t="str">
        <f>indeter_MI!D10</f>
        <v>Прямоугольное</v>
      </c>
      <c r="V74" s="2">
        <f>indeter_MI!E10</f>
        <v>1.73</v>
      </c>
      <c r="W74" s="59">
        <f t="shared" si="17"/>
        <v>1.1560693641618498E-2</v>
      </c>
      <c r="X74" s="59">
        <f t="shared" si="16"/>
        <v>1.3364963747535837E-4</v>
      </c>
      <c r="Y74" s="123"/>
    </row>
    <row r="75" spans="1:25" ht="15" thickBot="1" x14ac:dyDescent="0.25">
      <c r="A75" s="123"/>
      <c r="B75" s="7">
        <v>26</v>
      </c>
      <c r="C75" s="68">
        <v>39.686160000000001</v>
      </c>
      <c r="D75" s="9">
        <v>39.878369999999997</v>
      </c>
      <c r="E75" s="9">
        <v>39.797249999999998</v>
      </c>
      <c r="F75" s="9">
        <v>40.025419999999997</v>
      </c>
      <c r="G75" s="67">
        <v>39.774799999999999</v>
      </c>
      <c r="H75" s="9">
        <v>39.690460000000002</v>
      </c>
      <c r="I75" s="9">
        <v>39.718690000000002</v>
      </c>
      <c r="J75" s="9">
        <v>39.514679999999998</v>
      </c>
      <c r="K75" s="9">
        <v>39.8521</v>
      </c>
      <c r="L75" s="9">
        <f t="shared" si="12"/>
        <v>39.770881111111109</v>
      </c>
      <c r="M75" s="21">
        <f t="shared" si="13"/>
        <v>0.13567085754742642</v>
      </c>
      <c r="N75" s="502"/>
      <c r="S75" s="2" t="str">
        <f>indeter_MI!B11</f>
        <v>Разрешающая способность</v>
      </c>
      <c r="T75" s="2">
        <f>indeter_MI!C11</f>
        <v>0.01</v>
      </c>
      <c r="U75" s="2" t="str">
        <f>indeter_MI!D11</f>
        <v>Прямоугольное</v>
      </c>
      <c r="V75" s="2">
        <f>indeter_MI!E11</f>
        <v>1.73</v>
      </c>
      <c r="W75" s="59">
        <f t="shared" si="17"/>
        <v>5.7803468208092491E-3</v>
      </c>
      <c r="X75" s="59">
        <f t="shared" si="16"/>
        <v>3.3412409368839592E-5</v>
      </c>
      <c r="Y75" s="123"/>
    </row>
    <row r="76" spans="1:25" x14ac:dyDescent="0.2">
      <c r="A76" s="123"/>
      <c r="B76" s="6">
        <v>27</v>
      </c>
      <c r="C76" s="68">
        <v>39.682899999999997</v>
      </c>
      <c r="D76" s="9">
        <v>39.872590000000002</v>
      </c>
      <c r="E76" s="9">
        <v>39.797280000000001</v>
      </c>
      <c r="F76" s="9">
        <v>40.023069999999997</v>
      </c>
      <c r="G76" s="67">
        <v>39.769970000000001</v>
      </c>
      <c r="H76" s="9">
        <v>39.685459999999999</v>
      </c>
      <c r="I76" s="9">
        <v>39.716610000000003</v>
      </c>
      <c r="J76" s="9">
        <v>39.513420000000004</v>
      </c>
      <c r="K76" s="9">
        <v>39.850700000000003</v>
      </c>
      <c r="L76" s="9">
        <f t="shared" si="12"/>
        <v>39.768000000000001</v>
      </c>
      <c r="M76" s="21">
        <f t="shared" si="13"/>
        <v>0.13548555987016897</v>
      </c>
      <c r="N76" s="502"/>
      <c r="S76" s="48" t="s">
        <v>21</v>
      </c>
      <c r="T76" s="49">
        <f>O69</f>
        <v>9.2428604338699646E-3</v>
      </c>
      <c r="U76" s="49" t="s">
        <v>13</v>
      </c>
      <c r="V76" s="16">
        <v>1</v>
      </c>
      <c r="W76" s="60">
        <f>T76/V76</f>
        <v>9.2428604338699646E-3</v>
      </c>
      <c r="X76" s="60">
        <f t="shared" si="16"/>
        <v>8.5430468999998872E-5</v>
      </c>
      <c r="Y76" s="123"/>
    </row>
    <row r="77" spans="1:25" ht="15" thickBot="1" x14ac:dyDescent="0.25">
      <c r="A77" s="123"/>
      <c r="B77" s="7">
        <v>28</v>
      </c>
      <c r="C77" s="68">
        <v>39.677500000000002</v>
      </c>
      <c r="D77" s="9">
        <v>39.868070000000003</v>
      </c>
      <c r="E77" s="9">
        <v>39.797080000000001</v>
      </c>
      <c r="F77" s="9">
        <v>40.018590000000003</v>
      </c>
      <c r="G77" s="67">
        <v>39.763269999999999</v>
      </c>
      <c r="H77" s="9">
        <v>39.681150000000002</v>
      </c>
      <c r="I77" s="9">
        <v>39.711239999999997</v>
      </c>
      <c r="J77" s="9">
        <v>39.509059999999998</v>
      </c>
      <c r="K77" s="9">
        <v>39.846429999999998</v>
      </c>
      <c r="L77" s="68">
        <f t="shared" si="12"/>
        <v>39.763598888888886</v>
      </c>
      <c r="M77" s="21">
        <f t="shared" si="13"/>
        <v>0.13567080374072607</v>
      </c>
      <c r="N77" s="502"/>
      <c r="X77" s="56"/>
      <c r="Y77" s="123"/>
    </row>
    <row r="78" spans="1:25" ht="15" thickBot="1" x14ac:dyDescent="0.25">
      <c r="A78" s="123"/>
      <c r="B78" s="8">
        <v>29</v>
      </c>
      <c r="C78" s="68">
        <v>39.680079999999997</v>
      </c>
      <c r="D78" s="9">
        <v>39.873420000000003</v>
      </c>
      <c r="E78" s="9">
        <v>39.793869999999998</v>
      </c>
      <c r="F78" s="9">
        <v>40.016039999999997</v>
      </c>
      <c r="G78" s="67">
        <v>39.759990000000002</v>
      </c>
      <c r="H78" s="9">
        <v>39.685540000000003</v>
      </c>
      <c r="I78" s="9">
        <v>39.71275</v>
      </c>
      <c r="J78" s="9">
        <v>39.51108</v>
      </c>
      <c r="K78" s="9">
        <v>39.850700000000003</v>
      </c>
      <c r="L78" s="68">
        <f t="shared" si="12"/>
        <v>39.764830000000003</v>
      </c>
      <c r="M78" s="21">
        <f t="shared" si="13"/>
        <v>0.13487010697539881</v>
      </c>
      <c r="N78" s="502"/>
      <c r="S78" s="35" t="s">
        <v>22</v>
      </c>
      <c r="U78" s="41" t="s">
        <v>82</v>
      </c>
      <c r="V78" s="41"/>
      <c r="W78" s="41" t="s">
        <v>83</v>
      </c>
      <c r="X78" s="57"/>
      <c r="Y78" s="123"/>
    </row>
    <row r="79" spans="1:25" ht="15" thickBot="1" x14ac:dyDescent="0.25">
      <c r="A79" s="123"/>
      <c r="B79" s="8">
        <v>30</v>
      </c>
      <c r="C79" s="68">
        <v>39.675669999999997</v>
      </c>
      <c r="D79" s="9">
        <v>39.868630000000003</v>
      </c>
      <c r="E79" s="9">
        <v>39.795090000000002</v>
      </c>
      <c r="F79" s="9">
        <v>40.020099999999999</v>
      </c>
      <c r="G79" s="67">
        <v>39.757759999999998</v>
      </c>
      <c r="H79" s="9">
        <v>39.680669999999999</v>
      </c>
      <c r="I79" s="9">
        <v>39.707369999999997</v>
      </c>
      <c r="J79" s="9">
        <v>39.506990000000002</v>
      </c>
      <c r="K79" s="9">
        <v>39.846429999999998</v>
      </c>
      <c r="L79" s="68">
        <f t="shared" si="12"/>
        <v>39.76207888888888</v>
      </c>
      <c r="M79" s="21">
        <f t="shared" si="13"/>
        <v>0.13675153311709731</v>
      </c>
      <c r="N79" s="502"/>
      <c r="S79" s="42">
        <f>SUM(X69:X76)</f>
        <v>6.2605582714658353E-3</v>
      </c>
      <c r="V79" s="72">
        <f>SQRT(S79)</f>
        <v>7.9123689698255575E-2</v>
      </c>
      <c r="W79" s="65"/>
      <c r="X79" s="72">
        <f>V79*2</f>
        <v>0.15824737939651115</v>
      </c>
      <c r="Y79" s="123"/>
    </row>
    <row r="80" spans="1:25" ht="19.5" thickBot="1" x14ac:dyDescent="0.4">
      <c r="A80" s="123"/>
      <c r="B80" s="93" t="s">
        <v>40</v>
      </c>
      <c r="C80" s="30">
        <f>AVERAGE(C50:C79)</f>
        <v>39.676076333333334</v>
      </c>
      <c r="D80" s="31">
        <f t="shared" ref="D80:K80" si="18">AVERAGE(D50:D79)</f>
        <v>39.875966666666663</v>
      </c>
      <c r="E80" s="31">
        <f t="shared" si="18"/>
        <v>39.789037666666673</v>
      </c>
      <c r="F80" s="31">
        <f t="shared" si="18"/>
        <v>40.016750666666667</v>
      </c>
      <c r="G80" s="31">
        <f t="shared" si="18"/>
        <v>39.762699000000005</v>
      </c>
      <c r="H80" s="31">
        <f t="shared" si="18"/>
        <v>39.68454899999999</v>
      </c>
      <c r="I80" s="31">
        <f t="shared" si="18"/>
        <v>39.710426333333331</v>
      </c>
      <c r="J80" s="31">
        <f t="shared" si="18"/>
        <v>39.507469666666672</v>
      </c>
      <c r="K80" s="31">
        <f t="shared" si="18"/>
        <v>39.848401333333335</v>
      </c>
      <c r="N80" s="502"/>
      <c r="S80" s="42">
        <f>ROUND(S79,8)</f>
        <v>6.2605600000000001E-3</v>
      </c>
      <c r="V80" s="72">
        <f>ROUND(V79,3)</f>
        <v>7.9000000000000001E-2</v>
      </c>
      <c r="W80" s="65"/>
      <c r="X80" s="72">
        <f>ROUND(X79,3)</f>
        <v>0.158</v>
      </c>
      <c r="Y80" s="123"/>
    </row>
    <row r="81" spans="1:25" ht="19.5" thickBot="1" x14ac:dyDescent="0.4">
      <c r="A81" s="123"/>
      <c r="B81" s="93" t="s">
        <v>39</v>
      </c>
      <c r="C81" s="27">
        <f>_xlfn.STDEV.P(C50:C79)</f>
        <v>5.9635942648336611E-3</v>
      </c>
      <c r="D81" s="22">
        <f t="shared" ref="D81:K81" si="19">_xlfn.STDEV.P(D50:D79)</f>
        <v>5.596957109795157E-3</v>
      </c>
      <c r="E81" s="22">
        <f t="shared" si="19"/>
        <v>5.3771347285419199E-3</v>
      </c>
      <c r="F81" s="22">
        <f t="shared" si="19"/>
        <v>5.8353891234617606E-3</v>
      </c>
      <c r="G81" s="22">
        <f t="shared" si="19"/>
        <v>9.2428604338699646E-3</v>
      </c>
      <c r="H81" s="22">
        <f t="shared" si="19"/>
        <v>7.0839185719015815E-3</v>
      </c>
      <c r="I81" s="22">
        <f t="shared" si="19"/>
        <v>6.8364105997876399E-3</v>
      </c>
      <c r="J81" s="22">
        <f t="shared" si="19"/>
        <v>5.0272792398626783E-3</v>
      </c>
      <c r="K81" s="22">
        <f t="shared" si="19"/>
        <v>5.2996941630834736E-3</v>
      </c>
      <c r="N81" s="502"/>
      <c r="Y81" s="123"/>
    </row>
    <row r="82" spans="1:25" ht="19.5" thickBot="1" x14ac:dyDescent="0.4">
      <c r="A82" s="123"/>
      <c r="B82" s="93" t="s">
        <v>52</v>
      </c>
      <c r="C82" s="11">
        <f>MAX(C50:C79)-C80</f>
        <v>1.3953666666665754E-2</v>
      </c>
      <c r="D82" s="12">
        <f t="shared" ref="D82:K82" si="20">MAX(D50:D79)-D80</f>
        <v>1.4093333333335067E-2</v>
      </c>
      <c r="E82" s="12">
        <f t="shared" si="20"/>
        <v>1.1902333333324577E-2</v>
      </c>
      <c r="F82" s="12">
        <f t="shared" si="20"/>
        <v>1.3219333333331917E-2</v>
      </c>
      <c r="G82" s="24">
        <f t="shared" si="20"/>
        <v>2.3900999999995065E-2</v>
      </c>
      <c r="H82" s="12">
        <f t="shared" si="20"/>
        <v>1.8221000000011145E-2</v>
      </c>
      <c r="I82" s="12">
        <f t="shared" si="20"/>
        <v>1.8433666666666682E-2</v>
      </c>
      <c r="J82" s="12">
        <f t="shared" si="20"/>
        <v>1.2190333333329306E-2</v>
      </c>
      <c r="K82" s="12">
        <f t="shared" si="20"/>
        <v>1.5558666666663612E-2</v>
      </c>
      <c r="N82" s="502"/>
      <c r="Y82" s="123"/>
    </row>
    <row r="83" spans="1:25" ht="19.5" thickBot="1" x14ac:dyDescent="0.4">
      <c r="A83" s="123"/>
      <c r="B83" s="93" t="s">
        <v>51</v>
      </c>
      <c r="C83" s="11">
        <f>C80-MIN(C50:C79)</f>
        <v>8.9563333333373407E-3</v>
      </c>
      <c r="D83" s="12">
        <f t="shared" ref="D83:K83" si="21">D80-MIN(D50:D79)</f>
        <v>7.8966666666602237E-3</v>
      </c>
      <c r="E83" s="12">
        <f t="shared" si="21"/>
        <v>8.7276666666724623E-3</v>
      </c>
      <c r="F83" s="12">
        <f t="shared" si="21"/>
        <v>1.1280666666664274E-2</v>
      </c>
      <c r="G83" s="24">
        <f t="shared" si="21"/>
        <v>1.4649000000005685E-2</v>
      </c>
      <c r="H83" s="12">
        <f t="shared" si="21"/>
        <v>1.1968999999986352E-2</v>
      </c>
      <c r="I83" s="12">
        <f t="shared" si="21"/>
        <v>1.270633333333393E-2</v>
      </c>
      <c r="J83" s="12">
        <f t="shared" si="21"/>
        <v>8.2196666666689566E-3</v>
      </c>
      <c r="K83" s="12">
        <f t="shared" si="21"/>
        <v>8.4013333333317064E-3</v>
      </c>
      <c r="N83" s="502"/>
      <c r="Y83" s="123"/>
    </row>
    <row r="84" spans="1:25" ht="20.25" thickBot="1" x14ac:dyDescent="0.4">
      <c r="A84" s="123"/>
      <c r="B84" s="94" t="s">
        <v>44</v>
      </c>
      <c r="C84" s="14">
        <f>(C82+C83)/2</f>
        <v>1.1455000000001547E-2</v>
      </c>
      <c r="D84" s="15">
        <f t="shared" ref="D84:K84" si="22">(D82+D83)/2</f>
        <v>1.0994999999997646E-2</v>
      </c>
      <c r="E84" s="15">
        <f t="shared" si="22"/>
        <v>1.031499999999852E-2</v>
      </c>
      <c r="F84" s="15">
        <f t="shared" si="22"/>
        <v>1.2249999999998096E-2</v>
      </c>
      <c r="G84" s="15">
        <f t="shared" si="22"/>
        <v>1.9275000000000375E-2</v>
      </c>
      <c r="H84" s="15">
        <f t="shared" si="22"/>
        <v>1.5094999999998748E-2</v>
      </c>
      <c r="I84" s="15">
        <f t="shared" si="22"/>
        <v>1.5570000000000306E-2</v>
      </c>
      <c r="J84" s="15">
        <f t="shared" si="22"/>
        <v>1.0204999999999131E-2</v>
      </c>
      <c r="K84" s="15">
        <f t="shared" si="22"/>
        <v>1.1979999999997659E-2</v>
      </c>
      <c r="N84" s="502"/>
      <c r="Y84" s="123"/>
    </row>
    <row r="85" spans="1:25" ht="19.5" thickBot="1" x14ac:dyDescent="0.4">
      <c r="A85" s="123"/>
      <c r="B85" s="95" t="s">
        <v>43</v>
      </c>
      <c r="C85" s="43">
        <f>C80-$G80</f>
        <v>-8.6622666666670511E-2</v>
      </c>
      <c r="D85" s="13">
        <f t="shared" ref="D85:K85" si="23">D80-$G80</f>
        <v>0.11326766666665833</v>
      </c>
      <c r="E85" s="13">
        <f t="shared" si="23"/>
        <v>2.6338666666667621E-2</v>
      </c>
      <c r="F85" s="13">
        <f t="shared" si="23"/>
        <v>0.2540516666666619</v>
      </c>
      <c r="G85" s="13">
        <f>G80-$G80</f>
        <v>0</v>
      </c>
      <c r="H85" s="13">
        <f t="shared" si="23"/>
        <v>-7.8150000000015041E-2</v>
      </c>
      <c r="I85" s="13">
        <f t="shared" si="23"/>
        <v>-5.2272666666674183E-2</v>
      </c>
      <c r="J85" s="13">
        <f t="shared" si="23"/>
        <v>-0.25522933333333242</v>
      </c>
      <c r="K85" s="13">
        <f t="shared" si="23"/>
        <v>8.5702333333330216E-2</v>
      </c>
      <c r="N85" s="502"/>
      <c r="Y85" s="123"/>
    </row>
    <row r="86" spans="1:25" ht="18.75" x14ac:dyDescent="0.35">
      <c r="A86" s="123"/>
      <c r="B86" s="99" t="s">
        <v>45</v>
      </c>
      <c r="C86" s="45">
        <v>40</v>
      </c>
      <c r="N86" s="502"/>
      <c r="Y86" s="123"/>
    </row>
    <row r="87" spans="1:25" ht="18.75" x14ac:dyDescent="0.2">
      <c r="A87" s="123"/>
      <c r="B87" s="100" t="s">
        <v>46</v>
      </c>
      <c r="C87" s="44">
        <f>AVERAGE(C50:K79)</f>
        <v>39.763486296296307</v>
      </c>
      <c r="N87" s="502"/>
      <c r="Y87" s="123"/>
    </row>
    <row r="88" spans="1:25" ht="18.75" x14ac:dyDescent="0.2">
      <c r="A88" s="123"/>
      <c r="B88" s="101" t="s">
        <v>47</v>
      </c>
      <c r="C88" s="28">
        <f>C87-C86</f>
        <v>-0.23651370370369307</v>
      </c>
      <c r="N88" s="502"/>
      <c r="Y88" s="123"/>
    </row>
    <row r="89" spans="1:25" ht="18.75" x14ac:dyDescent="0.2">
      <c r="A89" s="123"/>
      <c r="B89" s="102" t="s">
        <v>48</v>
      </c>
      <c r="C89" s="29">
        <f>MAX(C80:K80)-MIN(C80:K80)</f>
        <v>0.50928099999999432</v>
      </c>
      <c r="N89" s="502"/>
      <c r="Y89" s="123"/>
    </row>
    <row r="90" spans="1:25" ht="18.75" x14ac:dyDescent="0.2">
      <c r="A90" s="123"/>
      <c r="B90" s="103" t="s">
        <v>49</v>
      </c>
      <c r="C90" s="32">
        <f>MAX(C85:K85)</f>
        <v>0.2540516666666619</v>
      </c>
      <c r="N90" s="502"/>
      <c r="Y90" s="123"/>
    </row>
    <row r="91" spans="1:25" x14ac:dyDescent="0.2">
      <c r="A91" s="123"/>
      <c r="B91" s="104"/>
      <c r="C91" s="32">
        <f>MIN(C85:K85)</f>
        <v>-0.25522933333333242</v>
      </c>
      <c r="D91" s="65"/>
      <c r="N91" s="502"/>
      <c r="Y91" s="123"/>
    </row>
    <row r="92" spans="1:25" ht="18.75" x14ac:dyDescent="0.2">
      <c r="A92" s="123"/>
      <c r="B92" s="105" t="s">
        <v>50</v>
      </c>
      <c r="C92" s="33">
        <f>AVERAGE(C84:K84)</f>
        <v>1.301555555555467E-2</v>
      </c>
      <c r="N92" s="502"/>
      <c r="Y92" s="123"/>
    </row>
    <row r="93" spans="1:25" ht="18.75" x14ac:dyDescent="0.35">
      <c r="A93" s="123"/>
      <c r="B93" s="180" t="s">
        <v>259</v>
      </c>
      <c r="C93" s="181">
        <f>_xlfn.STDEV.P(C50:K79)</f>
        <v>0.13632305115662899</v>
      </c>
      <c r="N93" s="502"/>
      <c r="Y93" s="123"/>
    </row>
    <row r="94" spans="1:25" x14ac:dyDescent="0.2">
      <c r="A94" s="123"/>
      <c r="B94" s="123"/>
      <c r="C94" s="123"/>
      <c r="D94" s="123"/>
      <c r="E94" s="123"/>
      <c r="F94" s="123"/>
      <c r="G94" s="123"/>
      <c r="H94" s="123"/>
      <c r="I94" s="123"/>
      <c r="J94" s="123"/>
      <c r="K94" s="123"/>
      <c r="L94" s="123"/>
      <c r="M94" s="123"/>
      <c r="N94" s="123"/>
      <c r="O94" s="123"/>
      <c r="P94" s="123"/>
      <c r="Q94" s="123"/>
      <c r="R94" s="123"/>
      <c r="S94" s="123"/>
      <c r="T94" s="123"/>
      <c r="U94" s="123"/>
      <c r="V94" s="123"/>
      <c r="W94" s="123"/>
      <c r="X94" s="123"/>
      <c r="Y94" s="123"/>
    </row>
  </sheetData>
  <mergeCells count="2">
    <mergeCell ref="N2:N46"/>
    <mergeCell ref="N49:N93"/>
  </mergeCells>
  <pageMargins left="0.7" right="0.7" top="0.75" bottom="0.75" header="0.3" footer="0.3"/>
  <pageSetup paperSize="9"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Лист24"/>
  <dimension ref="A1:Y94"/>
  <sheetViews>
    <sheetView topLeftCell="A23" zoomScale="55" zoomScaleNormal="55" workbookViewId="0">
      <selection activeCell="K44" sqref="K44"/>
    </sheetView>
  </sheetViews>
  <sheetFormatPr defaultRowHeight="14.25" x14ac:dyDescent="0.2"/>
  <cols>
    <col min="1" max="1" width="9" style="292"/>
    <col min="2" max="2" width="22.75" style="292" customWidth="1"/>
    <col min="3" max="11" width="6" style="292" customWidth="1"/>
    <col min="12" max="17" width="9" style="292"/>
    <col min="18" max="18" width="16.625" style="292" customWidth="1"/>
    <col min="19" max="19" width="19.375" style="292" customWidth="1"/>
    <col min="20" max="20" width="9.75" style="292" customWidth="1"/>
    <col min="21" max="21" width="9" style="292"/>
    <col min="22" max="22" width="11.625" style="292" customWidth="1"/>
    <col min="23" max="23" width="13.375" style="292" customWidth="1"/>
    <col min="24" max="24" width="17.625" style="292" customWidth="1"/>
    <col min="25" max="16384" width="9" style="292"/>
  </cols>
  <sheetData>
    <row r="1" spans="1:25" ht="15" thickBot="1" x14ac:dyDescent="0.25">
      <c r="A1" s="120"/>
      <c r="B1" s="120"/>
      <c r="C1" s="120"/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 t="s">
        <v>138</v>
      </c>
      <c r="P1" s="120"/>
      <c r="Q1" s="120"/>
      <c r="R1" s="120"/>
      <c r="S1" s="120"/>
      <c r="T1" s="120"/>
      <c r="U1" s="120"/>
      <c r="V1" s="120"/>
      <c r="W1" s="120"/>
      <c r="X1" s="120"/>
      <c r="Y1" s="120"/>
    </row>
    <row r="2" spans="1:25" ht="19.5" thickBot="1" x14ac:dyDescent="0.4">
      <c r="A2" s="120"/>
      <c r="B2" s="122" t="s">
        <v>25</v>
      </c>
      <c r="C2" s="3">
        <v>1</v>
      </c>
      <c r="D2" s="3">
        <v>2</v>
      </c>
      <c r="E2" s="3">
        <v>3</v>
      </c>
      <c r="F2" s="3">
        <v>4</v>
      </c>
      <c r="G2" s="4">
        <v>5</v>
      </c>
      <c r="H2" s="3">
        <v>6</v>
      </c>
      <c r="I2" s="3">
        <v>7</v>
      </c>
      <c r="J2" s="3">
        <v>8</v>
      </c>
      <c r="K2" s="5">
        <v>9</v>
      </c>
      <c r="L2" s="184" t="s">
        <v>261</v>
      </c>
      <c r="M2" s="184" t="s">
        <v>42</v>
      </c>
      <c r="N2" s="503" t="s">
        <v>86</v>
      </c>
      <c r="O2" s="293" t="s">
        <v>38</v>
      </c>
      <c r="Y2" s="120"/>
    </row>
    <row r="3" spans="1:25" x14ac:dyDescent="0.2">
      <c r="A3" s="120"/>
      <c r="B3" s="6">
        <v>1</v>
      </c>
      <c r="C3" s="18">
        <v>99.23</v>
      </c>
      <c r="D3" s="19">
        <v>99.22</v>
      </c>
      <c r="E3" s="19">
        <v>99.21</v>
      </c>
      <c r="F3" s="20">
        <v>99.21</v>
      </c>
      <c r="G3" s="23">
        <v>99.21</v>
      </c>
      <c r="H3" s="19">
        <v>99.21</v>
      </c>
      <c r="I3" s="19">
        <v>99.21</v>
      </c>
      <c r="J3" s="19">
        <v>99.22</v>
      </c>
      <c r="K3" s="19">
        <v>99.24</v>
      </c>
      <c r="L3" s="9">
        <f t="shared" ref="L3:L32" si="0">AVERAGE(C3:K3)</f>
        <v>99.217777777777783</v>
      </c>
      <c r="M3" s="21">
        <f t="shared" ref="M3:M32" si="1">_xlfn.STDEV.P(C3:K3)</f>
        <v>1.0304020550552649E-2</v>
      </c>
      <c r="N3" s="503"/>
      <c r="O3" s="292" t="s">
        <v>4</v>
      </c>
      <c r="S3" s="2" t="s">
        <v>7</v>
      </c>
      <c r="T3" s="2" t="s">
        <v>8</v>
      </c>
      <c r="U3" s="2" t="s">
        <v>9</v>
      </c>
      <c r="V3" s="2" t="s">
        <v>10</v>
      </c>
      <c r="W3" s="41" t="s">
        <v>11</v>
      </c>
      <c r="X3" s="46" t="s">
        <v>12</v>
      </c>
      <c r="Y3" s="120"/>
    </row>
    <row r="4" spans="1:25" ht="15" thickBot="1" x14ac:dyDescent="0.25">
      <c r="A4" s="120"/>
      <c r="B4" s="7">
        <v>2</v>
      </c>
      <c r="C4" s="18">
        <v>99.23</v>
      </c>
      <c r="D4" s="19">
        <v>99.22</v>
      </c>
      <c r="E4" s="19">
        <v>99.21</v>
      </c>
      <c r="F4" s="19">
        <v>99.21</v>
      </c>
      <c r="G4" s="23">
        <v>99.21</v>
      </c>
      <c r="H4" s="19">
        <v>99.21</v>
      </c>
      <c r="I4" s="19">
        <v>99.21</v>
      </c>
      <c r="J4" s="19">
        <v>99.22</v>
      </c>
      <c r="K4" s="19">
        <v>99.24</v>
      </c>
      <c r="L4" s="9">
        <f t="shared" si="0"/>
        <v>99.217777777777783</v>
      </c>
      <c r="M4" s="21">
        <f>_xlfn.STDEV.P(C4:K4)</f>
        <v>1.0304020550552649E-2</v>
      </c>
      <c r="N4" s="503"/>
      <c r="O4" s="17">
        <f>AVERAGE(C35:K35)</f>
        <v>5.4037037037041893E-2</v>
      </c>
      <c r="S4" s="2" t="str">
        <f>indeter_MI!B5</f>
        <v>Поверка</v>
      </c>
      <c r="T4" s="2">
        <f>indeter_MI!C5</f>
        <v>0.1</v>
      </c>
      <c r="U4" s="2" t="str">
        <f>indeter_MI!D5</f>
        <v>Нормальное</v>
      </c>
      <c r="V4" s="2">
        <f>indeter_MI!E5</f>
        <v>2</v>
      </c>
      <c r="W4" s="59">
        <f>T4/V4</f>
        <v>0.05</v>
      </c>
      <c r="X4" s="52">
        <f t="shared" ref="X4:X9" si="2">W4*W4</f>
        <v>2.5000000000000005E-3</v>
      </c>
      <c r="Y4" s="120"/>
    </row>
    <row r="5" spans="1:25" x14ac:dyDescent="0.2">
      <c r="A5" s="120"/>
      <c r="B5" s="6">
        <v>3</v>
      </c>
      <c r="C5" s="18">
        <v>99.23</v>
      </c>
      <c r="D5" s="19">
        <v>99.22</v>
      </c>
      <c r="E5" s="19">
        <v>99.21</v>
      </c>
      <c r="F5" s="19">
        <v>99.21</v>
      </c>
      <c r="G5" s="23">
        <v>99.21</v>
      </c>
      <c r="H5" s="19">
        <v>99.21</v>
      </c>
      <c r="I5" s="19">
        <v>99.21</v>
      </c>
      <c r="J5" s="19">
        <v>99.22</v>
      </c>
      <c r="K5" s="19">
        <v>99.24</v>
      </c>
      <c r="L5" s="9">
        <f t="shared" si="0"/>
        <v>99.217777777777783</v>
      </c>
      <c r="M5" s="21">
        <f t="shared" si="1"/>
        <v>1.0304020550552649E-2</v>
      </c>
      <c r="N5" s="503"/>
      <c r="O5" s="292" t="s">
        <v>5</v>
      </c>
      <c r="S5" s="2" t="str">
        <f>indeter_MI!B6</f>
        <v>Повторяемость*</v>
      </c>
      <c r="T5" s="2">
        <f>indeter_MI!C6</f>
        <v>0.01</v>
      </c>
      <c r="U5" s="2" t="str">
        <f>indeter_MI!D6</f>
        <v>Нормальное</v>
      </c>
      <c r="V5" s="2">
        <f>indeter_MI!E6</f>
        <v>1</v>
      </c>
      <c r="W5" s="59">
        <f t="shared" ref="W5:W13" si="3">T5/V5</f>
        <v>0.01</v>
      </c>
      <c r="X5" s="52">
        <f t="shared" si="2"/>
        <v>1E-4</v>
      </c>
      <c r="Y5" s="120"/>
    </row>
    <row r="6" spans="1:25" ht="15" thickBot="1" x14ac:dyDescent="0.25">
      <c r="A6" s="120"/>
      <c r="B6" s="7">
        <v>4</v>
      </c>
      <c r="C6" s="18">
        <v>99.23</v>
      </c>
      <c r="D6" s="19">
        <v>99.22</v>
      </c>
      <c r="E6" s="19">
        <v>99.21</v>
      </c>
      <c r="F6" s="19">
        <v>99.21</v>
      </c>
      <c r="G6" s="23">
        <v>99.21</v>
      </c>
      <c r="H6" s="19">
        <v>99.21</v>
      </c>
      <c r="I6" s="19">
        <v>99.21</v>
      </c>
      <c r="J6" s="19">
        <v>99.22</v>
      </c>
      <c r="K6" s="19">
        <v>99.24</v>
      </c>
      <c r="L6" s="9">
        <f t="shared" si="0"/>
        <v>99.217777777777783</v>
      </c>
      <c r="M6" s="21">
        <f t="shared" si="1"/>
        <v>1.0304020550552649E-2</v>
      </c>
      <c r="N6" s="503"/>
      <c r="O6" s="17">
        <f>O4/(SQRT(270))</f>
        <v>3.2885893473255522E-3</v>
      </c>
      <c r="S6" s="2" t="str">
        <f>indeter_MI!B7</f>
        <v>Гистерезис</v>
      </c>
      <c r="T6" s="2">
        <f>indeter_MI!C7</f>
        <v>0.01</v>
      </c>
      <c r="U6" s="2" t="str">
        <f>indeter_MI!D7</f>
        <v>Прямоугольное</v>
      </c>
      <c r="V6" s="2">
        <f>indeter_MI!E7</f>
        <v>1.73</v>
      </c>
      <c r="W6" s="59">
        <f t="shared" si="3"/>
        <v>5.7803468208092491E-3</v>
      </c>
      <c r="X6" s="52">
        <f t="shared" si="2"/>
        <v>3.3412409368839592E-5</v>
      </c>
      <c r="Y6" s="120"/>
    </row>
    <row r="7" spans="1:25" x14ac:dyDescent="0.2">
      <c r="A7" s="120"/>
      <c r="B7" s="6">
        <v>5</v>
      </c>
      <c r="C7" s="18">
        <v>99.23</v>
      </c>
      <c r="D7" s="19">
        <v>99.22</v>
      </c>
      <c r="E7" s="19">
        <v>99.21</v>
      </c>
      <c r="F7" s="19">
        <v>99.21</v>
      </c>
      <c r="G7" s="23">
        <v>99.21</v>
      </c>
      <c r="H7" s="19">
        <v>99.21</v>
      </c>
      <c r="I7" s="19">
        <v>99.21</v>
      </c>
      <c r="J7" s="19">
        <v>99.22</v>
      </c>
      <c r="K7" s="19">
        <v>99.24</v>
      </c>
      <c r="L7" s="9">
        <f t="shared" si="0"/>
        <v>99.217777777777783</v>
      </c>
      <c r="M7" s="21">
        <f t="shared" si="1"/>
        <v>1.0304020550552649E-2</v>
      </c>
      <c r="N7" s="503"/>
      <c r="S7" s="2" t="str">
        <f>indeter_MI!B8</f>
        <v>Влияние температуры</v>
      </c>
      <c r="T7" s="2">
        <f>indeter_MI!C8</f>
        <v>0.01</v>
      </c>
      <c r="U7" s="2" t="str">
        <f>indeter_MI!D8</f>
        <v>Прямоугольное</v>
      </c>
      <c r="V7" s="2">
        <f>indeter_MI!E8</f>
        <v>1.73</v>
      </c>
      <c r="W7" s="59">
        <f t="shared" si="3"/>
        <v>5.7803468208092491E-3</v>
      </c>
      <c r="X7" s="52">
        <f t="shared" si="2"/>
        <v>3.3412409368839592E-5</v>
      </c>
      <c r="Y7" s="120"/>
    </row>
    <row r="8" spans="1:25" ht="15" thickBot="1" x14ac:dyDescent="0.25">
      <c r="A8" s="120"/>
      <c r="B8" s="7">
        <v>6</v>
      </c>
      <c r="C8" s="18">
        <v>99.23</v>
      </c>
      <c r="D8" s="19">
        <v>99.22</v>
      </c>
      <c r="E8" s="19">
        <v>99.21</v>
      </c>
      <c r="F8" s="19">
        <v>99.21</v>
      </c>
      <c r="G8" s="23">
        <v>99.21</v>
      </c>
      <c r="H8" s="19">
        <v>99.21</v>
      </c>
      <c r="I8" s="19">
        <v>99.21</v>
      </c>
      <c r="J8" s="19">
        <v>99.22</v>
      </c>
      <c r="K8" s="19">
        <v>99.24</v>
      </c>
      <c r="L8" s="9">
        <f t="shared" si="0"/>
        <v>99.217777777777783</v>
      </c>
      <c r="M8" s="21">
        <f t="shared" si="1"/>
        <v>1.0304020550552649E-2</v>
      </c>
      <c r="N8" s="503"/>
      <c r="S8" s="2" t="str">
        <f>indeter_MI!B9</f>
        <v>Дрейф*</v>
      </c>
      <c r="T8" s="2">
        <f>indeter_MI!C9</f>
        <v>0.1</v>
      </c>
      <c r="U8" s="2" t="str">
        <f>indeter_MI!D9</f>
        <v>Прямоугольное</v>
      </c>
      <c r="V8" s="2">
        <f>indeter_MI!E9</f>
        <v>1.73</v>
      </c>
      <c r="W8" s="59">
        <f t="shared" si="3"/>
        <v>5.7803468208092491E-2</v>
      </c>
      <c r="X8" s="52">
        <f t="shared" si="2"/>
        <v>3.3412409368839594E-3</v>
      </c>
      <c r="Y8" s="120"/>
    </row>
    <row r="9" spans="1:25" x14ac:dyDescent="0.2">
      <c r="A9" s="120"/>
      <c r="B9" s="6">
        <v>7</v>
      </c>
      <c r="C9" s="18">
        <v>99.23</v>
      </c>
      <c r="D9" s="19">
        <v>99.22</v>
      </c>
      <c r="E9" s="19">
        <v>99.21</v>
      </c>
      <c r="F9" s="19">
        <v>99.21</v>
      </c>
      <c r="G9" s="23">
        <v>99.21</v>
      </c>
      <c r="H9" s="19">
        <v>99.21</v>
      </c>
      <c r="I9" s="19">
        <v>99.21</v>
      </c>
      <c r="J9" s="19">
        <v>99.22</v>
      </c>
      <c r="K9" s="19">
        <v>99.24</v>
      </c>
      <c r="L9" s="9">
        <f t="shared" si="0"/>
        <v>99.217777777777783</v>
      </c>
      <c r="M9" s="21">
        <f t="shared" si="1"/>
        <v>1.0304020550552649E-2</v>
      </c>
      <c r="N9" s="503"/>
      <c r="O9" s="2" t="s">
        <v>0</v>
      </c>
      <c r="P9" s="2" t="s">
        <v>2</v>
      </c>
      <c r="Q9" s="2" t="s">
        <v>3</v>
      </c>
      <c r="S9" s="2" t="str">
        <f>indeter_MI!B10</f>
        <v>Линейность</v>
      </c>
      <c r="T9" s="2">
        <f>indeter_MI!C10</f>
        <v>0.02</v>
      </c>
      <c r="U9" s="2" t="str">
        <f>indeter_MI!D10</f>
        <v>Прямоугольное</v>
      </c>
      <c r="V9" s="2">
        <f>indeter_MI!E10</f>
        <v>1.73</v>
      </c>
      <c r="W9" s="59">
        <f t="shared" si="3"/>
        <v>1.1560693641618498E-2</v>
      </c>
      <c r="X9" s="52">
        <f t="shared" si="2"/>
        <v>1.3364963747535837E-4</v>
      </c>
      <c r="Y9" s="120"/>
    </row>
    <row r="10" spans="1:25" ht="15" thickBot="1" x14ac:dyDescent="0.25">
      <c r="A10" s="120"/>
      <c r="B10" s="7">
        <v>8</v>
      </c>
      <c r="C10" s="18">
        <v>99.23</v>
      </c>
      <c r="D10" s="19">
        <v>99.22</v>
      </c>
      <c r="E10" s="19">
        <v>99.21</v>
      </c>
      <c r="F10" s="19">
        <v>99.21</v>
      </c>
      <c r="G10" s="23">
        <v>99.21</v>
      </c>
      <c r="H10" s="19">
        <v>99.21</v>
      </c>
      <c r="I10" s="19">
        <v>99.21</v>
      </c>
      <c r="J10" s="19">
        <v>99.22</v>
      </c>
      <c r="K10" s="19">
        <v>99.24</v>
      </c>
      <c r="L10" s="9">
        <f t="shared" si="0"/>
        <v>99.217777777777783</v>
      </c>
      <c r="M10" s="21">
        <f t="shared" si="1"/>
        <v>1.0304020550552649E-2</v>
      </c>
      <c r="N10" s="503"/>
      <c r="O10" s="38">
        <f>MAX(M4:M33)</f>
        <v>0.288097205817756</v>
      </c>
      <c r="P10" s="51">
        <f>MAX(C35:K35)</f>
        <v>0.21599999999997976</v>
      </c>
      <c r="Q10" s="50">
        <f>O6</f>
        <v>3.2885893473255522E-3</v>
      </c>
      <c r="S10" s="2" t="str">
        <f>indeter_MI!B11</f>
        <v>Разрешающая способность</v>
      </c>
      <c r="T10" s="2">
        <f>indeter_MI!C11</f>
        <v>0.01</v>
      </c>
      <c r="U10" s="2" t="str">
        <f>indeter_MI!D11</f>
        <v>Прямоугольное</v>
      </c>
      <c r="V10" s="2">
        <f>indeter_MI!E11</f>
        <v>1.73</v>
      </c>
      <c r="W10" s="59">
        <f t="shared" si="3"/>
        <v>5.7803468208092491E-3</v>
      </c>
      <c r="X10" s="52">
        <f>W10*W10</f>
        <v>3.3412409368839592E-5</v>
      </c>
      <c r="Y10" s="120"/>
    </row>
    <row r="11" spans="1:25" x14ac:dyDescent="0.2">
      <c r="A11" s="120"/>
      <c r="B11" s="6">
        <v>9</v>
      </c>
      <c r="C11" s="18">
        <v>99.23</v>
      </c>
      <c r="D11" s="19">
        <v>99.22</v>
      </c>
      <c r="E11" s="19">
        <v>99.21</v>
      </c>
      <c r="F11" s="19">
        <v>99.21</v>
      </c>
      <c r="G11" s="23">
        <v>99.21</v>
      </c>
      <c r="H11" s="19">
        <v>99.21</v>
      </c>
      <c r="I11" s="19">
        <v>99.21</v>
      </c>
      <c r="J11" s="19">
        <v>99.22</v>
      </c>
      <c r="K11" s="19">
        <v>99.24</v>
      </c>
      <c r="L11" s="9">
        <f t="shared" si="0"/>
        <v>99.217777777777783</v>
      </c>
      <c r="M11" s="21">
        <f t="shared" si="1"/>
        <v>1.0304020550552649E-2</v>
      </c>
      <c r="N11" s="503"/>
      <c r="S11" s="36" t="s">
        <v>0</v>
      </c>
      <c r="T11" s="37">
        <f>O10</f>
        <v>0.288097205817756</v>
      </c>
      <c r="U11" s="36" t="s">
        <v>13</v>
      </c>
      <c r="V11" s="21">
        <v>1</v>
      </c>
      <c r="W11" s="61">
        <f t="shared" si="3"/>
        <v>0.288097205817756</v>
      </c>
      <c r="X11" s="53">
        <f>W11*W11</f>
        <v>8.2999999999998464E-2</v>
      </c>
      <c r="Y11" s="120"/>
    </row>
    <row r="12" spans="1:25" ht="15" thickBot="1" x14ac:dyDescent="0.25">
      <c r="A12" s="120"/>
      <c r="B12" s="7">
        <v>10</v>
      </c>
      <c r="C12" s="18">
        <v>99.23</v>
      </c>
      <c r="D12" s="19">
        <v>99.22</v>
      </c>
      <c r="E12" s="19">
        <v>99.21</v>
      </c>
      <c r="F12" s="19">
        <v>99.21</v>
      </c>
      <c r="G12" s="23">
        <v>99.21</v>
      </c>
      <c r="H12" s="19">
        <v>99.21</v>
      </c>
      <c r="I12" s="19">
        <v>99.21</v>
      </c>
      <c r="J12" s="19">
        <v>99.22</v>
      </c>
      <c r="K12" s="19">
        <v>99.24</v>
      </c>
      <c r="L12" s="9">
        <f t="shared" si="0"/>
        <v>99.217777777777783</v>
      </c>
      <c r="M12" s="21">
        <f t="shared" si="1"/>
        <v>1.0304020550552649E-2</v>
      </c>
      <c r="N12" s="503"/>
      <c r="S12" s="26" t="s">
        <v>21</v>
      </c>
      <c r="T12" s="39">
        <f>P10</f>
        <v>0.21599999999997976</v>
      </c>
      <c r="U12" s="26" t="s">
        <v>13</v>
      </c>
      <c r="V12" s="22">
        <v>1</v>
      </c>
      <c r="W12" s="60">
        <f t="shared" si="3"/>
        <v>0.21599999999997976</v>
      </c>
      <c r="X12" s="54">
        <f>W12*W12</f>
        <v>4.665599999999126E-2</v>
      </c>
      <c r="Y12" s="120"/>
    </row>
    <row r="13" spans="1:25" x14ac:dyDescent="0.2">
      <c r="A13" s="120"/>
      <c r="B13" s="6">
        <v>11</v>
      </c>
      <c r="C13" s="18">
        <v>99.22</v>
      </c>
      <c r="D13" s="19">
        <v>99.22</v>
      </c>
      <c r="E13" s="19">
        <v>99.21</v>
      </c>
      <c r="F13" s="19">
        <v>99.21</v>
      </c>
      <c r="G13" s="23">
        <v>99.21</v>
      </c>
      <c r="H13" s="19">
        <v>99.21</v>
      </c>
      <c r="I13" s="19">
        <v>99.21</v>
      </c>
      <c r="J13" s="19">
        <v>99.22</v>
      </c>
      <c r="K13" s="19">
        <v>99.24</v>
      </c>
      <c r="L13" s="9">
        <f t="shared" si="0"/>
        <v>99.216666666666669</v>
      </c>
      <c r="M13" s="21">
        <f t="shared" si="1"/>
        <v>9.4280904158215492E-3</v>
      </c>
      <c r="N13" s="503"/>
      <c r="S13" s="25" t="s">
        <v>3</v>
      </c>
      <c r="T13" s="40">
        <f>Q10</f>
        <v>3.2885893473255522E-3</v>
      </c>
      <c r="U13" s="25" t="s">
        <v>13</v>
      </c>
      <c r="V13" s="17">
        <v>1</v>
      </c>
      <c r="W13" s="62">
        <f t="shared" si="3"/>
        <v>3.2885893473255522E-3</v>
      </c>
      <c r="X13" s="55">
        <f>W13*W13</f>
        <v>1.0814819895343101E-5</v>
      </c>
      <c r="Y13" s="120"/>
    </row>
    <row r="14" spans="1:25" ht="15" thickBot="1" x14ac:dyDescent="0.25">
      <c r="A14" s="120"/>
      <c r="B14" s="7">
        <v>12</v>
      </c>
      <c r="C14" s="18">
        <v>99.22</v>
      </c>
      <c r="D14" s="19">
        <v>99.22</v>
      </c>
      <c r="E14" s="19">
        <v>99.21</v>
      </c>
      <c r="F14" s="19">
        <v>99.21</v>
      </c>
      <c r="G14" s="23">
        <v>99.21</v>
      </c>
      <c r="H14" s="19">
        <v>99.21</v>
      </c>
      <c r="I14" s="19">
        <v>99.21</v>
      </c>
      <c r="J14" s="19">
        <v>99.22</v>
      </c>
      <c r="K14" s="19">
        <v>99.24</v>
      </c>
      <c r="L14" s="9">
        <f t="shared" si="0"/>
        <v>99.216666666666669</v>
      </c>
      <c r="M14" s="21">
        <f t="shared" si="1"/>
        <v>9.4280904158215492E-3</v>
      </c>
      <c r="N14" s="503"/>
      <c r="W14" s="56"/>
      <c r="X14" s="56"/>
      <c r="Y14" s="120"/>
    </row>
    <row r="15" spans="1:25" x14ac:dyDescent="0.2">
      <c r="A15" s="120"/>
      <c r="B15" s="6">
        <v>13</v>
      </c>
      <c r="C15" s="18">
        <v>99.22</v>
      </c>
      <c r="D15" s="19">
        <v>99.22</v>
      </c>
      <c r="E15" s="19">
        <v>99.21</v>
      </c>
      <c r="F15" s="19">
        <v>99.21</v>
      </c>
      <c r="G15" s="23">
        <v>99.21</v>
      </c>
      <c r="H15" s="19">
        <v>99.21</v>
      </c>
      <c r="I15" s="19">
        <v>99.21</v>
      </c>
      <c r="J15" s="19">
        <v>99.22</v>
      </c>
      <c r="K15" s="19">
        <v>99.24</v>
      </c>
      <c r="L15" s="9">
        <f t="shared" si="0"/>
        <v>99.216666666666669</v>
      </c>
      <c r="M15" s="21">
        <f t="shared" si="1"/>
        <v>9.4280904158215492E-3</v>
      </c>
      <c r="N15" s="503"/>
      <c r="S15" s="35" t="s">
        <v>22</v>
      </c>
      <c r="U15" s="41" t="s">
        <v>82</v>
      </c>
      <c r="V15" s="41"/>
      <c r="W15" s="57" t="s">
        <v>83</v>
      </c>
      <c r="X15" s="57"/>
      <c r="Y15" s="120"/>
    </row>
    <row r="16" spans="1:25" ht="15" thickBot="1" x14ac:dyDescent="0.25">
      <c r="A16" s="120"/>
      <c r="B16" s="7">
        <v>14</v>
      </c>
      <c r="C16" s="18">
        <v>99.22</v>
      </c>
      <c r="D16" s="19">
        <v>99.22</v>
      </c>
      <c r="E16" s="19">
        <v>99.21</v>
      </c>
      <c r="F16" s="19">
        <v>99.21</v>
      </c>
      <c r="G16" s="23">
        <v>99.21</v>
      </c>
      <c r="H16" s="19">
        <v>99.21</v>
      </c>
      <c r="I16" s="19">
        <v>99.21</v>
      </c>
      <c r="J16" s="19">
        <v>99.22</v>
      </c>
      <c r="K16" s="19">
        <v>99.24</v>
      </c>
      <c r="L16" s="9">
        <f t="shared" si="0"/>
        <v>99.216666666666669</v>
      </c>
      <c r="M16" s="21">
        <f t="shared" si="1"/>
        <v>9.4280904158215492E-3</v>
      </c>
      <c r="N16" s="503"/>
      <c r="S16" s="42">
        <f>SUM(X4:X13)</f>
        <v>0.13584194262235089</v>
      </c>
      <c r="V16" s="72">
        <f>SQRT(S16)</f>
        <v>0.36856741937174925</v>
      </c>
      <c r="W16" s="65"/>
      <c r="X16" s="72">
        <f>V16*2</f>
        <v>0.7371348387434985</v>
      </c>
      <c r="Y16" s="120"/>
    </row>
    <row r="17" spans="1:25" x14ac:dyDescent="0.2">
      <c r="A17" s="120"/>
      <c r="B17" s="6">
        <v>15</v>
      </c>
      <c r="C17" s="18">
        <v>99.22</v>
      </c>
      <c r="D17" s="19">
        <v>99.22</v>
      </c>
      <c r="E17" s="19">
        <v>99.21</v>
      </c>
      <c r="F17" s="19">
        <v>99.21</v>
      </c>
      <c r="G17" s="23">
        <v>99.21</v>
      </c>
      <c r="H17" s="19">
        <v>99.2</v>
      </c>
      <c r="I17" s="19">
        <v>99.21</v>
      </c>
      <c r="J17" s="19">
        <v>99.22</v>
      </c>
      <c r="K17" s="19">
        <v>99.23</v>
      </c>
      <c r="L17" s="9">
        <f t="shared" si="0"/>
        <v>99.214444444444453</v>
      </c>
      <c r="M17" s="21">
        <f t="shared" si="1"/>
        <v>8.3147941928324916E-3</v>
      </c>
      <c r="N17" s="503"/>
      <c r="S17" s="42">
        <f>ROUND(S16,8)</f>
        <v>0.13584193999999999</v>
      </c>
      <c r="V17" s="72">
        <f>ROUND(V16,3)</f>
        <v>0.36899999999999999</v>
      </c>
      <c r="W17" s="65"/>
      <c r="X17" s="72">
        <f>ROUND(X16,3)</f>
        <v>0.73699999999999999</v>
      </c>
      <c r="Y17" s="120"/>
    </row>
    <row r="18" spans="1:25" ht="15" thickBot="1" x14ac:dyDescent="0.25">
      <c r="A18" s="120"/>
      <c r="B18" s="7">
        <v>16</v>
      </c>
      <c r="C18" s="18">
        <v>99.22</v>
      </c>
      <c r="D18" s="19">
        <v>99.21</v>
      </c>
      <c r="E18" s="19">
        <v>99.21</v>
      </c>
      <c r="F18" s="19">
        <v>99.21</v>
      </c>
      <c r="G18" s="23">
        <v>99.21</v>
      </c>
      <c r="H18" s="19">
        <v>99.2</v>
      </c>
      <c r="I18" s="19">
        <v>99.21</v>
      </c>
      <c r="J18" s="19">
        <v>99.22</v>
      </c>
      <c r="K18" s="19">
        <v>99.24</v>
      </c>
      <c r="L18" s="9">
        <f t="shared" si="0"/>
        <v>99.214444444444453</v>
      </c>
      <c r="M18" s="21">
        <f t="shared" si="1"/>
        <v>1.0657403385138903E-2</v>
      </c>
      <c r="N18" s="503"/>
      <c r="W18" s="56"/>
      <c r="X18" s="56"/>
      <c r="Y18" s="120"/>
    </row>
    <row r="19" spans="1:25" x14ac:dyDescent="0.2">
      <c r="A19" s="120"/>
      <c r="B19" s="6">
        <v>17</v>
      </c>
      <c r="C19" s="18">
        <v>99.22</v>
      </c>
      <c r="D19" s="19">
        <v>99.21</v>
      </c>
      <c r="E19" s="19">
        <v>99.21</v>
      </c>
      <c r="F19" s="19">
        <v>99.2</v>
      </c>
      <c r="G19" s="23">
        <v>99.21</v>
      </c>
      <c r="H19" s="19">
        <v>99.2</v>
      </c>
      <c r="I19" s="19">
        <v>99.21</v>
      </c>
      <c r="J19" s="19">
        <v>99.22</v>
      </c>
      <c r="K19" s="19">
        <v>99.24</v>
      </c>
      <c r="L19" s="9">
        <f t="shared" si="0"/>
        <v>99.213333333333338</v>
      </c>
      <c r="M19" s="21">
        <f t="shared" si="1"/>
        <v>1.154700538379113E-2</v>
      </c>
      <c r="N19" s="503"/>
      <c r="O19" s="292" t="s">
        <v>36</v>
      </c>
      <c r="W19" s="56"/>
      <c r="X19" s="56"/>
      <c r="Y19" s="120"/>
    </row>
    <row r="20" spans="1:25" ht="15" thickBot="1" x14ac:dyDescent="0.25">
      <c r="A20" s="120"/>
      <c r="B20" s="7">
        <v>18</v>
      </c>
      <c r="C20" s="18">
        <v>99.22</v>
      </c>
      <c r="D20" s="19">
        <v>99.21</v>
      </c>
      <c r="E20" s="19">
        <v>99.21</v>
      </c>
      <c r="F20" s="19">
        <v>99.2</v>
      </c>
      <c r="G20" s="23">
        <v>99.21</v>
      </c>
      <c r="H20" s="19">
        <v>99.2</v>
      </c>
      <c r="I20" s="19">
        <v>99.21</v>
      </c>
      <c r="J20" s="19">
        <v>99.21</v>
      </c>
      <c r="K20" s="19">
        <v>99.23</v>
      </c>
      <c r="L20" s="9">
        <f t="shared" si="0"/>
        <v>99.211111111111123</v>
      </c>
      <c r="M20" s="21">
        <f t="shared" si="1"/>
        <v>8.7488976377913669E-3</v>
      </c>
      <c r="N20" s="503"/>
      <c r="W20" s="56"/>
      <c r="X20" s="56"/>
      <c r="Y20" s="120"/>
    </row>
    <row r="21" spans="1:25" x14ac:dyDescent="0.2">
      <c r="A21" s="120"/>
      <c r="B21" s="6">
        <v>19</v>
      </c>
      <c r="C21" s="18">
        <v>99.22</v>
      </c>
      <c r="D21" s="19">
        <v>99.21</v>
      </c>
      <c r="E21" s="19">
        <v>99.21</v>
      </c>
      <c r="F21" s="19">
        <v>99.2</v>
      </c>
      <c r="G21" s="23">
        <v>99.21</v>
      </c>
      <c r="H21" s="19">
        <v>99.08</v>
      </c>
      <c r="I21" s="19">
        <v>99.2</v>
      </c>
      <c r="J21" s="19">
        <v>99.21</v>
      </c>
      <c r="K21" s="19">
        <v>99.23</v>
      </c>
      <c r="L21" s="9">
        <f t="shared" si="0"/>
        <v>99.196666666666673</v>
      </c>
      <c r="M21" s="21">
        <f t="shared" si="1"/>
        <v>4.2163702135578365E-2</v>
      </c>
      <c r="N21" s="503"/>
      <c r="O21" s="63" t="s">
        <v>23</v>
      </c>
      <c r="S21" s="2" t="s">
        <v>7</v>
      </c>
      <c r="T21" s="2" t="s">
        <v>8</v>
      </c>
      <c r="U21" s="2" t="s">
        <v>9</v>
      </c>
      <c r="V21" s="2" t="s">
        <v>10</v>
      </c>
      <c r="W21" s="57" t="s">
        <v>11</v>
      </c>
      <c r="X21" s="58" t="s">
        <v>12</v>
      </c>
      <c r="Y21" s="120"/>
    </row>
    <row r="22" spans="1:25" ht="15" thickBot="1" x14ac:dyDescent="0.25">
      <c r="A22" s="120"/>
      <c r="B22" s="7">
        <v>20</v>
      </c>
      <c r="C22" s="18">
        <v>99.22</v>
      </c>
      <c r="D22" s="19">
        <v>99.21</v>
      </c>
      <c r="E22" s="19">
        <v>99.21</v>
      </c>
      <c r="F22" s="19">
        <v>99.2</v>
      </c>
      <c r="G22" s="23">
        <v>99.2</v>
      </c>
      <c r="H22" s="19">
        <v>98.96</v>
      </c>
      <c r="I22" s="19">
        <v>99.2</v>
      </c>
      <c r="J22" s="19">
        <v>99.21</v>
      </c>
      <c r="K22" s="19">
        <v>99.23</v>
      </c>
      <c r="L22" s="9">
        <f t="shared" si="0"/>
        <v>99.182222222222236</v>
      </c>
      <c r="M22" s="21">
        <f t="shared" si="1"/>
        <v>7.913108362117878E-2</v>
      </c>
      <c r="N22" s="503"/>
      <c r="O22" s="64">
        <f>MAX(C35:K35)</f>
        <v>0.21599999999997976</v>
      </c>
      <c r="S22" s="2" t="str">
        <f>indeter_MI!B16</f>
        <v>Поверка</v>
      </c>
      <c r="T22" s="2">
        <f>indeter_MI!C16</f>
        <v>0.1</v>
      </c>
      <c r="U22" s="2" t="str">
        <f>indeter_MI!D16</f>
        <v>Нормальное</v>
      </c>
      <c r="V22" s="2">
        <f>indeter_MI!E16</f>
        <v>2</v>
      </c>
      <c r="W22" s="59">
        <f>T22/V22</f>
        <v>0.05</v>
      </c>
      <c r="X22" s="59">
        <f t="shared" ref="X22:X29" si="4">W22*W22</f>
        <v>2.5000000000000005E-3</v>
      </c>
      <c r="Y22" s="120"/>
    </row>
    <row r="23" spans="1:25" x14ac:dyDescent="0.2">
      <c r="A23" s="120"/>
      <c r="B23" s="6">
        <v>21</v>
      </c>
      <c r="C23" s="18">
        <v>99.22</v>
      </c>
      <c r="D23" s="19">
        <v>99.21</v>
      </c>
      <c r="E23" s="19">
        <v>99.21</v>
      </c>
      <c r="F23" s="19">
        <v>99.2</v>
      </c>
      <c r="G23" s="23">
        <v>99.2</v>
      </c>
      <c r="H23" s="19">
        <v>98.91</v>
      </c>
      <c r="I23" s="19">
        <v>99.2</v>
      </c>
      <c r="J23" s="19">
        <v>99.21</v>
      </c>
      <c r="K23" s="19">
        <v>99.23</v>
      </c>
      <c r="L23" s="9">
        <f t="shared" si="0"/>
        <v>99.176666666666677</v>
      </c>
      <c r="M23" s="21">
        <f t="shared" si="1"/>
        <v>9.4751136023680058E-2</v>
      </c>
      <c r="N23" s="503"/>
      <c r="S23" s="2" t="str">
        <f>indeter_MI!B17</f>
        <v>Повторяемость*</v>
      </c>
      <c r="T23" s="2">
        <f>indeter_MI!C17</f>
        <v>0.01</v>
      </c>
      <c r="U23" s="2" t="str">
        <f>indeter_MI!D17</f>
        <v>Нормальное</v>
      </c>
      <c r="V23" s="2">
        <f>indeter_MI!E17</f>
        <v>1</v>
      </c>
      <c r="W23" s="59">
        <f t="shared" ref="W23:W28" si="5">T23/V23</f>
        <v>0.01</v>
      </c>
      <c r="X23" s="59">
        <f t="shared" si="4"/>
        <v>1E-4</v>
      </c>
      <c r="Y23" s="120"/>
    </row>
    <row r="24" spans="1:25" ht="15" thickBot="1" x14ac:dyDescent="0.25">
      <c r="A24" s="120"/>
      <c r="B24" s="7">
        <v>22</v>
      </c>
      <c r="C24" s="18">
        <v>99.22</v>
      </c>
      <c r="D24" s="19">
        <v>99.21</v>
      </c>
      <c r="E24" s="19">
        <v>99.2</v>
      </c>
      <c r="F24" s="19">
        <v>99.1</v>
      </c>
      <c r="G24" s="23">
        <v>99.2</v>
      </c>
      <c r="H24" s="19">
        <v>98.79</v>
      </c>
      <c r="I24" s="19">
        <v>99.2</v>
      </c>
      <c r="J24" s="19">
        <v>99.21</v>
      </c>
      <c r="K24" s="19">
        <v>99.22</v>
      </c>
      <c r="L24" s="9">
        <f t="shared" si="0"/>
        <v>99.15000000000002</v>
      </c>
      <c r="M24" s="21">
        <f t="shared" si="1"/>
        <v>0.13190905958272711</v>
      </c>
      <c r="N24" s="503"/>
      <c r="S24" s="2" t="str">
        <f>indeter_MI!B18</f>
        <v>Гистерезис</v>
      </c>
      <c r="T24" s="2">
        <f>indeter_MI!C18</f>
        <v>0.01</v>
      </c>
      <c r="U24" s="2" t="str">
        <f>indeter_MI!D18</f>
        <v>Прямоугольное</v>
      </c>
      <c r="V24" s="2">
        <f>indeter_MI!E18</f>
        <v>1.73</v>
      </c>
      <c r="W24" s="59">
        <f t="shared" si="5"/>
        <v>5.7803468208092491E-3</v>
      </c>
      <c r="X24" s="59">
        <f t="shared" si="4"/>
        <v>3.3412409368839592E-5</v>
      </c>
      <c r="Y24" s="120"/>
    </row>
    <row r="25" spans="1:25" x14ac:dyDescent="0.2">
      <c r="A25" s="120"/>
      <c r="B25" s="6">
        <v>23</v>
      </c>
      <c r="C25" s="18">
        <v>99.22</v>
      </c>
      <c r="D25" s="19">
        <v>99.21</v>
      </c>
      <c r="E25" s="19">
        <v>99.2</v>
      </c>
      <c r="F25" s="19">
        <v>98.96</v>
      </c>
      <c r="G25" s="23">
        <v>99.2</v>
      </c>
      <c r="H25" s="19">
        <v>98.69</v>
      </c>
      <c r="I25" s="19">
        <v>99.2</v>
      </c>
      <c r="J25" s="19">
        <v>99.21</v>
      </c>
      <c r="K25" s="19">
        <v>99.23</v>
      </c>
      <c r="L25" s="9">
        <f t="shared" si="0"/>
        <v>99.124444444444464</v>
      </c>
      <c r="M25" s="21">
        <f t="shared" si="1"/>
        <v>0.17250514395622654</v>
      </c>
      <c r="N25" s="503"/>
      <c r="S25" s="2" t="str">
        <f>indeter_MI!B19</f>
        <v>Влияние температуры</v>
      </c>
      <c r="T25" s="2">
        <f>indeter_MI!C19</f>
        <v>0.01</v>
      </c>
      <c r="U25" s="2" t="str">
        <f>indeter_MI!D19</f>
        <v>Прямоугольное</v>
      </c>
      <c r="V25" s="2">
        <f>indeter_MI!E19</f>
        <v>1.73</v>
      </c>
      <c r="W25" s="59">
        <f t="shared" si="5"/>
        <v>5.7803468208092491E-3</v>
      </c>
      <c r="X25" s="59">
        <f t="shared" si="4"/>
        <v>3.3412409368839592E-5</v>
      </c>
      <c r="Y25" s="120"/>
    </row>
    <row r="26" spans="1:25" ht="15" thickBot="1" x14ac:dyDescent="0.25">
      <c r="A26" s="120"/>
      <c r="B26" s="7">
        <v>24</v>
      </c>
      <c r="C26" s="18">
        <v>99.22</v>
      </c>
      <c r="D26" s="19">
        <v>99.21</v>
      </c>
      <c r="E26" s="19">
        <v>99.2</v>
      </c>
      <c r="F26" s="19">
        <v>98.83</v>
      </c>
      <c r="G26" s="23">
        <v>99.2</v>
      </c>
      <c r="H26" s="19">
        <v>98.58</v>
      </c>
      <c r="I26" s="19">
        <v>99.2</v>
      </c>
      <c r="J26" s="19">
        <v>99.21</v>
      </c>
      <c r="K26" s="19">
        <v>99.23</v>
      </c>
      <c r="L26" s="9">
        <f t="shared" si="0"/>
        <v>99.097777777777793</v>
      </c>
      <c r="M26" s="21">
        <f t="shared" si="1"/>
        <v>0.21826476163787817</v>
      </c>
      <c r="N26" s="503"/>
      <c r="S26" s="2" t="str">
        <f>indeter_MI!B20</f>
        <v>Дрейф*</v>
      </c>
      <c r="T26" s="2">
        <f>indeter_MI!C20</f>
        <v>0.1</v>
      </c>
      <c r="U26" s="2" t="str">
        <f>indeter_MI!D20</f>
        <v>Прямоугольное</v>
      </c>
      <c r="V26" s="2">
        <f>indeter_MI!E20</f>
        <v>1.73</v>
      </c>
      <c r="W26" s="59">
        <f t="shared" si="5"/>
        <v>5.7803468208092491E-2</v>
      </c>
      <c r="X26" s="59">
        <f t="shared" si="4"/>
        <v>3.3412409368839594E-3</v>
      </c>
      <c r="Y26" s="120"/>
    </row>
    <row r="27" spans="1:25" x14ac:dyDescent="0.2">
      <c r="A27" s="120"/>
      <c r="B27" s="6">
        <v>25</v>
      </c>
      <c r="C27" s="18">
        <v>99.22</v>
      </c>
      <c r="D27" s="19">
        <v>99.21</v>
      </c>
      <c r="E27" s="19">
        <v>99.2</v>
      </c>
      <c r="F27" s="19">
        <v>98.7</v>
      </c>
      <c r="G27" s="23">
        <v>99.2</v>
      </c>
      <c r="H27" s="19">
        <v>98.52</v>
      </c>
      <c r="I27" s="19">
        <v>99.2</v>
      </c>
      <c r="J27" s="19">
        <v>99.21</v>
      </c>
      <c r="K27" s="19">
        <v>99.31</v>
      </c>
      <c r="L27" s="9">
        <f t="shared" si="0"/>
        <v>99.085555555555558</v>
      </c>
      <c r="M27" s="21">
        <f t="shared" si="1"/>
        <v>0.25974821616802174</v>
      </c>
      <c r="N27" s="503"/>
      <c r="S27" s="2" t="str">
        <f>indeter_MI!B21</f>
        <v>Линейность</v>
      </c>
      <c r="T27" s="2">
        <f>indeter_MI!C21</f>
        <v>0.02</v>
      </c>
      <c r="U27" s="2" t="str">
        <f>indeter_MI!D21</f>
        <v>Прямоугольное</v>
      </c>
      <c r="V27" s="2">
        <f>indeter_MI!E21</f>
        <v>1.73</v>
      </c>
      <c r="W27" s="59">
        <f t="shared" si="5"/>
        <v>1.1560693641618498E-2</v>
      </c>
      <c r="X27" s="59">
        <f t="shared" si="4"/>
        <v>1.3364963747535837E-4</v>
      </c>
      <c r="Y27" s="120"/>
    </row>
    <row r="28" spans="1:25" ht="15" thickBot="1" x14ac:dyDescent="0.25">
      <c r="A28" s="120"/>
      <c r="B28" s="7">
        <v>26</v>
      </c>
      <c r="C28" s="18">
        <v>99.22</v>
      </c>
      <c r="D28" s="19">
        <v>99.21</v>
      </c>
      <c r="E28" s="19">
        <v>99.2</v>
      </c>
      <c r="F28" s="19">
        <v>98.59</v>
      </c>
      <c r="G28" s="23">
        <v>99.2</v>
      </c>
      <c r="H28" s="19">
        <v>98.48</v>
      </c>
      <c r="I28" s="19">
        <v>99.16</v>
      </c>
      <c r="J28" s="19">
        <v>99.21</v>
      </c>
      <c r="K28" s="19">
        <v>99.22</v>
      </c>
      <c r="L28" s="9">
        <f t="shared" si="0"/>
        <v>99.054444444444442</v>
      </c>
      <c r="M28" s="21">
        <f t="shared" si="1"/>
        <v>0.27936877703180368</v>
      </c>
      <c r="N28" s="503"/>
      <c r="S28" s="2" t="str">
        <f>indeter_MI!B22</f>
        <v>Разрешающая способность</v>
      </c>
      <c r="T28" s="2">
        <f>indeter_MI!C22</f>
        <v>0.01</v>
      </c>
      <c r="U28" s="2" t="str">
        <f>indeter_MI!D22</f>
        <v>Прямоугольное</v>
      </c>
      <c r="V28" s="2">
        <f>indeter_MI!E22</f>
        <v>1.73</v>
      </c>
      <c r="W28" s="59">
        <f t="shared" si="5"/>
        <v>5.7803468208092491E-3</v>
      </c>
      <c r="X28" s="59">
        <f t="shared" si="4"/>
        <v>3.3412409368839592E-5</v>
      </c>
      <c r="Y28" s="120"/>
    </row>
    <row r="29" spans="1:25" x14ac:dyDescent="0.2">
      <c r="A29" s="120"/>
      <c r="B29" s="6">
        <v>27</v>
      </c>
      <c r="C29" s="18">
        <v>99.22</v>
      </c>
      <c r="D29" s="19">
        <v>99.21</v>
      </c>
      <c r="E29" s="19">
        <v>99.2</v>
      </c>
      <c r="F29" s="19">
        <v>98.54</v>
      </c>
      <c r="G29" s="23">
        <v>99.2</v>
      </c>
      <c r="H29" s="19">
        <v>98.48</v>
      </c>
      <c r="I29" s="19">
        <v>99.14</v>
      </c>
      <c r="J29" s="19">
        <v>99.21</v>
      </c>
      <c r="K29" s="19">
        <v>99.22</v>
      </c>
      <c r="L29" s="9">
        <f t="shared" si="0"/>
        <v>99.046666666666681</v>
      </c>
      <c r="M29" s="21">
        <f t="shared" si="1"/>
        <v>0.288097205817756</v>
      </c>
      <c r="N29" s="503"/>
      <c r="S29" s="48" t="s">
        <v>21</v>
      </c>
      <c r="T29" s="49">
        <f>O22</f>
        <v>0.21599999999997976</v>
      </c>
      <c r="U29" s="49" t="s">
        <v>13</v>
      </c>
      <c r="V29" s="16">
        <v>1</v>
      </c>
      <c r="W29" s="60">
        <f>T29/V29</f>
        <v>0.21599999999997976</v>
      </c>
      <c r="X29" s="60">
        <f t="shared" si="4"/>
        <v>4.665599999999126E-2</v>
      </c>
      <c r="Y29" s="120"/>
    </row>
    <row r="30" spans="1:25" ht="15" thickBot="1" x14ac:dyDescent="0.25">
      <c r="A30" s="120"/>
      <c r="B30" s="7">
        <v>28</v>
      </c>
      <c r="C30" s="18">
        <v>99.21</v>
      </c>
      <c r="D30" s="19">
        <v>99.21</v>
      </c>
      <c r="E30" s="19">
        <v>99.2</v>
      </c>
      <c r="F30" s="19">
        <v>98.55</v>
      </c>
      <c r="G30" s="23">
        <v>99.18</v>
      </c>
      <c r="H30" s="19">
        <v>98.51</v>
      </c>
      <c r="I30" s="19">
        <v>99.12</v>
      </c>
      <c r="J30" s="19">
        <v>99.21</v>
      </c>
      <c r="K30" s="19">
        <v>99.23</v>
      </c>
      <c r="L30" s="9">
        <f t="shared" si="0"/>
        <v>99.046666666666681</v>
      </c>
      <c r="M30" s="21">
        <f t="shared" si="1"/>
        <v>0.27788886667555035</v>
      </c>
      <c r="N30" s="503"/>
      <c r="X30" s="56"/>
      <c r="Y30" s="120"/>
    </row>
    <row r="31" spans="1:25" ht="15" thickBot="1" x14ac:dyDescent="0.25">
      <c r="A31" s="120"/>
      <c r="B31" s="8">
        <v>29</v>
      </c>
      <c r="C31" s="18">
        <v>99.21</v>
      </c>
      <c r="D31" s="19">
        <v>99.21</v>
      </c>
      <c r="E31" s="19">
        <v>99.2</v>
      </c>
      <c r="F31" s="19">
        <v>98.55</v>
      </c>
      <c r="G31" s="23">
        <v>99.18</v>
      </c>
      <c r="H31" s="19">
        <v>98.54</v>
      </c>
      <c r="I31" s="19">
        <v>99.07</v>
      </c>
      <c r="J31" s="19">
        <v>99.21</v>
      </c>
      <c r="K31" s="19">
        <v>99.22</v>
      </c>
      <c r="L31" s="9">
        <f t="shared" si="0"/>
        <v>99.043333333333351</v>
      </c>
      <c r="M31" s="21">
        <f t="shared" si="1"/>
        <v>0.26981475126463922</v>
      </c>
      <c r="N31" s="503"/>
      <c r="S31" s="35" t="s">
        <v>22</v>
      </c>
      <c r="U31" s="41" t="s">
        <v>82</v>
      </c>
      <c r="V31" s="41"/>
      <c r="W31" s="41" t="s">
        <v>83</v>
      </c>
      <c r="X31" s="57"/>
      <c r="Y31" s="120"/>
    </row>
    <row r="32" spans="1:25" ht="15" thickBot="1" x14ac:dyDescent="0.25">
      <c r="A32" s="120"/>
      <c r="B32" s="8">
        <v>30</v>
      </c>
      <c r="C32" s="18">
        <v>99.21</v>
      </c>
      <c r="D32" s="19">
        <v>99.21</v>
      </c>
      <c r="E32" s="19">
        <v>99.2</v>
      </c>
      <c r="F32" s="19">
        <v>98.55</v>
      </c>
      <c r="G32" s="23">
        <v>99.18</v>
      </c>
      <c r="H32" s="19">
        <v>98.54</v>
      </c>
      <c r="I32" s="19">
        <v>99.07</v>
      </c>
      <c r="J32" s="19">
        <v>99.21</v>
      </c>
      <c r="K32" s="19">
        <v>99.22</v>
      </c>
      <c r="L32" s="9">
        <f t="shared" si="0"/>
        <v>99.043333333333351</v>
      </c>
      <c r="M32" s="21">
        <f t="shared" si="1"/>
        <v>0.26981475126463922</v>
      </c>
      <c r="N32" s="503"/>
      <c r="S32" s="42">
        <f>SUM(X22:X29)</f>
        <v>5.2831127802457099E-2</v>
      </c>
      <c r="V32" s="72">
        <f>SQRT(S32)</f>
        <v>0.22985022906766289</v>
      </c>
      <c r="W32" s="65"/>
      <c r="X32" s="72">
        <f>V32*2</f>
        <v>0.45970045813532578</v>
      </c>
      <c r="Y32" s="120"/>
    </row>
    <row r="33" spans="1:25" ht="19.5" thickBot="1" x14ac:dyDescent="0.4">
      <c r="A33" s="120"/>
      <c r="B33" s="93" t="s">
        <v>64</v>
      </c>
      <c r="C33" s="30">
        <f>AVERAGE(C3:C32)</f>
        <v>99.22233333333331</v>
      </c>
      <c r="D33" s="31">
        <f t="shared" ref="D33:K33" si="6">AVERAGE(D3:D32)</f>
        <v>99.215000000000018</v>
      </c>
      <c r="E33" s="31">
        <f t="shared" si="6"/>
        <v>99.206999999999951</v>
      </c>
      <c r="F33" s="31">
        <f t="shared" si="6"/>
        <v>99.057666666666691</v>
      </c>
      <c r="G33" s="31">
        <f t="shared" si="6"/>
        <v>99.204333333333295</v>
      </c>
      <c r="H33" s="31">
        <f t="shared" si="6"/>
        <v>98.994000000000014</v>
      </c>
      <c r="I33" s="31">
        <f t="shared" si="6"/>
        <v>99.191333333333333</v>
      </c>
      <c r="J33" s="31">
        <f t="shared" si="6"/>
        <v>99.215666666666692</v>
      </c>
      <c r="K33" s="31">
        <f t="shared" si="6"/>
        <v>99.236333333333292</v>
      </c>
      <c r="N33" s="503"/>
      <c r="S33" s="42">
        <f>ROUND(S32,8)</f>
        <v>5.2831129999999997E-2</v>
      </c>
      <c r="V33" s="72">
        <f>ROUND(V32,3)</f>
        <v>0.23</v>
      </c>
      <c r="W33" s="65"/>
      <c r="X33" s="72">
        <f>ROUND(X32,3)</f>
        <v>0.46</v>
      </c>
      <c r="Y33" s="120"/>
    </row>
    <row r="34" spans="1:25" ht="19.5" thickBot="1" x14ac:dyDescent="0.4">
      <c r="A34" s="120"/>
      <c r="B34" s="93" t="s">
        <v>39</v>
      </c>
      <c r="C34" s="27">
        <f>_xlfn.STDEV.P(C3:C32)</f>
        <v>6.1553951042096133E-3</v>
      </c>
      <c r="D34" s="22">
        <f t="shared" ref="D34:K34" si="7">_xlfn.STDEV.P(D3:D32)</f>
        <v>5.0000000000025562E-3</v>
      </c>
      <c r="E34" s="22">
        <f t="shared" si="7"/>
        <v>4.5825756949516719E-3</v>
      </c>
      <c r="F34" s="22">
        <f t="shared" si="7"/>
        <v>0.25321510399043728</v>
      </c>
      <c r="G34" s="22">
        <f t="shared" si="7"/>
        <v>9.1954094827512104E-3</v>
      </c>
      <c r="H34" s="22">
        <f t="shared" si="7"/>
        <v>0.29117692216245128</v>
      </c>
      <c r="I34" s="22">
        <f t="shared" si="7"/>
        <v>3.8706875645318981E-2</v>
      </c>
      <c r="J34" s="22">
        <f t="shared" si="7"/>
        <v>4.9553562491087026E-3</v>
      </c>
      <c r="K34" s="22">
        <f t="shared" si="7"/>
        <v>1.5595583420385598E-2</v>
      </c>
      <c r="N34" s="503"/>
      <c r="S34" s="66"/>
      <c r="T34" s="66"/>
      <c r="U34" s="66"/>
      <c r="V34" s="66"/>
      <c r="W34" s="66"/>
      <c r="X34" s="66"/>
      <c r="Y34" s="124"/>
    </row>
    <row r="35" spans="1:25" ht="19.5" thickBot="1" x14ac:dyDescent="0.4">
      <c r="A35" s="120"/>
      <c r="B35" s="93" t="s">
        <v>65</v>
      </c>
      <c r="C35" s="11">
        <f>MAX(C3:C32)-C33</f>
        <v>7.6666666666937999E-3</v>
      </c>
      <c r="D35" s="12">
        <f t="shared" ref="D35:K35" si="8">MAX(D3:D32)-D33</f>
        <v>4.9999999999812417E-3</v>
      </c>
      <c r="E35" s="12">
        <f t="shared" si="8"/>
        <v>3.0000000000427463E-3</v>
      </c>
      <c r="F35" s="12">
        <f t="shared" si="8"/>
        <v>0.15233333333330279</v>
      </c>
      <c r="G35" s="24">
        <f t="shared" si="8"/>
        <v>5.6666666666984611E-3</v>
      </c>
      <c r="H35" s="12">
        <f t="shared" si="8"/>
        <v>0.21599999999997976</v>
      </c>
      <c r="I35" s="12">
        <f t="shared" si="8"/>
        <v>1.8666666666661058E-2</v>
      </c>
      <c r="J35" s="12">
        <f t="shared" si="8"/>
        <v>4.3333333333066548E-3</v>
      </c>
      <c r="K35" s="12">
        <f t="shared" si="8"/>
        <v>7.3666666666710512E-2</v>
      </c>
      <c r="N35" s="503"/>
      <c r="Y35" s="120"/>
    </row>
    <row r="36" spans="1:25" ht="19.5" thickBot="1" x14ac:dyDescent="0.4">
      <c r="A36" s="120"/>
      <c r="B36" s="93" t="s">
        <v>66</v>
      </c>
      <c r="C36" s="11">
        <f>C33-MIN(C3:C32)</f>
        <v>1.2333333333316432E-2</v>
      </c>
      <c r="D36" s="12">
        <f t="shared" ref="D36:K36" si="9">D33-MIN(D3:D32)</f>
        <v>5.0000000000238742E-3</v>
      </c>
      <c r="E36" s="12">
        <f t="shared" si="9"/>
        <v>6.9999999999481588E-3</v>
      </c>
      <c r="F36" s="12">
        <f t="shared" si="9"/>
        <v>0.5176666666666847</v>
      </c>
      <c r="G36" s="24">
        <f t="shared" si="9"/>
        <v>2.4333333333288465E-2</v>
      </c>
      <c r="H36" s="12">
        <f t="shared" si="9"/>
        <v>0.51400000000001</v>
      </c>
      <c r="I36" s="12">
        <f t="shared" si="9"/>
        <v>0.12133333333333951</v>
      </c>
      <c r="J36" s="12">
        <f t="shared" si="9"/>
        <v>5.6666666666984611E-3</v>
      </c>
      <c r="K36" s="12">
        <f t="shared" si="9"/>
        <v>1.6333333333292899E-2</v>
      </c>
      <c r="N36" s="503"/>
      <c r="Y36" s="120"/>
    </row>
    <row r="37" spans="1:25" ht="15.75" thickBot="1" x14ac:dyDescent="0.25">
      <c r="A37" s="120"/>
      <c r="B37" s="94" t="s">
        <v>37</v>
      </c>
      <c r="C37" s="14">
        <f>(C35+C36)/2</f>
        <v>1.0000000000005116E-2</v>
      </c>
      <c r="D37" s="15">
        <f t="shared" ref="D37:K37" si="10">(D35+D36)/2</f>
        <v>5.000000000002558E-3</v>
      </c>
      <c r="E37" s="15">
        <f t="shared" si="10"/>
        <v>4.9999999999954525E-3</v>
      </c>
      <c r="F37" s="15">
        <f t="shared" si="10"/>
        <v>0.33499999999999375</v>
      </c>
      <c r="G37" s="15">
        <f t="shared" si="10"/>
        <v>1.4999999999993463E-2</v>
      </c>
      <c r="H37" s="15">
        <f t="shared" si="10"/>
        <v>0.36499999999999488</v>
      </c>
      <c r="I37" s="15">
        <f t="shared" si="10"/>
        <v>7.0000000000000284E-2</v>
      </c>
      <c r="J37" s="15">
        <f t="shared" si="10"/>
        <v>5.000000000002558E-3</v>
      </c>
      <c r="K37" s="15">
        <f t="shared" si="10"/>
        <v>4.5000000000001705E-2</v>
      </c>
      <c r="N37" s="503"/>
      <c r="Y37" s="120"/>
    </row>
    <row r="38" spans="1:25" ht="19.5" thickBot="1" x14ac:dyDescent="0.4">
      <c r="A38" s="120"/>
      <c r="B38" s="95" t="s">
        <v>67</v>
      </c>
      <c r="C38" s="43">
        <f>C33-$G33</f>
        <v>1.8000000000014893E-2</v>
      </c>
      <c r="D38" s="13">
        <f t="shared" ref="D38:K38" si="11">D33-$G33</f>
        <v>1.0666666666722335E-2</v>
      </c>
      <c r="E38" s="13">
        <f t="shared" si="11"/>
        <v>2.6666666666557148E-3</v>
      </c>
      <c r="F38" s="13">
        <f t="shared" si="11"/>
        <v>-0.14666666666660433</v>
      </c>
      <c r="G38" s="13">
        <f>G33-$G33</f>
        <v>0</v>
      </c>
      <c r="H38" s="13">
        <f t="shared" si="11"/>
        <v>-0.2103333333332813</v>
      </c>
      <c r="I38" s="13">
        <f t="shared" si="11"/>
        <v>-1.2999999999962597E-2</v>
      </c>
      <c r="J38" s="13">
        <f t="shared" si="11"/>
        <v>1.1333333333396922E-2</v>
      </c>
      <c r="K38" s="13">
        <f t="shared" si="11"/>
        <v>3.1999999999996476E-2</v>
      </c>
      <c r="N38" s="503"/>
      <c r="Y38" s="120"/>
    </row>
    <row r="39" spans="1:25" ht="18.75" x14ac:dyDescent="0.35">
      <c r="A39" s="120"/>
      <c r="B39" s="99" t="s">
        <v>68</v>
      </c>
      <c r="C39" s="45">
        <v>98</v>
      </c>
      <c r="N39" s="503"/>
      <c r="Y39" s="120"/>
    </row>
    <row r="40" spans="1:25" ht="18.75" x14ac:dyDescent="0.2">
      <c r="A40" s="120"/>
      <c r="B40" s="100" t="s">
        <v>69</v>
      </c>
      <c r="C40" s="44">
        <f>AVERAGE(C3:K32)</f>
        <v>99.171518518518354</v>
      </c>
      <c r="N40" s="503"/>
      <c r="Y40" s="120"/>
    </row>
    <row r="41" spans="1:25" ht="18.75" x14ac:dyDescent="0.2">
      <c r="A41" s="120"/>
      <c r="B41" s="101" t="s">
        <v>70</v>
      </c>
      <c r="C41" s="28">
        <f>C40-C39</f>
        <v>1.1715185185183543</v>
      </c>
      <c r="N41" s="503"/>
      <c r="Y41" s="120"/>
    </row>
    <row r="42" spans="1:25" ht="18.75" x14ac:dyDescent="0.2">
      <c r="A42" s="120"/>
      <c r="B42" s="102" t="s">
        <v>71</v>
      </c>
      <c r="C42" s="29">
        <f>MAX(C33:K33)-MIN(C33:K33)</f>
        <v>0.24233333333327778</v>
      </c>
      <c r="N42" s="503"/>
      <c r="Y42" s="120"/>
    </row>
    <row r="43" spans="1:25" ht="18.75" x14ac:dyDescent="0.2">
      <c r="A43" s="120"/>
      <c r="B43" s="103" t="s">
        <v>72</v>
      </c>
      <c r="C43" s="32">
        <f>MAX(C38:K38)</f>
        <v>3.1999999999996476E-2</v>
      </c>
      <c r="N43" s="503"/>
      <c r="Y43" s="120"/>
    </row>
    <row r="44" spans="1:25" x14ac:dyDescent="0.2">
      <c r="A44" s="120"/>
      <c r="B44" s="104"/>
      <c r="C44" s="32">
        <f>MIN(C38:K38)</f>
        <v>-0.2103333333332813</v>
      </c>
      <c r="D44" s="65"/>
      <c r="N44" s="503"/>
      <c r="Y44" s="120"/>
    </row>
    <row r="45" spans="1:25" ht="18.75" x14ac:dyDescent="0.2">
      <c r="A45" s="120"/>
      <c r="B45" s="105" t="s">
        <v>50</v>
      </c>
      <c r="C45" s="33">
        <f>AVERAGE(C37:K37)</f>
        <v>9.4999999999998863E-2</v>
      </c>
      <c r="N45" s="503"/>
      <c r="Y45" s="120"/>
    </row>
    <row r="46" spans="1:25" ht="18.75" x14ac:dyDescent="0.35">
      <c r="A46" s="120"/>
      <c r="B46" s="180" t="s">
        <v>259</v>
      </c>
      <c r="C46" s="181">
        <f>_xlfn.STDEV.P(C3:K32)</f>
        <v>0.15226533137436651</v>
      </c>
      <c r="N46" s="503"/>
      <c r="Y46" s="120"/>
    </row>
    <row r="47" spans="1:25" x14ac:dyDescent="0.2">
      <c r="A47" s="120"/>
      <c r="B47" s="120"/>
      <c r="C47" s="120"/>
      <c r="D47" s="120"/>
      <c r="E47" s="120"/>
      <c r="F47" s="120"/>
      <c r="G47" s="120"/>
      <c r="H47" s="120"/>
      <c r="I47" s="120"/>
      <c r="J47" s="120"/>
      <c r="K47" s="120"/>
      <c r="L47" s="120"/>
      <c r="M47" s="120"/>
      <c r="N47" s="120"/>
      <c r="O47" s="120"/>
      <c r="P47" s="120"/>
      <c r="Q47" s="120"/>
      <c r="R47" s="120"/>
      <c r="S47" s="120"/>
      <c r="T47" s="120"/>
      <c r="U47" s="120"/>
      <c r="V47" s="120"/>
      <c r="W47" s="120"/>
      <c r="X47" s="120"/>
      <c r="Y47" s="120"/>
    </row>
    <row r="48" spans="1:25" ht="15" thickBot="1" x14ac:dyDescent="0.25">
      <c r="A48" s="123"/>
      <c r="B48" s="123"/>
      <c r="C48" s="123"/>
      <c r="D48" s="123"/>
      <c r="E48" s="123"/>
      <c r="F48" s="123"/>
      <c r="G48" s="123"/>
      <c r="H48" s="123"/>
      <c r="I48" s="123"/>
      <c r="J48" s="123"/>
      <c r="K48" s="123"/>
      <c r="L48" s="123"/>
      <c r="M48" s="123"/>
      <c r="N48" s="123"/>
      <c r="O48" s="123" t="s">
        <v>6</v>
      </c>
      <c r="P48" s="123"/>
      <c r="Q48" s="123"/>
      <c r="R48" s="123"/>
      <c r="S48" s="123"/>
      <c r="T48" s="123"/>
      <c r="U48" s="123"/>
      <c r="V48" s="123"/>
      <c r="W48" s="123"/>
      <c r="X48" s="123"/>
      <c r="Y48" s="123"/>
    </row>
    <row r="49" spans="1:25" ht="19.5" thickBot="1" x14ac:dyDescent="0.3">
      <c r="A49" s="123"/>
      <c r="B49" s="121" t="s">
        <v>31</v>
      </c>
      <c r="C49" s="3">
        <v>1</v>
      </c>
      <c r="D49" s="3">
        <v>2</v>
      </c>
      <c r="E49" s="3">
        <v>3</v>
      </c>
      <c r="F49" s="3">
        <v>4</v>
      </c>
      <c r="G49" s="4">
        <v>5</v>
      </c>
      <c r="H49" s="3">
        <v>6</v>
      </c>
      <c r="I49" s="3">
        <v>7</v>
      </c>
      <c r="J49" s="3">
        <v>8</v>
      </c>
      <c r="K49" s="5">
        <v>9</v>
      </c>
      <c r="L49" s="1" t="s">
        <v>1</v>
      </c>
      <c r="M49" s="183" t="s">
        <v>260</v>
      </c>
      <c r="N49" s="501" t="s">
        <v>85</v>
      </c>
      <c r="O49" s="293" t="s">
        <v>24</v>
      </c>
      <c r="Y49" s="123"/>
    </row>
    <row r="50" spans="1:25" x14ac:dyDescent="0.2">
      <c r="A50" s="123"/>
      <c r="B50" s="6">
        <v>1</v>
      </c>
      <c r="C50" s="68">
        <v>39.69003</v>
      </c>
      <c r="D50" s="9">
        <v>39.890059999999998</v>
      </c>
      <c r="E50" s="9">
        <v>39.800939999999997</v>
      </c>
      <c r="F50" s="9">
        <v>40.029969999999999</v>
      </c>
      <c r="G50" s="67">
        <v>39.7866</v>
      </c>
      <c r="H50" s="9">
        <v>39.702770000000001</v>
      </c>
      <c r="I50" s="9">
        <v>39.728859999999997</v>
      </c>
      <c r="J50" s="9">
        <v>39.519660000000002</v>
      </c>
      <c r="K50" s="9">
        <v>39.863959999999999</v>
      </c>
      <c r="L50" s="9">
        <f>AVERAGE(C50:K50)</f>
        <v>39.779205555555556</v>
      </c>
      <c r="M50" s="73">
        <f>_xlfn.STDEV.P(C50:K50)</f>
        <v>0.13604539210711991</v>
      </c>
      <c r="N50" s="502"/>
      <c r="O50" s="292" t="s">
        <v>4</v>
      </c>
      <c r="S50" s="2" t="s">
        <v>7</v>
      </c>
      <c r="T50" s="2" t="s">
        <v>8</v>
      </c>
      <c r="U50" s="2" t="s">
        <v>9</v>
      </c>
      <c r="V50" s="2" t="s">
        <v>10</v>
      </c>
      <c r="W50" s="41" t="s">
        <v>11</v>
      </c>
      <c r="X50" s="46" t="s">
        <v>12</v>
      </c>
      <c r="Y50" s="123"/>
    </row>
    <row r="51" spans="1:25" ht="15" thickBot="1" x14ac:dyDescent="0.25">
      <c r="A51" s="123"/>
      <c r="B51" s="7">
        <v>2</v>
      </c>
      <c r="C51" s="68">
        <v>39.681750000000001</v>
      </c>
      <c r="D51" s="9">
        <v>39.884929999999997</v>
      </c>
      <c r="E51" s="9">
        <v>39.797649999999997</v>
      </c>
      <c r="F51" s="9">
        <v>40.025069999999999</v>
      </c>
      <c r="G51" s="67">
        <v>39.777160000000002</v>
      </c>
      <c r="H51" s="9">
        <v>39.693420000000003</v>
      </c>
      <c r="I51" s="9">
        <v>39.72146</v>
      </c>
      <c r="J51" s="9">
        <v>39.514279999999999</v>
      </c>
      <c r="K51" s="9">
        <v>39.856560000000002</v>
      </c>
      <c r="L51" s="9">
        <f t="shared" ref="L51:L79" si="12">AVERAGE(C51:K51)</f>
        <v>39.772475555555552</v>
      </c>
      <c r="M51" s="21">
        <f t="shared" ref="M51:M79" si="13">_xlfn.STDEV.P(C51:K51)</f>
        <v>0.13659521913799874</v>
      </c>
      <c r="N51" s="502"/>
      <c r="O51" s="17">
        <f>AVERAGE(C81:K81)</f>
        <v>6.2514709150153147E-3</v>
      </c>
      <c r="S51" s="2" t="str">
        <f>indeter_MI!B16</f>
        <v>Поверка</v>
      </c>
      <c r="T51" s="2">
        <f>indeter_MI!C16</f>
        <v>0.1</v>
      </c>
      <c r="U51" s="2" t="str">
        <f>indeter_MI!D16</f>
        <v>Нормальное</v>
      </c>
      <c r="V51" s="2">
        <f>indeter_MI!E16</f>
        <v>2</v>
      </c>
      <c r="W51" s="59">
        <f>T51/V51</f>
        <v>0.05</v>
      </c>
      <c r="X51" s="52">
        <f t="shared" ref="X51:X56" si="14">W51*W51</f>
        <v>2.5000000000000005E-3</v>
      </c>
      <c r="Y51" s="123"/>
    </row>
    <row r="52" spans="1:25" x14ac:dyDescent="0.2">
      <c r="A52" s="123"/>
      <c r="B52" s="6">
        <v>3</v>
      </c>
      <c r="C52" s="68">
        <v>39.674460000000003</v>
      </c>
      <c r="D52" s="9">
        <v>39.876220000000004</v>
      </c>
      <c r="E52" s="9">
        <v>39.790990000000001</v>
      </c>
      <c r="F52" s="9">
        <v>40.015439999999998</v>
      </c>
      <c r="G52" s="67">
        <v>39.765549999999998</v>
      </c>
      <c r="H52" s="9">
        <v>39.684570000000001</v>
      </c>
      <c r="I52" s="9">
        <v>39.711449999999999</v>
      </c>
      <c r="J52" s="9">
        <v>39.508580000000002</v>
      </c>
      <c r="K52" s="9">
        <v>39.849730000000001</v>
      </c>
      <c r="L52" s="9">
        <f t="shared" si="12"/>
        <v>39.764109999999995</v>
      </c>
      <c r="M52" s="21">
        <f t="shared" si="13"/>
        <v>0.13590160002328416</v>
      </c>
      <c r="N52" s="502"/>
      <c r="O52" s="292" t="s">
        <v>5</v>
      </c>
      <c r="S52" s="2" t="str">
        <f>indeter_MI!B17</f>
        <v>Повторяемость*</v>
      </c>
      <c r="T52" s="2">
        <f>indeter_MI!C17</f>
        <v>0.01</v>
      </c>
      <c r="U52" s="2" t="str">
        <f>indeter_MI!D17</f>
        <v>Нормальное</v>
      </c>
      <c r="V52" s="2">
        <f>indeter_MI!E17</f>
        <v>1</v>
      </c>
      <c r="W52" s="59">
        <f t="shared" ref="W52:W60" si="15">T52/V52</f>
        <v>0.01</v>
      </c>
      <c r="X52" s="52">
        <f t="shared" si="14"/>
        <v>1E-4</v>
      </c>
      <c r="Y52" s="123"/>
    </row>
    <row r="53" spans="1:25" ht="15" thickBot="1" x14ac:dyDescent="0.25">
      <c r="A53" s="123"/>
      <c r="B53" s="7">
        <v>4</v>
      </c>
      <c r="C53" s="68">
        <v>39.672179999999997</v>
      </c>
      <c r="D53" s="9">
        <v>39.870190000000001</v>
      </c>
      <c r="E53" s="9">
        <v>39.786540000000002</v>
      </c>
      <c r="F53" s="9">
        <v>40.011139999999997</v>
      </c>
      <c r="G53" s="67">
        <v>39.761249999999997</v>
      </c>
      <c r="H53" s="9">
        <v>39.679839999999999</v>
      </c>
      <c r="I53" s="9">
        <v>39.706609999999998</v>
      </c>
      <c r="J53" s="9">
        <v>39.504309999999997</v>
      </c>
      <c r="K53" s="9">
        <v>39.84554</v>
      </c>
      <c r="L53" s="9">
        <f t="shared" si="12"/>
        <v>39.75973333333333</v>
      </c>
      <c r="M53" s="21">
        <f t="shared" si="13"/>
        <v>0.1356471597769586</v>
      </c>
      <c r="N53" s="502"/>
      <c r="O53" s="17">
        <f>O51/(SQRT(270))</f>
        <v>3.8045240419348324E-4</v>
      </c>
      <c r="S53" s="2" t="str">
        <f>indeter_MI!B18</f>
        <v>Гистерезис</v>
      </c>
      <c r="T53" s="2">
        <f>indeter_MI!C18</f>
        <v>0.01</v>
      </c>
      <c r="U53" s="2" t="str">
        <f>indeter_MI!D18</f>
        <v>Прямоугольное</v>
      </c>
      <c r="V53" s="2">
        <f>indeter_MI!E18</f>
        <v>1.73</v>
      </c>
      <c r="W53" s="59">
        <f t="shared" si="15"/>
        <v>5.7803468208092491E-3</v>
      </c>
      <c r="X53" s="52">
        <f t="shared" si="14"/>
        <v>3.3412409368839592E-5</v>
      </c>
      <c r="Y53" s="123"/>
    </row>
    <row r="54" spans="1:25" x14ac:dyDescent="0.2">
      <c r="A54" s="123"/>
      <c r="B54" s="6">
        <v>5</v>
      </c>
      <c r="C54" s="68">
        <v>39.670569999999998</v>
      </c>
      <c r="D54" s="9">
        <v>39.868899999999996</v>
      </c>
      <c r="E54" s="9">
        <v>39.783459999999998</v>
      </c>
      <c r="F54" s="9">
        <v>40.008620000000001</v>
      </c>
      <c r="G54" s="67">
        <v>39.760420000000003</v>
      </c>
      <c r="H54" s="9">
        <v>39.680489999999999</v>
      </c>
      <c r="I54" s="9">
        <v>39.70449</v>
      </c>
      <c r="J54" s="9">
        <v>39.502130000000001</v>
      </c>
      <c r="K54" s="9">
        <v>39.844569999999997</v>
      </c>
      <c r="L54" s="9">
        <f t="shared" si="12"/>
        <v>39.758183333333335</v>
      </c>
      <c r="M54" s="21">
        <f t="shared" si="13"/>
        <v>0.13549985928651936</v>
      </c>
      <c r="N54" s="502"/>
      <c r="S54" s="2" t="str">
        <f>indeter_MI!B19</f>
        <v>Влияние температуры</v>
      </c>
      <c r="T54" s="2">
        <f>indeter_MI!C19</f>
        <v>0.01</v>
      </c>
      <c r="U54" s="2" t="str">
        <f>indeter_MI!D19</f>
        <v>Прямоугольное</v>
      </c>
      <c r="V54" s="2">
        <f>indeter_MI!E19</f>
        <v>1.73</v>
      </c>
      <c r="W54" s="59">
        <f t="shared" si="15"/>
        <v>5.7803468208092491E-3</v>
      </c>
      <c r="X54" s="52">
        <f t="shared" si="14"/>
        <v>3.3412409368839592E-5</v>
      </c>
      <c r="Y54" s="123"/>
    </row>
    <row r="55" spans="1:25" ht="15" thickBot="1" x14ac:dyDescent="0.25">
      <c r="A55" s="123"/>
      <c r="B55" s="7">
        <v>6</v>
      </c>
      <c r="C55" s="68">
        <v>39.669589999999999</v>
      </c>
      <c r="D55" s="9">
        <v>39.870109999999997</v>
      </c>
      <c r="E55" s="9">
        <v>39.783029999999997</v>
      </c>
      <c r="F55" s="9">
        <v>40.005470000000003</v>
      </c>
      <c r="G55" s="67">
        <v>39.760249999999999</v>
      </c>
      <c r="H55" s="9">
        <v>39.679079999999999</v>
      </c>
      <c r="I55" s="9">
        <v>39.703200000000002</v>
      </c>
      <c r="J55" s="9">
        <v>39.500999999999998</v>
      </c>
      <c r="K55" s="9">
        <v>39.843069999999997</v>
      </c>
      <c r="L55" s="9">
        <f t="shared" si="12"/>
        <v>39.75719999999999</v>
      </c>
      <c r="M55" s="21">
        <f t="shared" si="13"/>
        <v>0.13530603000441507</v>
      </c>
      <c r="N55" s="502"/>
      <c r="S55" s="2" t="str">
        <f>indeter_MI!B20</f>
        <v>Дрейф*</v>
      </c>
      <c r="T55" s="2">
        <f>indeter_MI!C20</f>
        <v>0.1</v>
      </c>
      <c r="U55" s="2" t="str">
        <f>indeter_MI!D20</f>
        <v>Прямоугольное</v>
      </c>
      <c r="V55" s="2">
        <f>indeter_MI!E20</f>
        <v>1.73</v>
      </c>
      <c r="W55" s="59">
        <f t="shared" si="15"/>
        <v>5.7803468208092491E-2</v>
      </c>
      <c r="X55" s="52">
        <f t="shared" si="14"/>
        <v>3.3412409368839594E-3</v>
      </c>
      <c r="Y55" s="123"/>
    </row>
    <row r="56" spans="1:25" x14ac:dyDescent="0.2">
      <c r="A56" s="123"/>
      <c r="B56" s="6">
        <v>7</v>
      </c>
      <c r="C56" s="68">
        <v>39.673169999999999</v>
      </c>
      <c r="D56" s="9">
        <v>39.873399999999997</v>
      </c>
      <c r="E56" s="9">
        <v>39.782539999999997</v>
      </c>
      <c r="F56" s="9">
        <v>40.00703</v>
      </c>
      <c r="G56" s="67">
        <v>39.76238</v>
      </c>
      <c r="H56" s="9">
        <v>39.683059999999998</v>
      </c>
      <c r="I56" s="9">
        <v>39.708100000000002</v>
      </c>
      <c r="J56" s="9">
        <v>39.504710000000003</v>
      </c>
      <c r="K56" s="9">
        <v>39.846530000000001</v>
      </c>
      <c r="L56" s="9">
        <f t="shared" si="12"/>
        <v>39.760102222222223</v>
      </c>
      <c r="M56" s="21">
        <f t="shared" si="13"/>
        <v>0.13466429468024632</v>
      </c>
      <c r="N56" s="502"/>
      <c r="O56" s="2" t="s">
        <v>0</v>
      </c>
      <c r="P56" s="2" t="s">
        <v>2</v>
      </c>
      <c r="Q56" s="2" t="s">
        <v>3</v>
      </c>
      <c r="S56" s="2" t="str">
        <f>indeter_MI!B21</f>
        <v>Линейность</v>
      </c>
      <c r="T56" s="2">
        <f>indeter_MI!C21</f>
        <v>0.02</v>
      </c>
      <c r="U56" s="2" t="str">
        <f>indeter_MI!D21</f>
        <v>Прямоугольное</v>
      </c>
      <c r="V56" s="2">
        <f>indeter_MI!E21</f>
        <v>1.73</v>
      </c>
      <c r="W56" s="59">
        <f t="shared" si="15"/>
        <v>1.1560693641618498E-2</v>
      </c>
      <c r="X56" s="52">
        <f t="shared" si="14"/>
        <v>1.3364963747535837E-4</v>
      </c>
      <c r="Y56" s="123"/>
    </row>
    <row r="57" spans="1:25" ht="15" thickBot="1" x14ac:dyDescent="0.25">
      <c r="A57" s="123"/>
      <c r="B57" s="7">
        <v>8</v>
      </c>
      <c r="C57" s="68">
        <v>39.676960000000001</v>
      </c>
      <c r="D57" s="9">
        <v>39.87426</v>
      </c>
      <c r="E57" s="9">
        <v>39.785069999999997</v>
      </c>
      <c r="F57" s="9">
        <v>40.015099999999997</v>
      </c>
      <c r="G57" s="67">
        <v>39.768030000000003</v>
      </c>
      <c r="H57" s="9">
        <v>39.687869999999997</v>
      </c>
      <c r="I57" s="9">
        <v>39.712510000000002</v>
      </c>
      <c r="J57" s="9">
        <v>39.506239999999998</v>
      </c>
      <c r="K57" s="9">
        <v>39.849550000000001</v>
      </c>
      <c r="L57" s="9">
        <f t="shared" si="12"/>
        <v>39.763954444444444</v>
      </c>
      <c r="M57" s="21">
        <f t="shared" si="13"/>
        <v>0.13558540704098307</v>
      </c>
      <c r="N57" s="502"/>
      <c r="O57" s="38">
        <f>MAX(M50:M79)</f>
        <v>0.13765721558447</v>
      </c>
      <c r="P57" s="51">
        <f>MAX(C81:K81)</f>
        <v>9.2428604338699646E-3</v>
      </c>
      <c r="Q57" s="50">
        <f>O53</f>
        <v>3.8045240419348324E-4</v>
      </c>
      <c r="S57" s="2" t="str">
        <f>indeter_MI!B22</f>
        <v>Разрешающая способность</v>
      </c>
      <c r="T57" s="2">
        <f>indeter_MI!C22</f>
        <v>0.01</v>
      </c>
      <c r="U57" s="2" t="str">
        <f>indeter_MI!D22</f>
        <v>Прямоугольное</v>
      </c>
      <c r="V57" s="2">
        <f>indeter_MI!E22</f>
        <v>1.73</v>
      </c>
      <c r="W57" s="59">
        <f t="shared" si="15"/>
        <v>5.7803468208092491E-3</v>
      </c>
      <c r="X57" s="52">
        <f>W57*W57</f>
        <v>3.3412409368839592E-5</v>
      </c>
      <c r="Y57" s="123"/>
    </row>
    <row r="58" spans="1:25" x14ac:dyDescent="0.2">
      <c r="A58" s="123"/>
      <c r="B58" s="6">
        <v>9</v>
      </c>
      <c r="C58" s="68">
        <v>39.677930000000003</v>
      </c>
      <c r="D58" s="9">
        <v>39.87574</v>
      </c>
      <c r="E58" s="9">
        <v>39.787039999999998</v>
      </c>
      <c r="F58" s="9">
        <v>40.018030000000003</v>
      </c>
      <c r="G58" s="67">
        <v>39.770040000000002</v>
      </c>
      <c r="H58" s="9">
        <v>39.689169999999997</v>
      </c>
      <c r="I58" s="9">
        <v>39.711649999999999</v>
      </c>
      <c r="J58" s="9">
        <v>39.508800000000001</v>
      </c>
      <c r="K58" s="9">
        <v>39.849629999999998</v>
      </c>
      <c r="L58" s="9">
        <f t="shared" si="12"/>
        <v>39.76533666666667</v>
      </c>
      <c r="M58" s="21">
        <f t="shared" si="13"/>
        <v>0.13571864065861514</v>
      </c>
      <c r="N58" s="502"/>
      <c r="S58" s="36" t="s">
        <v>0</v>
      </c>
      <c r="T58" s="37">
        <f>O57</f>
        <v>0.13765721558447</v>
      </c>
      <c r="U58" s="36" t="s">
        <v>13</v>
      </c>
      <c r="V58" s="21">
        <v>1</v>
      </c>
      <c r="W58" s="61">
        <f t="shared" si="15"/>
        <v>0.13765721558447</v>
      </c>
      <c r="X58" s="53">
        <f>W58*W58</f>
        <v>1.894950900246925E-2</v>
      </c>
      <c r="Y58" s="123"/>
    </row>
    <row r="59" spans="1:25" ht="15" thickBot="1" x14ac:dyDescent="0.25">
      <c r="A59" s="123"/>
      <c r="B59" s="7">
        <v>10</v>
      </c>
      <c r="C59" s="68">
        <v>39.677720000000001</v>
      </c>
      <c r="D59" s="9">
        <v>39.877400000000002</v>
      </c>
      <c r="E59" s="9">
        <v>39.79</v>
      </c>
      <c r="F59" s="9">
        <v>40.020339999999997</v>
      </c>
      <c r="G59" s="67">
        <v>39.769390000000001</v>
      </c>
      <c r="H59" s="9">
        <v>39.69126</v>
      </c>
      <c r="I59" s="9">
        <v>39.715809999999998</v>
      </c>
      <c r="J59" s="9">
        <v>39.509979999999999</v>
      </c>
      <c r="K59" s="9">
        <v>39.852119999999999</v>
      </c>
      <c r="L59" s="9">
        <f t="shared" si="12"/>
        <v>39.767113333333334</v>
      </c>
      <c r="M59" s="21">
        <f t="shared" si="13"/>
        <v>0.13602960829662522</v>
      </c>
      <c r="N59" s="502"/>
      <c r="S59" s="26" t="s">
        <v>21</v>
      </c>
      <c r="T59" s="39">
        <f>P57</f>
        <v>9.2428604338699646E-3</v>
      </c>
      <c r="U59" s="26" t="s">
        <v>13</v>
      </c>
      <c r="V59" s="22">
        <v>1</v>
      </c>
      <c r="W59" s="60">
        <f t="shared" si="15"/>
        <v>9.2428604338699646E-3</v>
      </c>
      <c r="X59" s="54">
        <f>W59*W59</f>
        <v>8.5430468999998872E-5</v>
      </c>
      <c r="Y59" s="123"/>
    </row>
    <row r="60" spans="1:25" x14ac:dyDescent="0.2">
      <c r="A60" s="123"/>
      <c r="B60" s="6">
        <v>11</v>
      </c>
      <c r="C60" s="68">
        <v>39.672899999999998</v>
      </c>
      <c r="D60" s="9">
        <v>39.873179999999998</v>
      </c>
      <c r="E60" s="9">
        <v>39.788400000000003</v>
      </c>
      <c r="F60" s="9">
        <v>40.019829999999999</v>
      </c>
      <c r="G60" s="67">
        <v>39.764180000000003</v>
      </c>
      <c r="H60" s="9">
        <v>39.687390000000001</v>
      </c>
      <c r="I60" s="9">
        <v>39.713039999999999</v>
      </c>
      <c r="J60" s="9">
        <v>39.506</v>
      </c>
      <c r="K60" s="9">
        <v>39.847990000000003</v>
      </c>
      <c r="L60" s="9">
        <f t="shared" si="12"/>
        <v>39.763656666666662</v>
      </c>
      <c r="M60" s="21">
        <f t="shared" si="13"/>
        <v>0.1367670918020851</v>
      </c>
      <c r="N60" s="502"/>
      <c r="S60" s="25" t="s">
        <v>3</v>
      </c>
      <c r="T60" s="40">
        <f>Q57</f>
        <v>3.8045240419348324E-4</v>
      </c>
      <c r="U60" s="25" t="s">
        <v>13</v>
      </c>
      <c r="V60" s="17">
        <v>1</v>
      </c>
      <c r="W60" s="62">
        <f t="shared" si="15"/>
        <v>3.8045240419348324E-4</v>
      </c>
      <c r="X60" s="55">
        <f>W60*W60</f>
        <v>1.4474403185660156E-7</v>
      </c>
      <c r="Y60" s="123"/>
    </row>
    <row r="61" spans="1:25" ht="15" thickBot="1" x14ac:dyDescent="0.25">
      <c r="A61" s="123"/>
      <c r="B61" s="7">
        <v>12</v>
      </c>
      <c r="C61" s="68">
        <v>39.667740000000002</v>
      </c>
      <c r="D61" s="9">
        <v>39.870519999999999</v>
      </c>
      <c r="E61" s="9">
        <v>39.78434</v>
      </c>
      <c r="F61" s="9">
        <v>40.013300000000001</v>
      </c>
      <c r="G61" s="67">
        <v>39.752510000000001</v>
      </c>
      <c r="H61" s="9">
        <v>39.681019999999997</v>
      </c>
      <c r="I61" s="9">
        <v>39.703629999999997</v>
      </c>
      <c r="J61" s="9">
        <v>39.50047</v>
      </c>
      <c r="K61" s="9">
        <v>39.844889999999999</v>
      </c>
      <c r="L61" s="9">
        <f t="shared" si="12"/>
        <v>39.757602222222225</v>
      </c>
      <c r="M61" s="21">
        <f t="shared" si="13"/>
        <v>0.13721913130122129</v>
      </c>
      <c r="N61" s="502"/>
      <c r="W61" s="56"/>
      <c r="X61" s="56"/>
      <c r="Y61" s="123"/>
    </row>
    <row r="62" spans="1:25" x14ac:dyDescent="0.2">
      <c r="A62" s="123"/>
      <c r="B62" s="6">
        <v>13</v>
      </c>
      <c r="C62" s="68">
        <v>39.674410000000002</v>
      </c>
      <c r="D62" s="9">
        <v>39.87697</v>
      </c>
      <c r="E62" s="9">
        <v>39.78031</v>
      </c>
      <c r="F62" s="9">
        <v>40.012999999999998</v>
      </c>
      <c r="G62" s="67">
        <v>39.751730000000002</v>
      </c>
      <c r="H62" s="9">
        <v>39.683219999999999</v>
      </c>
      <c r="I62" s="9">
        <v>39.707880000000003</v>
      </c>
      <c r="J62" s="9">
        <v>39.503399999999999</v>
      </c>
      <c r="K62" s="9">
        <v>39.850299999999997</v>
      </c>
      <c r="L62" s="9">
        <f t="shared" si="12"/>
        <v>39.760135555555557</v>
      </c>
      <c r="M62" s="21">
        <f t="shared" si="13"/>
        <v>0.13666937616103597</v>
      </c>
      <c r="N62" s="502"/>
      <c r="S62" s="35" t="s">
        <v>22</v>
      </c>
      <c r="U62" s="41" t="s">
        <v>82</v>
      </c>
      <c r="V62" s="41"/>
      <c r="W62" s="57" t="s">
        <v>83</v>
      </c>
      <c r="X62" s="57"/>
      <c r="Y62" s="123"/>
    </row>
    <row r="63" spans="1:25" ht="15" thickBot="1" x14ac:dyDescent="0.25">
      <c r="A63" s="123"/>
      <c r="B63" s="7">
        <v>14</v>
      </c>
      <c r="C63" s="68">
        <v>39.679380000000002</v>
      </c>
      <c r="D63" s="9">
        <v>39.882129999999997</v>
      </c>
      <c r="E63" s="9">
        <v>39.786169999999998</v>
      </c>
      <c r="F63" s="9">
        <v>40.019390000000001</v>
      </c>
      <c r="G63" s="67">
        <v>39.765659999999997</v>
      </c>
      <c r="H63" s="9">
        <v>39.692070000000001</v>
      </c>
      <c r="I63" s="9">
        <v>39.714840000000002</v>
      </c>
      <c r="J63" s="9">
        <v>39.509169999999997</v>
      </c>
      <c r="K63" s="9">
        <v>39.852939999999997</v>
      </c>
      <c r="L63" s="9">
        <f t="shared" si="12"/>
        <v>39.766861111111112</v>
      </c>
      <c r="M63" s="21">
        <f t="shared" si="13"/>
        <v>0.13629998259105158</v>
      </c>
      <c r="N63" s="502"/>
      <c r="S63" s="42">
        <f>SUM(X51:X60)</f>
        <v>2.5210212017966943E-2</v>
      </c>
      <c r="V63" s="72">
        <f>SQRT(S63)</f>
        <v>0.1587772402391695</v>
      </c>
      <c r="W63" s="65"/>
      <c r="X63" s="72">
        <f>V63*2</f>
        <v>0.31755448047833901</v>
      </c>
      <c r="Y63" s="123"/>
    </row>
    <row r="64" spans="1:25" x14ac:dyDescent="0.2">
      <c r="A64" s="123"/>
      <c r="B64" s="6">
        <v>15</v>
      </c>
      <c r="C64" s="68">
        <v>39.685670000000002</v>
      </c>
      <c r="D64" s="9">
        <v>39.887729999999998</v>
      </c>
      <c r="E64" s="9">
        <v>39.790019999999998</v>
      </c>
      <c r="F64" s="9">
        <v>40.023159999999997</v>
      </c>
      <c r="G64" s="67">
        <v>39.777250000000002</v>
      </c>
      <c r="H64" s="9">
        <v>39.698569999999997</v>
      </c>
      <c r="I64" s="9">
        <v>39.720739999999999</v>
      </c>
      <c r="J64" s="9">
        <v>39.514740000000003</v>
      </c>
      <c r="K64" s="9">
        <v>39.85839</v>
      </c>
      <c r="L64" s="9">
        <f t="shared" si="12"/>
        <v>39.772918888888881</v>
      </c>
      <c r="M64" s="21">
        <f t="shared" si="13"/>
        <v>0.13578488841173481</v>
      </c>
      <c r="N64" s="502"/>
      <c r="S64" s="42">
        <f>ROUND(S63,8)</f>
        <v>2.521021E-2</v>
      </c>
      <c r="V64" s="72">
        <f>ROUND(V63,3)</f>
        <v>0.159</v>
      </c>
      <c r="W64" s="65"/>
      <c r="X64" s="72">
        <f>ROUND(X63,3)</f>
        <v>0.318</v>
      </c>
      <c r="Y64" s="123"/>
    </row>
    <row r="65" spans="1:25" ht="15" thickBot="1" x14ac:dyDescent="0.25">
      <c r="A65" s="123"/>
      <c r="B65" s="7">
        <v>16</v>
      </c>
      <c r="C65" s="68">
        <v>39.681669999999997</v>
      </c>
      <c r="D65" s="9">
        <v>39.880740000000003</v>
      </c>
      <c r="E65" s="9">
        <v>39.79419</v>
      </c>
      <c r="F65" s="9">
        <v>40.025069999999999</v>
      </c>
      <c r="G65" s="67">
        <v>39.771419999999999</v>
      </c>
      <c r="H65" s="9">
        <v>39.694389999999999</v>
      </c>
      <c r="I65" s="9">
        <v>39.715299999999999</v>
      </c>
      <c r="J65" s="9">
        <v>39.513689999999997</v>
      </c>
      <c r="K65" s="9">
        <v>39.852800000000002</v>
      </c>
      <c r="L65" s="9">
        <f t="shared" si="12"/>
        <v>39.769918888888888</v>
      </c>
      <c r="M65" s="21">
        <f t="shared" si="13"/>
        <v>0.13620775507734584</v>
      </c>
      <c r="N65" s="502"/>
      <c r="W65" s="56"/>
      <c r="X65" s="56"/>
      <c r="Y65" s="123"/>
    </row>
    <row r="66" spans="1:25" x14ac:dyDescent="0.2">
      <c r="A66" s="123"/>
      <c r="B66" s="6">
        <v>17</v>
      </c>
      <c r="C66" s="68">
        <v>39.673409999999997</v>
      </c>
      <c r="D66" s="9">
        <v>39.872459999999997</v>
      </c>
      <c r="E66" s="9">
        <v>39.790950000000002</v>
      </c>
      <c r="F66" s="9">
        <v>40.015439999999998</v>
      </c>
      <c r="G66" s="67">
        <v>39.759450000000001</v>
      </c>
      <c r="H66" s="9">
        <v>39.679920000000003</v>
      </c>
      <c r="I66" s="9">
        <v>39.70608</v>
      </c>
      <c r="J66" s="9">
        <v>39.50656</v>
      </c>
      <c r="K66" s="9">
        <v>39.844329999999999</v>
      </c>
      <c r="L66" s="9">
        <f t="shared" si="12"/>
        <v>39.760955555555562</v>
      </c>
      <c r="M66" s="21">
        <f t="shared" si="13"/>
        <v>0.1362221289831104</v>
      </c>
      <c r="N66" s="502"/>
      <c r="O66" s="292" t="s">
        <v>36</v>
      </c>
      <c r="W66" s="56"/>
      <c r="X66" s="56"/>
      <c r="Y66" s="123"/>
    </row>
    <row r="67" spans="1:25" ht="15" thickBot="1" x14ac:dyDescent="0.25">
      <c r="A67" s="123"/>
      <c r="B67" s="7">
        <v>18</v>
      </c>
      <c r="C67" s="68">
        <v>39.670250000000003</v>
      </c>
      <c r="D67" s="9">
        <v>39.873289999999997</v>
      </c>
      <c r="E67" s="9">
        <v>39.785769999999999</v>
      </c>
      <c r="F67" s="9">
        <v>40.01155</v>
      </c>
      <c r="G67" s="67">
        <v>39.754710000000003</v>
      </c>
      <c r="H67" s="9">
        <v>39.675379999999997</v>
      </c>
      <c r="I67" s="9">
        <v>39.701970000000003</v>
      </c>
      <c r="J67" s="9">
        <v>39.504600000000003</v>
      </c>
      <c r="K67" s="9">
        <v>39.842559999999999</v>
      </c>
      <c r="L67" s="9">
        <f t="shared" si="12"/>
        <v>39.757786666666661</v>
      </c>
      <c r="M67" s="21">
        <f t="shared" si="13"/>
        <v>0.13637709786552094</v>
      </c>
      <c r="N67" s="502"/>
      <c r="W67" s="56"/>
      <c r="X67" s="56"/>
      <c r="Y67" s="123"/>
    </row>
    <row r="68" spans="1:25" x14ac:dyDescent="0.2">
      <c r="A68" s="123"/>
      <c r="B68" s="6">
        <v>19</v>
      </c>
      <c r="C68" s="68">
        <v>39.667119999999997</v>
      </c>
      <c r="D68" s="9">
        <v>39.872369999999997</v>
      </c>
      <c r="E68" s="9">
        <v>39.78389</v>
      </c>
      <c r="F68" s="9">
        <v>40.010440000000003</v>
      </c>
      <c r="G68" s="67">
        <v>39.748690000000003</v>
      </c>
      <c r="H68" s="9">
        <v>39.672580000000004</v>
      </c>
      <c r="I68" s="9">
        <v>39.697719999999997</v>
      </c>
      <c r="J68" s="9">
        <v>39.501080000000002</v>
      </c>
      <c r="K68" s="9">
        <v>39.840000000000003</v>
      </c>
      <c r="L68" s="9">
        <f t="shared" si="12"/>
        <v>39.754876666666668</v>
      </c>
      <c r="M68" s="21">
        <f t="shared" si="13"/>
        <v>0.1371928640029553</v>
      </c>
      <c r="N68" s="502"/>
      <c r="O68" s="63" t="s">
        <v>23</v>
      </c>
      <c r="S68" s="2" t="s">
        <v>7</v>
      </c>
      <c r="T68" s="2" t="s">
        <v>8</v>
      </c>
      <c r="U68" s="2" t="s">
        <v>9</v>
      </c>
      <c r="V68" s="2" t="s">
        <v>10</v>
      </c>
      <c r="W68" s="57" t="s">
        <v>11</v>
      </c>
      <c r="X68" s="58" t="s">
        <v>12</v>
      </c>
      <c r="Y68" s="123"/>
    </row>
    <row r="69" spans="1:25" ht="15" thickBot="1" x14ac:dyDescent="0.25">
      <c r="A69" s="123"/>
      <c r="B69" s="7">
        <v>20</v>
      </c>
      <c r="C69" s="68">
        <v>39.66769</v>
      </c>
      <c r="D69" s="9">
        <v>39.874899999999997</v>
      </c>
      <c r="E69" s="9">
        <v>39.782359999999997</v>
      </c>
      <c r="F69" s="9">
        <v>40.009099999999997</v>
      </c>
      <c r="G69" s="67">
        <v>39.748049999999999</v>
      </c>
      <c r="H69" s="9">
        <v>39.673189999999998</v>
      </c>
      <c r="I69" s="9">
        <v>39.700319999999998</v>
      </c>
      <c r="J69" s="9">
        <v>39.499250000000004</v>
      </c>
      <c r="K69" s="9">
        <v>39.841769999999997</v>
      </c>
      <c r="L69" s="9">
        <f t="shared" si="12"/>
        <v>39.755181111111114</v>
      </c>
      <c r="M69" s="21">
        <f t="shared" si="13"/>
        <v>0.13742970198488319</v>
      </c>
      <c r="N69" s="502"/>
      <c r="O69" s="64">
        <f>MAX(C81:K81)</f>
        <v>9.2428604338699646E-3</v>
      </c>
      <c r="S69" s="2" t="str">
        <f>indeter_MI!B5</f>
        <v>Поверка</v>
      </c>
      <c r="T69" s="2">
        <f>indeter_MI!C5</f>
        <v>0.1</v>
      </c>
      <c r="U69" s="2" t="str">
        <f>indeter_MI!D5</f>
        <v>Нормальное</v>
      </c>
      <c r="V69" s="2">
        <f>indeter_MI!E5</f>
        <v>2</v>
      </c>
      <c r="W69" s="59">
        <f>T69/V69</f>
        <v>0.05</v>
      </c>
      <c r="X69" s="59">
        <f t="shared" ref="X69:X76" si="16">W69*W69</f>
        <v>2.5000000000000005E-3</v>
      </c>
      <c r="Y69" s="123"/>
    </row>
    <row r="70" spans="1:25" x14ac:dyDescent="0.2">
      <c r="A70" s="123"/>
      <c r="B70" s="6">
        <v>21</v>
      </c>
      <c r="C70" s="68">
        <v>39.669029999999999</v>
      </c>
      <c r="D70" s="9">
        <v>39.877400000000002</v>
      </c>
      <c r="E70" s="9">
        <v>39.785339999999998</v>
      </c>
      <c r="F70" s="9">
        <v>40.014420000000001</v>
      </c>
      <c r="G70" s="67">
        <v>39.751710000000003</v>
      </c>
      <c r="H70" s="9">
        <v>39.678870000000003</v>
      </c>
      <c r="I70" s="9">
        <v>39.704700000000003</v>
      </c>
      <c r="J70" s="9">
        <v>39.502099999999999</v>
      </c>
      <c r="K70" s="9">
        <v>39.843150000000001</v>
      </c>
      <c r="L70" s="9">
        <f t="shared" si="12"/>
        <v>39.75852444444444</v>
      </c>
      <c r="M70" s="21">
        <f t="shared" si="13"/>
        <v>0.13765721558447</v>
      </c>
      <c r="N70" s="502"/>
      <c r="S70" s="2" t="str">
        <f>indeter_MI!B6</f>
        <v>Повторяемость*</v>
      </c>
      <c r="T70" s="2">
        <f>indeter_MI!C6</f>
        <v>0.01</v>
      </c>
      <c r="U70" s="2" t="str">
        <f>indeter_MI!D6</f>
        <v>Нормальное</v>
      </c>
      <c r="V70" s="2">
        <f>indeter_MI!E6</f>
        <v>1</v>
      </c>
      <c r="W70" s="59">
        <f t="shared" ref="W70:W75" si="17">T70/V70</f>
        <v>0.01</v>
      </c>
      <c r="X70" s="59">
        <f t="shared" si="16"/>
        <v>1E-4</v>
      </c>
      <c r="Y70" s="123"/>
    </row>
    <row r="71" spans="1:25" ht="15" thickBot="1" x14ac:dyDescent="0.25">
      <c r="A71" s="123"/>
      <c r="B71" s="7">
        <v>22</v>
      </c>
      <c r="C71" s="68">
        <v>39.673070000000003</v>
      </c>
      <c r="D71" s="9">
        <v>39.87697</v>
      </c>
      <c r="E71" s="9">
        <v>39.786009999999997</v>
      </c>
      <c r="F71" s="9">
        <v>40.016959999999997</v>
      </c>
      <c r="G71" s="67">
        <v>39.753419999999998</v>
      </c>
      <c r="H71" s="9">
        <v>39.681080000000001</v>
      </c>
      <c r="I71" s="9">
        <v>39.706699999999998</v>
      </c>
      <c r="J71" s="9">
        <v>39.503979999999999</v>
      </c>
      <c r="K71" s="9">
        <v>39.843600000000002</v>
      </c>
      <c r="L71" s="9">
        <f t="shared" si="12"/>
        <v>39.760198888888887</v>
      </c>
      <c r="M71" s="21">
        <f t="shared" si="13"/>
        <v>0.13727149282793491</v>
      </c>
      <c r="N71" s="502"/>
      <c r="S71" s="2" t="str">
        <f>indeter_MI!B7</f>
        <v>Гистерезис</v>
      </c>
      <c r="T71" s="2">
        <f>indeter_MI!C7</f>
        <v>0.01</v>
      </c>
      <c r="U71" s="2" t="str">
        <f>indeter_MI!D7</f>
        <v>Прямоугольное</v>
      </c>
      <c r="V71" s="2">
        <f>indeter_MI!E7</f>
        <v>1.73</v>
      </c>
      <c r="W71" s="59">
        <f t="shared" si="17"/>
        <v>5.7803468208092491E-3</v>
      </c>
      <c r="X71" s="59">
        <f t="shared" si="16"/>
        <v>3.3412409368839592E-5</v>
      </c>
      <c r="Y71" s="123"/>
    </row>
    <row r="72" spans="1:25" x14ac:dyDescent="0.2">
      <c r="A72" s="123"/>
      <c r="B72" s="6">
        <v>23</v>
      </c>
      <c r="C72" s="68">
        <v>39.671390000000002</v>
      </c>
      <c r="D72" s="9">
        <v>39.872329999999998</v>
      </c>
      <c r="E72" s="9">
        <v>39.788319999999999</v>
      </c>
      <c r="F72" s="9">
        <v>40.016930000000002</v>
      </c>
      <c r="G72" s="67">
        <v>39.753369999999997</v>
      </c>
      <c r="H72" s="9">
        <v>39.680320000000002</v>
      </c>
      <c r="I72" s="9">
        <v>39.705919999999999</v>
      </c>
      <c r="J72" s="9">
        <v>39.504440000000002</v>
      </c>
      <c r="K72" s="9">
        <v>39.842750000000002</v>
      </c>
      <c r="L72" s="9">
        <f t="shared" si="12"/>
        <v>39.759530000000005</v>
      </c>
      <c r="M72" s="21">
        <f t="shared" si="13"/>
        <v>0.13693421048079951</v>
      </c>
      <c r="N72" s="502"/>
      <c r="S72" s="2" t="str">
        <f>indeter_MI!B8</f>
        <v>Влияние температуры</v>
      </c>
      <c r="T72" s="2">
        <f>indeter_MI!C8</f>
        <v>0.01</v>
      </c>
      <c r="U72" s="2" t="str">
        <f>indeter_MI!D8</f>
        <v>Прямоугольное</v>
      </c>
      <c r="V72" s="2">
        <f>indeter_MI!E8</f>
        <v>1.73</v>
      </c>
      <c r="W72" s="59">
        <f t="shared" si="17"/>
        <v>5.7803468208092491E-3</v>
      </c>
      <c r="X72" s="59">
        <f t="shared" si="16"/>
        <v>3.3412409368839592E-5</v>
      </c>
      <c r="Y72" s="123"/>
    </row>
    <row r="73" spans="1:25" ht="15" thickBot="1" x14ac:dyDescent="0.25">
      <c r="A73" s="123"/>
      <c r="B73" s="7">
        <v>24</v>
      </c>
      <c r="C73" s="68">
        <v>39.676960000000001</v>
      </c>
      <c r="D73" s="9">
        <v>39.880710000000001</v>
      </c>
      <c r="E73" s="9">
        <v>39.786630000000002</v>
      </c>
      <c r="F73" s="9">
        <v>40.013840000000002</v>
      </c>
      <c r="G73" s="67">
        <v>39.754100000000001</v>
      </c>
      <c r="H73" s="9">
        <v>39.67653</v>
      </c>
      <c r="I73" s="9">
        <v>39.706960000000002</v>
      </c>
      <c r="J73" s="9">
        <v>39.50667</v>
      </c>
      <c r="K73" s="9">
        <v>39.8461</v>
      </c>
      <c r="L73" s="9">
        <f t="shared" si="12"/>
        <v>39.760944444444441</v>
      </c>
      <c r="M73" s="21">
        <f t="shared" si="13"/>
        <v>0.13662886136546989</v>
      </c>
      <c r="N73" s="502"/>
      <c r="S73" s="2" t="str">
        <f>indeter_MI!B9</f>
        <v>Дрейф*</v>
      </c>
      <c r="T73" s="2">
        <f>indeter_MI!C9</f>
        <v>0.1</v>
      </c>
      <c r="U73" s="2" t="str">
        <f>indeter_MI!D9</f>
        <v>Прямоугольное</v>
      </c>
      <c r="V73" s="2">
        <f>indeter_MI!E9</f>
        <v>1.73</v>
      </c>
      <c r="W73" s="59">
        <f t="shared" si="17"/>
        <v>5.7803468208092491E-2</v>
      </c>
      <c r="X73" s="59">
        <f t="shared" si="16"/>
        <v>3.3412409368839594E-3</v>
      </c>
      <c r="Y73" s="123"/>
    </row>
    <row r="74" spans="1:25" x14ac:dyDescent="0.2">
      <c r="A74" s="123"/>
      <c r="B74" s="6">
        <v>25</v>
      </c>
      <c r="C74" s="68">
        <v>39.684930000000001</v>
      </c>
      <c r="D74" s="9">
        <v>39.885010000000001</v>
      </c>
      <c r="E74" s="9">
        <v>39.790599999999998</v>
      </c>
      <c r="F74" s="9">
        <v>40.020659999999999</v>
      </c>
      <c r="G74" s="67">
        <v>39.767859999999999</v>
      </c>
      <c r="H74" s="9">
        <v>39.687130000000003</v>
      </c>
      <c r="I74" s="9">
        <v>39.716189999999997</v>
      </c>
      <c r="J74" s="9">
        <v>39.513019999999997</v>
      </c>
      <c r="K74" s="9">
        <v>39.852849999999997</v>
      </c>
      <c r="L74" s="9">
        <f t="shared" si="12"/>
        <v>39.768694444444442</v>
      </c>
      <c r="M74" s="21">
        <f t="shared" si="13"/>
        <v>0.1359632449607133</v>
      </c>
      <c r="N74" s="502"/>
      <c r="S74" s="2" t="str">
        <f>indeter_MI!B10</f>
        <v>Линейность</v>
      </c>
      <c r="T74" s="2">
        <f>indeter_MI!C10</f>
        <v>0.02</v>
      </c>
      <c r="U74" s="2" t="str">
        <f>indeter_MI!D10</f>
        <v>Прямоугольное</v>
      </c>
      <c r="V74" s="2">
        <f>indeter_MI!E10</f>
        <v>1.73</v>
      </c>
      <c r="W74" s="59">
        <f t="shared" si="17"/>
        <v>1.1560693641618498E-2</v>
      </c>
      <c r="X74" s="59">
        <f t="shared" si="16"/>
        <v>1.3364963747535837E-4</v>
      </c>
      <c r="Y74" s="123"/>
    </row>
    <row r="75" spans="1:25" ht="15" thickBot="1" x14ac:dyDescent="0.25">
      <c r="A75" s="123"/>
      <c r="B75" s="7">
        <v>26</v>
      </c>
      <c r="C75" s="68">
        <v>39.686160000000001</v>
      </c>
      <c r="D75" s="9">
        <v>39.878369999999997</v>
      </c>
      <c r="E75" s="9">
        <v>39.797249999999998</v>
      </c>
      <c r="F75" s="9">
        <v>40.025419999999997</v>
      </c>
      <c r="G75" s="67">
        <v>39.774799999999999</v>
      </c>
      <c r="H75" s="9">
        <v>39.690460000000002</v>
      </c>
      <c r="I75" s="9">
        <v>39.718690000000002</v>
      </c>
      <c r="J75" s="9">
        <v>39.514679999999998</v>
      </c>
      <c r="K75" s="9">
        <v>39.8521</v>
      </c>
      <c r="L75" s="9">
        <f t="shared" si="12"/>
        <v>39.770881111111109</v>
      </c>
      <c r="M75" s="21">
        <f t="shared" si="13"/>
        <v>0.13567085754742642</v>
      </c>
      <c r="N75" s="502"/>
      <c r="S75" s="2" t="str">
        <f>indeter_MI!B11</f>
        <v>Разрешающая способность</v>
      </c>
      <c r="T75" s="2">
        <f>indeter_MI!C11</f>
        <v>0.01</v>
      </c>
      <c r="U75" s="2" t="str">
        <f>indeter_MI!D11</f>
        <v>Прямоугольное</v>
      </c>
      <c r="V75" s="2">
        <f>indeter_MI!E11</f>
        <v>1.73</v>
      </c>
      <c r="W75" s="59">
        <f t="shared" si="17"/>
        <v>5.7803468208092491E-3</v>
      </c>
      <c r="X75" s="59">
        <f t="shared" si="16"/>
        <v>3.3412409368839592E-5</v>
      </c>
      <c r="Y75" s="123"/>
    </row>
    <row r="76" spans="1:25" x14ac:dyDescent="0.2">
      <c r="A76" s="123"/>
      <c r="B76" s="6">
        <v>27</v>
      </c>
      <c r="C76" s="68">
        <v>39.682899999999997</v>
      </c>
      <c r="D76" s="9">
        <v>39.872590000000002</v>
      </c>
      <c r="E76" s="9">
        <v>39.797280000000001</v>
      </c>
      <c r="F76" s="9">
        <v>40.023069999999997</v>
      </c>
      <c r="G76" s="67">
        <v>39.769970000000001</v>
      </c>
      <c r="H76" s="9">
        <v>39.685459999999999</v>
      </c>
      <c r="I76" s="9">
        <v>39.716610000000003</v>
      </c>
      <c r="J76" s="9">
        <v>39.513420000000004</v>
      </c>
      <c r="K76" s="9">
        <v>39.850700000000003</v>
      </c>
      <c r="L76" s="9">
        <f t="shared" si="12"/>
        <v>39.768000000000001</v>
      </c>
      <c r="M76" s="21">
        <f t="shared" si="13"/>
        <v>0.13548555987016897</v>
      </c>
      <c r="N76" s="502"/>
      <c r="S76" s="48" t="s">
        <v>21</v>
      </c>
      <c r="T76" s="49">
        <f>O69</f>
        <v>9.2428604338699646E-3</v>
      </c>
      <c r="U76" s="49" t="s">
        <v>13</v>
      </c>
      <c r="V76" s="16">
        <v>1</v>
      </c>
      <c r="W76" s="60">
        <f>T76/V76</f>
        <v>9.2428604338699646E-3</v>
      </c>
      <c r="X76" s="60">
        <f t="shared" si="16"/>
        <v>8.5430468999998872E-5</v>
      </c>
      <c r="Y76" s="123"/>
    </row>
    <row r="77" spans="1:25" ht="15" thickBot="1" x14ac:dyDescent="0.25">
      <c r="A77" s="123"/>
      <c r="B77" s="7">
        <v>28</v>
      </c>
      <c r="C77" s="68">
        <v>39.677500000000002</v>
      </c>
      <c r="D77" s="9">
        <v>39.868070000000003</v>
      </c>
      <c r="E77" s="9">
        <v>39.797080000000001</v>
      </c>
      <c r="F77" s="9">
        <v>40.018590000000003</v>
      </c>
      <c r="G77" s="67">
        <v>39.763269999999999</v>
      </c>
      <c r="H77" s="9">
        <v>39.681150000000002</v>
      </c>
      <c r="I77" s="9">
        <v>39.711239999999997</v>
      </c>
      <c r="J77" s="9">
        <v>39.509059999999998</v>
      </c>
      <c r="K77" s="9">
        <v>39.846429999999998</v>
      </c>
      <c r="L77" s="68">
        <f t="shared" si="12"/>
        <v>39.763598888888886</v>
      </c>
      <c r="M77" s="21">
        <f t="shared" si="13"/>
        <v>0.13567080374072607</v>
      </c>
      <c r="N77" s="502"/>
      <c r="X77" s="56"/>
      <c r="Y77" s="123"/>
    </row>
    <row r="78" spans="1:25" ht="15" thickBot="1" x14ac:dyDescent="0.25">
      <c r="A78" s="123"/>
      <c r="B78" s="8">
        <v>29</v>
      </c>
      <c r="C78" s="68">
        <v>39.680079999999997</v>
      </c>
      <c r="D78" s="9">
        <v>39.873420000000003</v>
      </c>
      <c r="E78" s="9">
        <v>39.793869999999998</v>
      </c>
      <c r="F78" s="9">
        <v>40.016039999999997</v>
      </c>
      <c r="G78" s="67">
        <v>39.759990000000002</v>
      </c>
      <c r="H78" s="9">
        <v>39.685540000000003</v>
      </c>
      <c r="I78" s="9">
        <v>39.71275</v>
      </c>
      <c r="J78" s="9">
        <v>39.51108</v>
      </c>
      <c r="K78" s="9">
        <v>39.850700000000003</v>
      </c>
      <c r="L78" s="68">
        <f t="shared" si="12"/>
        <v>39.764830000000003</v>
      </c>
      <c r="M78" s="21">
        <f t="shared" si="13"/>
        <v>0.13487010697539881</v>
      </c>
      <c r="N78" s="502"/>
      <c r="S78" s="35" t="s">
        <v>22</v>
      </c>
      <c r="U78" s="41" t="s">
        <v>82</v>
      </c>
      <c r="V78" s="41"/>
      <c r="W78" s="41" t="s">
        <v>83</v>
      </c>
      <c r="X78" s="57"/>
      <c r="Y78" s="123"/>
    </row>
    <row r="79" spans="1:25" ht="15" thickBot="1" x14ac:dyDescent="0.25">
      <c r="A79" s="123"/>
      <c r="B79" s="8">
        <v>30</v>
      </c>
      <c r="C79" s="68">
        <v>39.675669999999997</v>
      </c>
      <c r="D79" s="9">
        <v>39.868630000000003</v>
      </c>
      <c r="E79" s="9">
        <v>39.795090000000002</v>
      </c>
      <c r="F79" s="9">
        <v>40.020099999999999</v>
      </c>
      <c r="G79" s="67">
        <v>39.757759999999998</v>
      </c>
      <c r="H79" s="9">
        <v>39.680669999999999</v>
      </c>
      <c r="I79" s="9">
        <v>39.707369999999997</v>
      </c>
      <c r="J79" s="9">
        <v>39.506990000000002</v>
      </c>
      <c r="K79" s="9">
        <v>39.846429999999998</v>
      </c>
      <c r="L79" s="68">
        <f t="shared" si="12"/>
        <v>39.76207888888888</v>
      </c>
      <c r="M79" s="21">
        <f t="shared" si="13"/>
        <v>0.13675153311709731</v>
      </c>
      <c r="N79" s="502"/>
      <c r="S79" s="42">
        <f>SUM(X69:X76)</f>
        <v>6.2605582714658353E-3</v>
      </c>
      <c r="V79" s="72">
        <f>SQRT(S79)</f>
        <v>7.9123689698255575E-2</v>
      </c>
      <c r="W79" s="65"/>
      <c r="X79" s="72">
        <f>V79*2</f>
        <v>0.15824737939651115</v>
      </c>
      <c r="Y79" s="123"/>
    </row>
    <row r="80" spans="1:25" ht="19.5" thickBot="1" x14ac:dyDescent="0.4">
      <c r="A80" s="123"/>
      <c r="B80" s="93" t="s">
        <v>40</v>
      </c>
      <c r="C80" s="30">
        <f>AVERAGE(C50:C79)</f>
        <v>39.676076333333334</v>
      </c>
      <c r="D80" s="31">
        <f t="shared" ref="D80:K80" si="18">AVERAGE(D50:D79)</f>
        <v>39.875966666666663</v>
      </c>
      <c r="E80" s="31">
        <f t="shared" si="18"/>
        <v>39.789037666666673</v>
      </c>
      <c r="F80" s="31">
        <f t="shared" si="18"/>
        <v>40.016750666666667</v>
      </c>
      <c r="G80" s="31">
        <f t="shared" si="18"/>
        <v>39.762699000000005</v>
      </c>
      <c r="H80" s="31">
        <f t="shared" si="18"/>
        <v>39.68454899999999</v>
      </c>
      <c r="I80" s="31">
        <f t="shared" si="18"/>
        <v>39.710426333333331</v>
      </c>
      <c r="J80" s="31">
        <f t="shared" si="18"/>
        <v>39.507469666666672</v>
      </c>
      <c r="K80" s="31">
        <f t="shared" si="18"/>
        <v>39.848401333333335</v>
      </c>
      <c r="N80" s="502"/>
      <c r="S80" s="42">
        <f>ROUND(S79,8)</f>
        <v>6.2605600000000001E-3</v>
      </c>
      <c r="V80" s="72">
        <f>ROUND(V79,3)</f>
        <v>7.9000000000000001E-2</v>
      </c>
      <c r="W80" s="65"/>
      <c r="X80" s="72">
        <f>ROUND(X79,3)</f>
        <v>0.158</v>
      </c>
      <c r="Y80" s="123"/>
    </row>
    <row r="81" spans="1:25" ht="19.5" thickBot="1" x14ac:dyDescent="0.4">
      <c r="A81" s="123"/>
      <c r="B81" s="93" t="s">
        <v>39</v>
      </c>
      <c r="C81" s="27">
        <f>_xlfn.STDEV.P(C50:C79)</f>
        <v>5.9635942648336611E-3</v>
      </c>
      <c r="D81" s="22">
        <f t="shared" ref="D81:K81" si="19">_xlfn.STDEV.P(D50:D79)</f>
        <v>5.596957109795157E-3</v>
      </c>
      <c r="E81" s="22">
        <f t="shared" si="19"/>
        <v>5.3771347285419199E-3</v>
      </c>
      <c r="F81" s="22">
        <f t="shared" si="19"/>
        <v>5.8353891234617606E-3</v>
      </c>
      <c r="G81" s="22">
        <f t="shared" si="19"/>
        <v>9.2428604338699646E-3</v>
      </c>
      <c r="H81" s="22">
        <f t="shared" si="19"/>
        <v>7.0839185719015815E-3</v>
      </c>
      <c r="I81" s="22">
        <f t="shared" si="19"/>
        <v>6.8364105997876399E-3</v>
      </c>
      <c r="J81" s="22">
        <f t="shared" si="19"/>
        <v>5.0272792398626783E-3</v>
      </c>
      <c r="K81" s="22">
        <f t="shared" si="19"/>
        <v>5.2996941630834736E-3</v>
      </c>
      <c r="N81" s="502"/>
      <c r="Y81" s="123"/>
    </row>
    <row r="82" spans="1:25" ht="19.5" thickBot="1" x14ac:dyDescent="0.4">
      <c r="A82" s="123"/>
      <c r="B82" s="93" t="s">
        <v>52</v>
      </c>
      <c r="C82" s="11">
        <f>MAX(C50:C79)-C80</f>
        <v>1.3953666666665754E-2</v>
      </c>
      <c r="D82" s="12">
        <f t="shared" ref="D82:K82" si="20">MAX(D50:D79)-D80</f>
        <v>1.4093333333335067E-2</v>
      </c>
      <c r="E82" s="12">
        <f t="shared" si="20"/>
        <v>1.1902333333324577E-2</v>
      </c>
      <c r="F82" s="12">
        <f t="shared" si="20"/>
        <v>1.3219333333331917E-2</v>
      </c>
      <c r="G82" s="24">
        <f t="shared" si="20"/>
        <v>2.3900999999995065E-2</v>
      </c>
      <c r="H82" s="12">
        <f t="shared" si="20"/>
        <v>1.8221000000011145E-2</v>
      </c>
      <c r="I82" s="12">
        <f t="shared" si="20"/>
        <v>1.8433666666666682E-2</v>
      </c>
      <c r="J82" s="12">
        <f t="shared" si="20"/>
        <v>1.2190333333329306E-2</v>
      </c>
      <c r="K82" s="12">
        <f t="shared" si="20"/>
        <v>1.5558666666663612E-2</v>
      </c>
      <c r="N82" s="502"/>
      <c r="Y82" s="123"/>
    </row>
    <row r="83" spans="1:25" ht="19.5" thickBot="1" x14ac:dyDescent="0.4">
      <c r="A83" s="123"/>
      <c r="B83" s="93" t="s">
        <v>51</v>
      </c>
      <c r="C83" s="11">
        <f>C80-MIN(C50:C79)</f>
        <v>8.9563333333373407E-3</v>
      </c>
      <c r="D83" s="12">
        <f t="shared" ref="D83:K83" si="21">D80-MIN(D50:D79)</f>
        <v>7.8966666666602237E-3</v>
      </c>
      <c r="E83" s="12">
        <f t="shared" si="21"/>
        <v>8.7276666666724623E-3</v>
      </c>
      <c r="F83" s="12">
        <f t="shared" si="21"/>
        <v>1.1280666666664274E-2</v>
      </c>
      <c r="G83" s="24">
        <f t="shared" si="21"/>
        <v>1.4649000000005685E-2</v>
      </c>
      <c r="H83" s="12">
        <f t="shared" si="21"/>
        <v>1.1968999999986352E-2</v>
      </c>
      <c r="I83" s="12">
        <f t="shared" si="21"/>
        <v>1.270633333333393E-2</v>
      </c>
      <c r="J83" s="12">
        <f t="shared" si="21"/>
        <v>8.2196666666689566E-3</v>
      </c>
      <c r="K83" s="12">
        <f t="shared" si="21"/>
        <v>8.4013333333317064E-3</v>
      </c>
      <c r="N83" s="502"/>
      <c r="Y83" s="123"/>
    </row>
    <row r="84" spans="1:25" ht="20.25" thickBot="1" x14ac:dyDescent="0.4">
      <c r="A84" s="123"/>
      <c r="B84" s="94" t="s">
        <v>44</v>
      </c>
      <c r="C84" s="14">
        <f>(C82+C83)/2</f>
        <v>1.1455000000001547E-2</v>
      </c>
      <c r="D84" s="15">
        <f t="shared" ref="D84:K84" si="22">(D82+D83)/2</f>
        <v>1.0994999999997646E-2</v>
      </c>
      <c r="E84" s="15">
        <f t="shared" si="22"/>
        <v>1.031499999999852E-2</v>
      </c>
      <c r="F84" s="15">
        <f t="shared" si="22"/>
        <v>1.2249999999998096E-2</v>
      </c>
      <c r="G84" s="15">
        <f t="shared" si="22"/>
        <v>1.9275000000000375E-2</v>
      </c>
      <c r="H84" s="15">
        <f t="shared" si="22"/>
        <v>1.5094999999998748E-2</v>
      </c>
      <c r="I84" s="15">
        <f t="shared" si="22"/>
        <v>1.5570000000000306E-2</v>
      </c>
      <c r="J84" s="15">
        <f t="shared" si="22"/>
        <v>1.0204999999999131E-2</v>
      </c>
      <c r="K84" s="15">
        <f t="shared" si="22"/>
        <v>1.1979999999997659E-2</v>
      </c>
      <c r="N84" s="502"/>
      <c r="Y84" s="123"/>
    </row>
    <row r="85" spans="1:25" ht="19.5" thickBot="1" x14ac:dyDescent="0.4">
      <c r="A85" s="123"/>
      <c r="B85" s="95" t="s">
        <v>43</v>
      </c>
      <c r="C85" s="43">
        <f>C80-$G80</f>
        <v>-8.6622666666670511E-2</v>
      </c>
      <c r="D85" s="13">
        <f t="shared" ref="D85:K85" si="23">D80-$G80</f>
        <v>0.11326766666665833</v>
      </c>
      <c r="E85" s="13">
        <f t="shared" si="23"/>
        <v>2.6338666666667621E-2</v>
      </c>
      <c r="F85" s="13">
        <f t="shared" si="23"/>
        <v>0.2540516666666619</v>
      </c>
      <c r="G85" s="13">
        <f>G80-$G80</f>
        <v>0</v>
      </c>
      <c r="H85" s="13">
        <f t="shared" si="23"/>
        <v>-7.8150000000015041E-2</v>
      </c>
      <c r="I85" s="13">
        <f t="shared" si="23"/>
        <v>-5.2272666666674183E-2</v>
      </c>
      <c r="J85" s="13">
        <f t="shared" si="23"/>
        <v>-0.25522933333333242</v>
      </c>
      <c r="K85" s="13">
        <f t="shared" si="23"/>
        <v>8.5702333333330216E-2</v>
      </c>
      <c r="N85" s="502"/>
      <c r="Y85" s="123"/>
    </row>
    <row r="86" spans="1:25" ht="18.75" x14ac:dyDescent="0.35">
      <c r="A86" s="123"/>
      <c r="B86" s="99" t="s">
        <v>45</v>
      </c>
      <c r="C86" s="45">
        <v>40</v>
      </c>
      <c r="N86" s="502"/>
      <c r="Y86" s="123"/>
    </row>
    <row r="87" spans="1:25" ht="18.75" x14ac:dyDescent="0.2">
      <c r="A87" s="123"/>
      <c r="B87" s="100" t="s">
        <v>46</v>
      </c>
      <c r="C87" s="44">
        <f>AVERAGE(C50:K79)</f>
        <v>39.763486296296307</v>
      </c>
      <c r="N87" s="502"/>
      <c r="Y87" s="123"/>
    </row>
    <row r="88" spans="1:25" ht="18.75" x14ac:dyDescent="0.2">
      <c r="A88" s="123"/>
      <c r="B88" s="101" t="s">
        <v>47</v>
      </c>
      <c r="C88" s="28">
        <f>C87-C86</f>
        <v>-0.23651370370369307</v>
      </c>
      <c r="N88" s="502"/>
      <c r="Y88" s="123"/>
    </row>
    <row r="89" spans="1:25" ht="18.75" x14ac:dyDescent="0.2">
      <c r="A89" s="123"/>
      <c r="B89" s="102" t="s">
        <v>48</v>
      </c>
      <c r="C89" s="29">
        <f>MAX(C80:K80)-MIN(C80:K80)</f>
        <v>0.50928099999999432</v>
      </c>
      <c r="N89" s="502"/>
      <c r="Y89" s="123"/>
    </row>
    <row r="90" spans="1:25" ht="18.75" x14ac:dyDescent="0.2">
      <c r="A90" s="123"/>
      <c r="B90" s="103" t="s">
        <v>49</v>
      </c>
      <c r="C90" s="32">
        <f>MAX(C85:K85)</f>
        <v>0.2540516666666619</v>
      </c>
      <c r="N90" s="502"/>
      <c r="Y90" s="123"/>
    </row>
    <row r="91" spans="1:25" x14ac:dyDescent="0.2">
      <c r="A91" s="123"/>
      <c r="B91" s="104"/>
      <c r="C91" s="32">
        <f>MIN(C85:K85)</f>
        <v>-0.25522933333333242</v>
      </c>
      <c r="D91" s="65"/>
      <c r="N91" s="502"/>
      <c r="Y91" s="123"/>
    </row>
    <row r="92" spans="1:25" ht="18.75" x14ac:dyDescent="0.2">
      <c r="A92" s="123"/>
      <c r="B92" s="105" t="s">
        <v>50</v>
      </c>
      <c r="C92" s="33">
        <f>AVERAGE(C84:K84)</f>
        <v>1.301555555555467E-2</v>
      </c>
      <c r="N92" s="502"/>
      <c r="Y92" s="123"/>
    </row>
    <row r="93" spans="1:25" ht="18.75" x14ac:dyDescent="0.35">
      <c r="A93" s="123"/>
      <c r="B93" s="180" t="s">
        <v>259</v>
      </c>
      <c r="C93" s="181">
        <f>_xlfn.STDEV.P(C50:K79)</f>
        <v>0.13632305115662899</v>
      </c>
      <c r="N93" s="502"/>
      <c r="Y93" s="123"/>
    </row>
    <row r="94" spans="1:25" x14ac:dyDescent="0.2">
      <c r="A94" s="123"/>
      <c r="B94" s="123"/>
      <c r="C94" s="123"/>
      <c r="D94" s="123"/>
      <c r="E94" s="123"/>
      <c r="F94" s="123"/>
      <c r="G94" s="123"/>
      <c r="H94" s="123"/>
      <c r="I94" s="123"/>
      <c r="J94" s="123"/>
      <c r="K94" s="123"/>
      <c r="L94" s="123"/>
      <c r="M94" s="123"/>
      <c r="N94" s="123"/>
      <c r="O94" s="123"/>
      <c r="P94" s="123"/>
      <c r="Q94" s="123"/>
      <c r="R94" s="123"/>
      <c r="S94" s="123"/>
      <c r="T94" s="123"/>
      <c r="U94" s="123"/>
      <c r="V94" s="123"/>
      <c r="W94" s="123"/>
      <c r="X94" s="123"/>
      <c r="Y94" s="123"/>
    </row>
  </sheetData>
  <mergeCells count="2">
    <mergeCell ref="N2:N46"/>
    <mergeCell ref="N49:N93"/>
  </mergeCells>
  <pageMargins left="0.7" right="0.7" top="0.75" bottom="0.75" header="0.3" footer="0.3"/>
  <pageSetup paperSize="9"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Лист23"/>
  <dimension ref="A1:Y94"/>
  <sheetViews>
    <sheetView zoomScale="55" zoomScaleNormal="55" workbookViewId="0">
      <selection activeCell="K44" sqref="K44"/>
    </sheetView>
  </sheetViews>
  <sheetFormatPr defaultRowHeight="14.25" x14ac:dyDescent="0.2"/>
  <cols>
    <col min="1" max="1" width="9" style="292"/>
    <col min="2" max="2" width="22.75" style="292" customWidth="1"/>
    <col min="3" max="11" width="6" style="292" customWidth="1"/>
    <col min="12" max="17" width="9" style="292"/>
    <col min="18" max="18" width="16.625" style="292" customWidth="1"/>
    <col min="19" max="19" width="19.375" style="292" customWidth="1"/>
    <col min="20" max="20" width="9.75" style="292" customWidth="1"/>
    <col min="21" max="21" width="9" style="292"/>
    <col min="22" max="22" width="11.625" style="292" customWidth="1"/>
    <col min="23" max="23" width="13.375" style="292" customWidth="1"/>
    <col min="24" max="24" width="17.625" style="292" customWidth="1"/>
    <col min="25" max="16384" width="9" style="292"/>
  </cols>
  <sheetData>
    <row r="1" spans="1:25" ht="15" thickBot="1" x14ac:dyDescent="0.25">
      <c r="A1" s="120"/>
      <c r="B1" s="120"/>
      <c r="C1" s="120"/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 t="s">
        <v>138</v>
      </c>
      <c r="P1" s="120"/>
      <c r="Q1" s="120"/>
      <c r="R1" s="120"/>
      <c r="S1" s="120"/>
      <c r="T1" s="120"/>
      <c r="U1" s="120"/>
      <c r="V1" s="120"/>
      <c r="W1" s="120"/>
      <c r="X1" s="120"/>
      <c r="Y1" s="120"/>
    </row>
    <row r="2" spans="1:25" ht="19.5" thickBot="1" x14ac:dyDescent="0.4">
      <c r="A2" s="120"/>
      <c r="B2" s="122" t="s">
        <v>25</v>
      </c>
      <c r="C2" s="3">
        <v>1</v>
      </c>
      <c r="D2" s="3">
        <v>2</v>
      </c>
      <c r="E2" s="3">
        <v>3</v>
      </c>
      <c r="F2" s="3">
        <v>4</v>
      </c>
      <c r="G2" s="4">
        <v>5</v>
      </c>
      <c r="H2" s="3">
        <v>6</v>
      </c>
      <c r="I2" s="3">
        <v>7</v>
      </c>
      <c r="J2" s="3">
        <v>8</v>
      </c>
      <c r="K2" s="5">
        <v>9</v>
      </c>
      <c r="L2" s="184" t="s">
        <v>261</v>
      </c>
      <c r="M2" s="184" t="s">
        <v>42</v>
      </c>
      <c r="N2" s="503" t="s">
        <v>86</v>
      </c>
      <c r="O2" s="293" t="s">
        <v>38</v>
      </c>
      <c r="Y2" s="120"/>
    </row>
    <row r="3" spans="1:25" x14ac:dyDescent="0.2">
      <c r="A3" s="120"/>
      <c r="B3" s="6">
        <v>1</v>
      </c>
      <c r="C3" s="18">
        <v>99.23</v>
      </c>
      <c r="D3" s="19">
        <v>99.22</v>
      </c>
      <c r="E3" s="19">
        <v>99.21</v>
      </c>
      <c r="F3" s="20">
        <v>99.21</v>
      </c>
      <c r="G3" s="23">
        <v>99.21</v>
      </c>
      <c r="H3" s="19">
        <v>99.21</v>
      </c>
      <c r="I3" s="19">
        <v>99.21</v>
      </c>
      <c r="J3" s="19">
        <v>99.22</v>
      </c>
      <c r="K3" s="19">
        <v>99.24</v>
      </c>
      <c r="L3" s="9">
        <f t="shared" ref="L3:L32" si="0">AVERAGE(C3:K3)</f>
        <v>99.217777777777783</v>
      </c>
      <c r="M3" s="21">
        <f t="shared" ref="M3:M32" si="1">_xlfn.STDEV.P(C3:K3)</f>
        <v>1.0304020550552649E-2</v>
      </c>
      <c r="N3" s="503"/>
      <c r="O3" s="292" t="s">
        <v>4</v>
      </c>
      <c r="S3" s="2" t="s">
        <v>7</v>
      </c>
      <c r="T3" s="2" t="s">
        <v>8</v>
      </c>
      <c r="U3" s="2" t="s">
        <v>9</v>
      </c>
      <c r="V3" s="2" t="s">
        <v>10</v>
      </c>
      <c r="W3" s="41" t="s">
        <v>11</v>
      </c>
      <c r="X3" s="46" t="s">
        <v>12</v>
      </c>
      <c r="Y3" s="120"/>
    </row>
    <row r="4" spans="1:25" ht="15" thickBot="1" x14ac:dyDescent="0.25">
      <c r="A4" s="120"/>
      <c r="B4" s="7">
        <v>2</v>
      </c>
      <c r="C4" s="18">
        <v>99.23</v>
      </c>
      <c r="D4" s="19">
        <v>99.22</v>
      </c>
      <c r="E4" s="19">
        <v>99.21</v>
      </c>
      <c r="F4" s="19">
        <v>99.21</v>
      </c>
      <c r="G4" s="23">
        <v>99.21</v>
      </c>
      <c r="H4" s="19">
        <v>99.21</v>
      </c>
      <c r="I4" s="19">
        <v>99.21</v>
      </c>
      <c r="J4" s="19">
        <v>99.22</v>
      </c>
      <c r="K4" s="19">
        <v>99.24</v>
      </c>
      <c r="L4" s="9">
        <f t="shared" si="0"/>
        <v>99.217777777777783</v>
      </c>
      <c r="M4" s="21">
        <f>_xlfn.STDEV.P(C4:K4)</f>
        <v>1.0304020550552649E-2</v>
      </c>
      <c r="N4" s="503"/>
      <c r="O4" s="17">
        <f>AVERAGE(C35:K35)</f>
        <v>5.4037037037041893E-2</v>
      </c>
      <c r="S4" s="2" t="str">
        <f>indeter_MI!B5</f>
        <v>Поверка</v>
      </c>
      <c r="T4" s="2">
        <f>indeter_MI!C5</f>
        <v>0.1</v>
      </c>
      <c r="U4" s="2" t="str">
        <f>indeter_MI!D5</f>
        <v>Нормальное</v>
      </c>
      <c r="V4" s="2">
        <f>indeter_MI!E5</f>
        <v>2</v>
      </c>
      <c r="W4" s="59">
        <f>T4/V4</f>
        <v>0.05</v>
      </c>
      <c r="X4" s="52">
        <f t="shared" ref="X4:X9" si="2">W4*W4</f>
        <v>2.5000000000000005E-3</v>
      </c>
      <c r="Y4" s="120"/>
    </row>
    <row r="5" spans="1:25" x14ac:dyDescent="0.2">
      <c r="A5" s="120"/>
      <c r="B5" s="6">
        <v>3</v>
      </c>
      <c r="C5" s="18">
        <v>99.23</v>
      </c>
      <c r="D5" s="19">
        <v>99.22</v>
      </c>
      <c r="E5" s="19">
        <v>99.21</v>
      </c>
      <c r="F5" s="19">
        <v>99.21</v>
      </c>
      <c r="G5" s="23">
        <v>99.21</v>
      </c>
      <c r="H5" s="19">
        <v>99.21</v>
      </c>
      <c r="I5" s="19">
        <v>99.21</v>
      </c>
      <c r="J5" s="19">
        <v>99.22</v>
      </c>
      <c r="K5" s="19">
        <v>99.24</v>
      </c>
      <c r="L5" s="9">
        <f t="shared" si="0"/>
        <v>99.217777777777783</v>
      </c>
      <c r="M5" s="21">
        <f t="shared" si="1"/>
        <v>1.0304020550552649E-2</v>
      </c>
      <c r="N5" s="503"/>
      <c r="O5" s="292" t="s">
        <v>5</v>
      </c>
      <c r="S5" s="2" t="str">
        <f>indeter_MI!B6</f>
        <v>Повторяемость*</v>
      </c>
      <c r="T5" s="2">
        <f>indeter_MI!C6</f>
        <v>0.01</v>
      </c>
      <c r="U5" s="2" t="str">
        <f>indeter_MI!D6</f>
        <v>Нормальное</v>
      </c>
      <c r="V5" s="2">
        <f>indeter_MI!E6</f>
        <v>1</v>
      </c>
      <c r="W5" s="59">
        <f t="shared" ref="W5:W13" si="3">T5/V5</f>
        <v>0.01</v>
      </c>
      <c r="X5" s="52">
        <f t="shared" si="2"/>
        <v>1E-4</v>
      </c>
      <c r="Y5" s="120"/>
    </row>
    <row r="6" spans="1:25" ht="15" thickBot="1" x14ac:dyDescent="0.25">
      <c r="A6" s="120"/>
      <c r="B6" s="7">
        <v>4</v>
      </c>
      <c r="C6" s="18">
        <v>99.23</v>
      </c>
      <c r="D6" s="19">
        <v>99.22</v>
      </c>
      <c r="E6" s="19">
        <v>99.21</v>
      </c>
      <c r="F6" s="19">
        <v>99.21</v>
      </c>
      <c r="G6" s="23">
        <v>99.21</v>
      </c>
      <c r="H6" s="19">
        <v>99.21</v>
      </c>
      <c r="I6" s="19">
        <v>99.21</v>
      </c>
      <c r="J6" s="19">
        <v>99.22</v>
      </c>
      <c r="K6" s="19">
        <v>99.24</v>
      </c>
      <c r="L6" s="9">
        <f t="shared" si="0"/>
        <v>99.217777777777783</v>
      </c>
      <c r="M6" s="21">
        <f t="shared" si="1"/>
        <v>1.0304020550552649E-2</v>
      </c>
      <c r="N6" s="503"/>
      <c r="O6" s="17">
        <f>O4/(SQRT(270))</f>
        <v>3.2885893473255522E-3</v>
      </c>
      <c r="S6" s="2" t="str">
        <f>indeter_MI!B7</f>
        <v>Гистерезис</v>
      </c>
      <c r="T6" s="2">
        <f>indeter_MI!C7</f>
        <v>0.01</v>
      </c>
      <c r="U6" s="2" t="str">
        <f>indeter_MI!D7</f>
        <v>Прямоугольное</v>
      </c>
      <c r="V6" s="2">
        <f>indeter_MI!E7</f>
        <v>1.73</v>
      </c>
      <c r="W6" s="59">
        <f t="shared" si="3"/>
        <v>5.7803468208092491E-3</v>
      </c>
      <c r="X6" s="52">
        <f t="shared" si="2"/>
        <v>3.3412409368839592E-5</v>
      </c>
      <c r="Y6" s="120"/>
    </row>
    <row r="7" spans="1:25" x14ac:dyDescent="0.2">
      <c r="A7" s="120"/>
      <c r="B7" s="6">
        <v>5</v>
      </c>
      <c r="C7" s="18">
        <v>99.23</v>
      </c>
      <c r="D7" s="19">
        <v>99.22</v>
      </c>
      <c r="E7" s="19">
        <v>99.21</v>
      </c>
      <c r="F7" s="19">
        <v>99.21</v>
      </c>
      <c r="G7" s="23">
        <v>99.21</v>
      </c>
      <c r="H7" s="19">
        <v>99.21</v>
      </c>
      <c r="I7" s="19">
        <v>99.21</v>
      </c>
      <c r="J7" s="19">
        <v>99.22</v>
      </c>
      <c r="K7" s="19">
        <v>99.24</v>
      </c>
      <c r="L7" s="9">
        <f t="shared" si="0"/>
        <v>99.217777777777783</v>
      </c>
      <c r="M7" s="21">
        <f t="shared" si="1"/>
        <v>1.0304020550552649E-2</v>
      </c>
      <c r="N7" s="503"/>
      <c r="S7" s="2" t="str">
        <f>indeter_MI!B8</f>
        <v>Влияние температуры</v>
      </c>
      <c r="T7" s="2">
        <f>indeter_MI!C8</f>
        <v>0.01</v>
      </c>
      <c r="U7" s="2" t="str">
        <f>indeter_MI!D8</f>
        <v>Прямоугольное</v>
      </c>
      <c r="V7" s="2">
        <f>indeter_MI!E8</f>
        <v>1.73</v>
      </c>
      <c r="W7" s="59">
        <f t="shared" si="3"/>
        <v>5.7803468208092491E-3</v>
      </c>
      <c r="X7" s="52">
        <f t="shared" si="2"/>
        <v>3.3412409368839592E-5</v>
      </c>
      <c r="Y7" s="120"/>
    </row>
    <row r="8" spans="1:25" ht="15" thickBot="1" x14ac:dyDescent="0.25">
      <c r="A8" s="120"/>
      <c r="B8" s="7">
        <v>6</v>
      </c>
      <c r="C8" s="18">
        <v>99.23</v>
      </c>
      <c r="D8" s="19">
        <v>99.22</v>
      </c>
      <c r="E8" s="19">
        <v>99.21</v>
      </c>
      <c r="F8" s="19">
        <v>99.21</v>
      </c>
      <c r="G8" s="23">
        <v>99.21</v>
      </c>
      <c r="H8" s="19">
        <v>99.21</v>
      </c>
      <c r="I8" s="19">
        <v>99.21</v>
      </c>
      <c r="J8" s="19">
        <v>99.22</v>
      </c>
      <c r="K8" s="19">
        <v>99.24</v>
      </c>
      <c r="L8" s="9">
        <f t="shared" si="0"/>
        <v>99.217777777777783</v>
      </c>
      <c r="M8" s="21">
        <f t="shared" si="1"/>
        <v>1.0304020550552649E-2</v>
      </c>
      <c r="N8" s="503"/>
      <c r="S8" s="2" t="str">
        <f>indeter_MI!B9</f>
        <v>Дрейф*</v>
      </c>
      <c r="T8" s="2">
        <f>indeter_MI!C9</f>
        <v>0.1</v>
      </c>
      <c r="U8" s="2" t="str">
        <f>indeter_MI!D9</f>
        <v>Прямоугольное</v>
      </c>
      <c r="V8" s="2">
        <f>indeter_MI!E9</f>
        <v>1.73</v>
      </c>
      <c r="W8" s="59">
        <f t="shared" si="3"/>
        <v>5.7803468208092491E-2</v>
      </c>
      <c r="X8" s="52">
        <f t="shared" si="2"/>
        <v>3.3412409368839594E-3</v>
      </c>
      <c r="Y8" s="120"/>
    </row>
    <row r="9" spans="1:25" x14ac:dyDescent="0.2">
      <c r="A9" s="120"/>
      <c r="B9" s="6">
        <v>7</v>
      </c>
      <c r="C9" s="18">
        <v>99.23</v>
      </c>
      <c r="D9" s="19">
        <v>99.22</v>
      </c>
      <c r="E9" s="19">
        <v>99.21</v>
      </c>
      <c r="F9" s="19">
        <v>99.21</v>
      </c>
      <c r="G9" s="23">
        <v>99.21</v>
      </c>
      <c r="H9" s="19">
        <v>99.21</v>
      </c>
      <c r="I9" s="19">
        <v>99.21</v>
      </c>
      <c r="J9" s="19">
        <v>99.22</v>
      </c>
      <c r="K9" s="19">
        <v>99.24</v>
      </c>
      <c r="L9" s="9">
        <f t="shared" si="0"/>
        <v>99.217777777777783</v>
      </c>
      <c r="M9" s="21">
        <f t="shared" si="1"/>
        <v>1.0304020550552649E-2</v>
      </c>
      <c r="N9" s="503"/>
      <c r="O9" s="2" t="s">
        <v>0</v>
      </c>
      <c r="P9" s="2" t="s">
        <v>2</v>
      </c>
      <c r="Q9" s="2" t="s">
        <v>3</v>
      </c>
      <c r="S9" s="2" t="str">
        <f>indeter_MI!B10</f>
        <v>Линейность</v>
      </c>
      <c r="T9" s="2">
        <f>indeter_MI!C10</f>
        <v>0.02</v>
      </c>
      <c r="U9" s="2" t="str">
        <f>indeter_MI!D10</f>
        <v>Прямоугольное</v>
      </c>
      <c r="V9" s="2">
        <f>indeter_MI!E10</f>
        <v>1.73</v>
      </c>
      <c r="W9" s="59">
        <f t="shared" si="3"/>
        <v>1.1560693641618498E-2</v>
      </c>
      <c r="X9" s="52">
        <f t="shared" si="2"/>
        <v>1.3364963747535837E-4</v>
      </c>
      <c r="Y9" s="120"/>
    </row>
    <row r="10" spans="1:25" ht="15" thickBot="1" x14ac:dyDescent="0.25">
      <c r="A10" s="120"/>
      <c r="B10" s="7">
        <v>8</v>
      </c>
      <c r="C10" s="18">
        <v>99.23</v>
      </c>
      <c r="D10" s="19">
        <v>99.22</v>
      </c>
      <c r="E10" s="19">
        <v>99.21</v>
      </c>
      <c r="F10" s="19">
        <v>99.21</v>
      </c>
      <c r="G10" s="23">
        <v>99.21</v>
      </c>
      <c r="H10" s="19">
        <v>99.21</v>
      </c>
      <c r="I10" s="19">
        <v>99.21</v>
      </c>
      <c r="J10" s="19">
        <v>99.22</v>
      </c>
      <c r="K10" s="19">
        <v>99.24</v>
      </c>
      <c r="L10" s="9">
        <f t="shared" si="0"/>
        <v>99.217777777777783</v>
      </c>
      <c r="M10" s="21">
        <f t="shared" si="1"/>
        <v>1.0304020550552649E-2</v>
      </c>
      <c r="N10" s="503"/>
      <c r="O10" s="38">
        <f>MAX(M4:M33)</f>
        <v>0.288097205817756</v>
      </c>
      <c r="P10" s="51">
        <f>MAX(C35:K35)</f>
        <v>0.21599999999997976</v>
      </c>
      <c r="Q10" s="50">
        <f>O6</f>
        <v>3.2885893473255522E-3</v>
      </c>
      <c r="S10" s="2" t="str">
        <f>indeter_MI!B11</f>
        <v>Разрешающая способность</v>
      </c>
      <c r="T10" s="2">
        <f>indeter_MI!C11</f>
        <v>0.01</v>
      </c>
      <c r="U10" s="2" t="str">
        <f>indeter_MI!D11</f>
        <v>Прямоугольное</v>
      </c>
      <c r="V10" s="2">
        <f>indeter_MI!E11</f>
        <v>1.73</v>
      </c>
      <c r="W10" s="59">
        <f t="shared" si="3"/>
        <v>5.7803468208092491E-3</v>
      </c>
      <c r="X10" s="52">
        <f>W10*W10</f>
        <v>3.3412409368839592E-5</v>
      </c>
      <c r="Y10" s="120"/>
    </row>
    <row r="11" spans="1:25" x14ac:dyDescent="0.2">
      <c r="A11" s="120"/>
      <c r="B11" s="6">
        <v>9</v>
      </c>
      <c r="C11" s="18">
        <v>99.23</v>
      </c>
      <c r="D11" s="19">
        <v>99.22</v>
      </c>
      <c r="E11" s="19">
        <v>99.21</v>
      </c>
      <c r="F11" s="19">
        <v>99.21</v>
      </c>
      <c r="G11" s="23">
        <v>99.21</v>
      </c>
      <c r="H11" s="19">
        <v>99.21</v>
      </c>
      <c r="I11" s="19">
        <v>99.21</v>
      </c>
      <c r="J11" s="19">
        <v>99.22</v>
      </c>
      <c r="K11" s="19">
        <v>99.24</v>
      </c>
      <c r="L11" s="9">
        <f t="shared" si="0"/>
        <v>99.217777777777783</v>
      </c>
      <c r="M11" s="21">
        <f t="shared" si="1"/>
        <v>1.0304020550552649E-2</v>
      </c>
      <c r="N11" s="503"/>
      <c r="S11" s="36" t="s">
        <v>0</v>
      </c>
      <c r="T11" s="37">
        <f>O10</f>
        <v>0.288097205817756</v>
      </c>
      <c r="U11" s="36" t="s">
        <v>13</v>
      </c>
      <c r="V11" s="21">
        <v>1</v>
      </c>
      <c r="W11" s="61">
        <f t="shared" si="3"/>
        <v>0.288097205817756</v>
      </c>
      <c r="X11" s="53">
        <f>W11*W11</f>
        <v>8.2999999999998464E-2</v>
      </c>
      <c r="Y11" s="120"/>
    </row>
    <row r="12" spans="1:25" ht="15" thickBot="1" x14ac:dyDescent="0.25">
      <c r="A12" s="120"/>
      <c r="B12" s="7">
        <v>10</v>
      </c>
      <c r="C12" s="18">
        <v>99.23</v>
      </c>
      <c r="D12" s="19">
        <v>99.22</v>
      </c>
      <c r="E12" s="19">
        <v>99.21</v>
      </c>
      <c r="F12" s="19">
        <v>99.21</v>
      </c>
      <c r="G12" s="23">
        <v>99.21</v>
      </c>
      <c r="H12" s="19">
        <v>99.21</v>
      </c>
      <c r="I12" s="19">
        <v>99.21</v>
      </c>
      <c r="J12" s="19">
        <v>99.22</v>
      </c>
      <c r="K12" s="19">
        <v>99.24</v>
      </c>
      <c r="L12" s="9">
        <f t="shared" si="0"/>
        <v>99.217777777777783</v>
      </c>
      <c r="M12" s="21">
        <f t="shared" si="1"/>
        <v>1.0304020550552649E-2</v>
      </c>
      <c r="N12" s="503"/>
      <c r="S12" s="26" t="s">
        <v>21</v>
      </c>
      <c r="T12" s="39">
        <f>P10</f>
        <v>0.21599999999997976</v>
      </c>
      <c r="U12" s="26" t="s">
        <v>13</v>
      </c>
      <c r="V12" s="22">
        <v>1</v>
      </c>
      <c r="W12" s="60">
        <f t="shared" si="3"/>
        <v>0.21599999999997976</v>
      </c>
      <c r="X12" s="54">
        <f>W12*W12</f>
        <v>4.665599999999126E-2</v>
      </c>
      <c r="Y12" s="120"/>
    </row>
    <row r="13" spans="1:25" x14ac:dyDescent="0.2">
      <c r="A13" s="120"/>
      <c r="B13" s="6">
        <v>11</v>
      </c>
      <c r="C13" s="18">
        <v>99.22</v>
      </c>
      <c r="D13" s="19">
        <v>99.22</v>
      </c>
      <c r="E13" s="19">
        <v>99.21</v>
      </c>
      <c r="F13" s="19">
        <v>99.21</v>
      </c>
      <c r="G13" s="23">
        <v>99.21</v>
      </c>
      <c r="H13" s="19">
        <v>99.21</v>
      </c>
      <c r="I13" s="19">
        <v>99.21</v>
      </c>
      <c r="J13" s="19">
        <v>99.22</v>
      </c>
      <c r="K13" s="19">
        <v>99.24</v>
      </c>
      <c r="L13" s="9">
        <f t="shared" si="0"/>
        <v>99.216666666666669</v>
      </c>
      <c r="M13" s="21">
        <f t="shared" si="1"/>
        <v>9.4280904158215492E-3</v>
      </c>
      <c r="N13" s="503"/>
      <c r="S13" s="25" t="s">
        <v>3</v>
      </c>
      <c r="T13" s="40">
        <f>Q10</f>
        <v>3.2885893473255522E-3</v>
      </c>
      <c r="U13" s="25" t="s">
        <v>13</v>
      </c>
      <c r="V13" s="17">
        <v>1</v>
      </c>
      <c r="W13" s="62">
        <f t="shared" si="3"/>
        <v>3.2885893473255522E-3</v>
      </c>
      <c r="X13" s="55">
        <f>W13*W13</f>
        <v>1.0814819895343101E-5</v>
      </c>
      <c r="Y13" s="120"/>
    </row>
    <row r="14" spans="1:25" ht="15" thickBot="1" x14ac:dyDescent="0.25">
      <c r="A14" s="120"/>
      <c r="B14" s="7">
        <v>12</v>
      </c>
      <c r="C14" s="18">
        <v>99.22</v>
      </c>
      <c r="D14" s="19">
        <v>99.22</v>
      </c>
      <c r="E14" s="19">
        <v>99.21</v>
      </c>
      <c r="F14" s="19">
        <v>99.21</v>
      </c>
      <c r="G14" s="23">
        <v>99.21</v>
      </c>
      <c r="H14" s="19">
        <v>99.21</v>
      </c>
      <c r="I14" s="19">
        <v>99.21</v>
      </c>
      <c r="J14" s="19">
        <v>99.22</v>
      </c>
      <c r="K14" s="19">
        <v>99.24</v>
      </c>
      <c r="L14" s="9">
        <f t="shared" si="0"/>
        <v>99.216666666666669</v>
      </c>
      <c r="M14" s="21">
        <f t="shared" si="1"/>
        <v>9.4280904158215492E-3</v>
      </c>
      <c r="N14" s="503"/>
      <c r="W14" s="56"/>
      <c r="X14" s="56"/>
      <c r="Y14" s="120"/>
    </row>
    <row r="15" spans="1:25" x14ac:dyDescent="0.2">
      <c r="A15" s="120"/>
      <c r="B15" s="6">
        <v>13</v>
      </c>
      <c r="C15" s="18">
        <v>99.22</v>
      </c>
      <c r="D15" s="19">
        <v>99.22</v>
      </c>
      <c r="E15" s="19">
        <v>99.21</v>
      </c>
      <c r="F15" s="19">
        <v>99.21</v>
      </c>
      <c r="G15" s="23">
        <v>99.21</v>
      </c>
      <c r="H15" s="19">
        <v>99.21</v>
      </c>
      <c r="I15" s="19">
        <v>99.21</v>
      </c>
      <c r="J15" s="19">
        <v>99.22</v>
      </c>
      <c r="K15" s="19">
        <v>99.24</v>
      </c>
      <c r="L15" s="9">
        <f t="shared" si="0"/>
        <v>99.216666666666669</v>
      </c>
      <c r="M15" s="21">
        <f t="shared" si="1"/>
        <v>9.4280904158215492E-3</v>
      </c>
      <c r="N15" s="503"/>
      <c r="S15" s="35" t="s">
        <v>22</v>
      </c>
      <c r="U15" s="41" t="s">
        <v>82</v>
      </c>
      <c r="V15" s="41"/>
      <c r="W15" s="57" t="s">
        <v>83</v>
      </c>
      <c r="X15" s="57"/>
      <c r="Y15" s="120"/>
    </row>
    <row r="16" spans="1:25" ht="15" thickBot="1" x14ac:dyDescent="0.25">
      <c r="A16" s="120"/>
      <c r="B16" s="7">
        <v>14</v>
      </c>
      <c r="C16" s="18">
        <v>99.22</v>
      </c>
      <c r="D16" s="19">
        <v>99.22</v>
      </c>
      <c r="E16" s="19">
        <v>99.21</v>
      </c>
      <c r="F16" s="19">
        <v>99.21</v>
      </c>
      <c r="G16" s="23">
        <v>99.21</v>
      </c>
      <c r="H16" s="19">
        <v>99.21</v>
      </c>
      <c r="I16" s="19">
        <v>99.21</v>
      </c>
      <c r="J16" s="19">
        <v>99.22</v>
      </c>
      <c r="K16" s="19">
        <v>99.24</v>
      </c>
      <c r="L16" s="9">
        <f t="shared" si="0"/>
        <v>99.216666666666669</v>
      </c>
      <c r="M16" s="21">
        <f t="shared" si="1"/>
        <v>9.4280904158215492E-3</v>
      </c>
      <c r="N16" s="503"/>
      <c r="S16" s="42">
        <f>SUM(X4:X13)</f>
        <v>0.13584194262235089</v>
      </c>
      <c r="V16" s="72">
        <f>SQRT(S16)</f>
        <v>0.36856741937174925</v>
      </c>
      <c r="W16" s="65"/>
      <c r="X16" s="72">
        <f>V16*2</f>
        <v>0.7371348387434985</v>
      </c>
      <c r="Y16" s="120"/>
    </row>
    <row r="17" spans="1:25" x14ac:dyDescent="0.2">
      <c r="A17" s="120"/>
      <c r="B17" s="6">
        <v>15</v>
      </c>
      <c r="C17" s="18">
        <v>99.22</v>
      </c>
      <c r="D17" s="19">
        <v>99.22</v>
      </c>
      <c r="E17" s="19">
        <v>99.21</v>
      </c>
      <c r="F17" s="19">
        <v>99.21</v>
      </c>
      <c r="G17" s="23">
        <v>99.21</v>
      </c>
      <c r="H17" s="19">
        <v>99.2</v>
      </c>
      <c r="I17" s="19">
        <v>99.21</v>
      </c>
      <c r="J17" s="19">
        <v>99.22</v>
      </c>
      <c r="K17" s="19">
        <v>99.23</v>
      </c>
      <c r="L17" s="9">
        <f t="shared" si="0"/>
        <v>99.214444444444453</v>
      </c>
      <c r="M17" s="21">
        <f t="shared" si="1"/>
        <v>8.3147941928324916E-3</v>
      </c>
      <c r="N17" s="503"/>
      <c r="S17" s="42">
        <f>ROUND(S16,8)</f>
        <v>0.13584193999999999</v>
      </c>
      <c r="V17" s="72">
        <f>ROUND(V16,3)</f>
        <v>0.36899999999999999</v>
      </c>
      <c r="W17" s="65"/>
      <c r="X17" s="72">
        <f>ROUND(X16,3)</f>
        <v>0.73699999999999999</v>
      </c>
      <c r="Y17" s="120"/>
    </row>
    <row r="18" spans="1:25" ht="15" thickBot="1" x14ac:dyDescent="0.25">
      <c r="A18" s="120"/>
      <c r="B18" s="7">
        <v>16</v>
      </c>
      <c r="C18" s="18">
        <v>99.22</v>
      </c>
      <c r="D18" s="19">
        <v>99.21</v>
      </c>
      <c r="E18" s="19">
        <v>99.21</v>
      </c>
      <c r="F18" s="19">
        <v>99.21</v>
      </c>
      <c r="G18" s="23">
        <v>99.21</v>
      </c>
      <c r="H18" s="19">
        <v>99.2</v>
      </c>
      <c r="I18" s="19">
        <v>99.21</v>
      </c>
      <c r="J18" s="19">
        <v>99.22</v>
      </c>
      <c r="K18" s="19">
        <v>99.24</v>
      </c>
      <c r="L18" s="9">
        <f t="shared" si="0"/>
        <v>99.214444444444453</v>
      </c>
      <c r="M18" s="21">
        <f t="shared" si="1"/>
        <v>1.0657403385138903E-2</v>
      </c>
      <c r="N18" s="503"/>
      <c r="W18" s="56"/>
      <c r="X18" s="56"/>
      <c r="Y18" s="120"/>
    </row>
    <row r="19" spans="1:25" x14ac:dyDescent="0.2">
      <c r="A19" s="120"/>
      <c r="B19" s="6">
        <v>17</v>
      </c>
      <c r="C19" s="18">
        <v>99.22</v>
      </c>
      <c r="D19" s="19">
        <v>99.21</v>
      </c>
      <c r="E19" s="19">
        <v>99.21</v>
      </c>
      <c r="F19" s="19">
        <v>99.2</v>
      </c>
      <c r="G19" s="23">
        <v>99.21</v>
      </c>
      <c r="H19" s="19">
        <v>99.2</v>
      </c>
      <c r="I19" s="19">
        <v>99.21</v>
      </c>
      <c r="J19" s="19">
        <v>99.22</v>
      </c>
      <c r="K19" s="19">
        <v>99.24</v>
      </c>
      <c r="L19" s="9">
        <f t="shared" si="0"/>
        <v>99.213333333333338</v>
      </c>
      <c r="M19" s="21">
        <f t="shared" si="1"/>
        <v>1.154700538379113E-2</v>
      </c>
      <c r="N19" s="503"/>
      <c r="O19" s="292" t="s">
        <v>36</v>
      </c>
      <c r="W19" s="56"/>
      <c r="X19" s="56"/>
      <c r="Y19" s="120"/>
    </row>
    <row r="20" spans="1:25" ht="15" thickBot="1" x14ac:dyDescent="0.25">
      <c r="A20" s="120"/>
      <c r="B20" s="7">
        <v>18</v>
      </c>
      <c r="C20" s="18">
        <v>99.22</v>
      </c>
      <c r="D20" s="19">
        <v>99.21</v>
      </c>
      <c r="E20" s="19">
        <v>99.21</v>
      </c>
      <c r="F20" s="19">
        <v>99.2</v>
      </c>
      <c r="G20" s="23">
        <v>99.21</v>
      </c>
      <c r="H20" s="19">
        <v>99.2</v>
      </c>
      <c r="I20" s="19">
        <v>99.21</v>
      </c>
      <c r="J20" s="19">
        <v>99.21</v>
      </c>
      <c r="K20" s="19">
        <v>99.23</v>
      </c>
      <c r="L20" s="9">
        <f t="shared" si="0"/>
        <v>99.211111111111123</v>
      </c>
      <c r="M20" s="21">
        <f t="shared" si="1"/>
        <v>8.7488976377913669E-3</v>
      </c>
      <c r="N20" s="503"/>
      <c r="W20" s="56"/>
      <c r="X20" s="56"/>
      <c r="Y20" s="120"/>
    </row>
    <row r="21" spans="1:25" x14ac:dyDescent="0.2">
      <c r="A21" s="120"/>
      <c r="B21" s="6">
        <v>19</v>
      </c>
      <c r="C21" s="18">
        <v>99.22</v>
      </c>
      <c r="D21" s="19">
        <v>99.21</v>
      </c>
      <c r="E21" s="19">
        <v>99.21</v>
      </c>
      <c r="F21" s="19">
        <v>99.2</v>
      </c>
      <c r="G21" s="23">
        <v>99.21</v>
      </c>
      <c r="H21" s="19">
        <v>99.08</v>
      </c>
      <c r="I21" s="19">
        <v>99.2</v>
      </c>
      <c r="J21" s="19">
        <v>99.21</v>
      </c>
      <c r="K21" s="19">
        <v>99.23</v>
      </c>
      <c r="L21" s="9">
        <f t="shared" si="0"/>
        <v>99.196666666666673</v>
      </c>
      <c r="M21" s="21">
        <f t="shared" si="1"/>
        <v>4.2163702135578365E-2</v>
      </c>
      <c r="N21" s="503"/>
      <c r="O21" s="63" t="s">
        <v>23</v>
      </c>
      <c r="S21" s="2" t="s">
        <v>7</v>
      </c>
      <c r="T21" s="2" t="s">
        <v>8</v>
      </c>
      <c r="U21" s="2" t="s">
        <v>9</v>
      </c>
      <c r="V21" s="2" t="s">
        <v>10</v>
      </c>
      <c r="W21" s="57" t="s">
        <v>11</v>
      </c>
      <c r="X21" s="58" t="s">
        <v>12</v>
      </c>
      <c r="Y21" s="120"/>
    </row>
    <row r="22" spans="1:25" ht="15" thickBot="1" x14ac:dyDescent="0.25">
      <c r="A22" s="120"/>
      <c r="B22" s="7">
        <v>20</v>
      </c>
      <c r="C22" s="18">
        <v>99.22</v>
      </c>
      <c r="D22" s="19">
        <v>99.21</v>
      </c>
      <c r="E22" s="19">
        <v>99.21</v>
      </c>
      <c r="F22" s="19">
        <v>99.2</v>
      </c>
      <c r="G22" s="23">
        <v>99.2</v>
      </c>
      <c r="H22" s="19">
        <v>98.96</v>
      </c>
      <c r="I22" s="19">
        <v>99.2</v>
      </c>
      <c r="J22" s="19">
        <v>99.21</v>
      </c>
      <c r="K22" s="19">
        <v>99.23</v>
      </c>
      <c r="L22" s="9">
        <f t="shared" si="0"/>
        <v>99.182222222222236</v>
      </c>
      <c r="M22" s="21">
        <f t="shared" si="1"/>
        <v>7.913108362117878E-2</v>
      </c>
      <c r="N22" s="503"/>
      <c r="O22" s="64">
        <f>MAX(C35:K35)</f>
        <v>0.21599999999997976</v>
      </c>
      <c r="S22" s="2" t="str">
        <f>indeter_MI!B16</f>
        <v>Поверка</v>
      </c>
      <c r="T22" s="2">
        <f>indeter_MI!C16</f>
        <v>0.1</v>
      </c>
      <c r="U22" s="2" t="str">
        <f>indeter_MI!D16</f>
        <v>Нормальное</v>
      </c>
      <c r="V22" s="2">
        <f>indeter_MI!E16</f>
        <v>2</v>
      </c>
      <c r="W22" s="59">
        <f>T22/V22</f>
        <v>0.05</v>
      </c>
      <c r="X22" s="59">
        <f t="shared" ref="X22:X29" si="4">W22*W22</f>
        <v>2.5000000000000005E-3</v>
      </c>
      <c r="Y22" s="120"/>
    </row>
    <row r="23" spans="1:25" x14ac:dyDescent="0.2">
      <c r="A23" s="120"/>
      <c r="B23" s="6">
        <v>21</v>
      </c>
      <c r="C23" s="18">
        <v>99.22</v>
      </c>
      <c r="D23" s="19">
        <v>99.21</v>
      </c>
      <c r="E23" s="19">
        <v>99.21</v>
      </c>
      <c r="F23" s="19">
        <v>99.2</v>
      </c>
      <c r="G23" s="23">
        <v>99.2</v>
      </c>
      <c r="H23" s="19">
        <v>98.91</v>
      </c>
      <c r="I23" s="19">
        <v>99.2</v>
      </c>
      <c r="J23" s="19">
        <v>99.21</v>
      </c>
      <c r="K23" s="19">
        <v>99.23</v>
      </c>
      <c r="L23" s="9">
        <f t="shared" si="0"/>
        <v>99.176666666666677</v>
      </c>
      <c r="M23" s="21">
        <f t="shared" si="1"/>
        <v>9.4751136023680058E-2</v>
      </c>
      <c r="N23" s="503"/>
      <c r="S23" s="2" t="str">
        <f>indeter_MI!B17</f>
        <v>Повторяемость*</v>
      </c>
      <c r="T23" s="2">
        <f>indeter_MI!C17</f>
        <v>0.01</v>
      </c>
      <c r="U23" s="2" t="str">
        <f>indeter_MI!D17</f>
        <v>Нормальное</v>
      </c>
      <c r="V23" s="2">
        <f>indeter_MI!E17</f>
        <v>1</v>
      </c>
      <c r="W23" s="59">
        <f t="shared" ref="W23:W28" si="5">T23/V23</f>
        <v>0.01</v>
      </c>
      <c r="X23" s="59">
        <f t="shared" si="4"/>
        <v>1E-4</v>
      </c>
      <c r="Y23" s="120"/>
    </row>
    <row r="24" spans="1:25" ht="15" thickBot="1" x14ac:dyDescent="0.25">
      <c r="A24" s="120"/>
      <c r="B24" s="7">
        <v>22</v>
      </c>
      <c r="C24" s="18">
        <v>99.22</v>
      </c>
      <c r="D24" s="19">
        <v>99.21</v>
      </c>
      <c r="E24" s="19">
        <v>99.2</v>
      </c>
      <c r="F24" s="19">
        <v>99.1</v>
      </c>
      <c r="G24" s="23">
        <v>99.2</v>
      </c>
      <c r="H24" s="19">
        <v>98.79</v>
      </c>
      <c r="I24" s="19">
        <v>99.2</v>
      </c>
      <c r="J24" s="19">
        <v>99.21</v>
      </c>
      <c r="K24" s="19">
        <v>99.22</v>
      </c>
      <c r="L24" s="9">
        <f t="shared" si="0"/>
        <v>99.15000000000002</v>
      </c>
      <c r="M24" s="21">
        <f t="shared" si="1"/>
        <v>0.13190905958272711</v>
      </c>
      <c r="N24" s="503"/>
      <c r="S24" s="2" t="str">
        <f>indeter_MI!B18</f>
        <v>Гистерезис</v>
      </c>
      <c r="T24" s="2">
        <f>indeter_MI!C18</f>
        <v>0.01</v>
      </c>
      <c r="U24" s="2" t="str">
        <f>indeter_MI!D18</f>
        <v>Прямоугольное</v>
      </c>
      <c r="V24" s="2">
        <f>indeter_MI!E18</f>
        <v>1.73</v>
      </c>
      <c r="W24" s="59">
        <f t="shared" si="5"/>
        <v>5.7803468208092491E-3</v>
      </c>
      <c r="X24" s="59">
        <f t="shared" si="4"/>
        <v>3.3412409368839592E-5</v>
      </c>
      <c r="Y24" s="120"/>
    </row>
    <row r="25" spans="1:25" x14ac:dyDescent="0.2">
      <c r="A25" s="120"/>
      <c r="B25" s="6">
        <v>23</v>
      </c>
      <c r="C25" s="18">
        <v>99.22</v>
      </c>
      <c r="D25" s="19">
        <v>99.21</v>
      </c>
      <c r="E25" s="19">
        <v>99.2</v>
      </c>
      <c r="F25" s="19">
        <v>98.96</v>
      </c>
      <c r="G25" s="23">
        <v>99.2</v>
      </c>
      <c r="H25" s="19">
        <v>98.69</v>
      </c>
      <c r="I25" s="19">
        <v>99.2</v>
      </c>
      <c r="J25" s="19">
        <v>99.21</v>
      </c>
      <c r="K25" s="19">
        <v>99.23</v>
      </c>
      <c r="L25" s="9">
        <f t="shared" si="0"/>
        <v>99.124444444444464</v>
      </c>
      <c r="M25" s="21">
        <f t="shared" si="1"/>
        <v>0.17250514395622654</v>
      </c>
      <c r="N25" s="503"/>
      <c r="S25" s="2" t="str">
        <f>indeter_MI!B19</f>
        <v>Влияние температуры</v>
      </c>
      <c r="T25" s="2">
        <f>indeter_MI!C19</f>
        <v>0.01</v>
      </c>
      <c r="U25" s="2" t="str">
        <f>indeter_MI!D19</f>
        <v>Прямоугольное</v>
      </c>
      <c r="V25" s="2">
        <f>indeter_MI!E19</f>
        <v>1.73</v>
      </c>
      <c r="W25" s="59">
        <f t="shared" si="5"/>
        <v>5.7803468208092491E-3</v>
      </c>
      <c r="X25" s="59">
        <f t="shared" si="4"/>
        <v>3.3412409368839592E-5</v>
      </c>
      <c r="Y25" s="120"/>
    </row>
    <row r="26" spans="1:25" ht="15" thickBot="1" x14ac:dyDescent="0.25">
      <c r="A26" s="120"/>
      <c r="B26" s="7">
        <v>24</v>
      </c>
      <c r="C26" s="18">
        <v>99.22</v>
      </c>
      <c r="D26" s="19">
        <v>99.21</v>
      </c>
      <c r="E26" s="19">
        <v>99.2</v>
      </c>
      <c r="F26" s="19">
        <v>98.83</v>
      </c>
      <c r="G26" s="23">
        <v>99.2</v>
      </c>
      <c r="H26" s="19">
        <v>98.58</v>
      </c>
      <c r="I26" s="19">
        <v>99.2</v>
      </c>
      <c r="J26" s="19">
        <v>99.21</v>
      </c>
      <c r="K26" s="19">
        <v>99.23</v>
      </c>
      <c r="L26" s="9">
        <f t="shared" si="0"/>
        <v>99.097777777777793</v>
      </c>
      <c r="M26" s="21">
        <f t="shared" si="1"/>
        <v>0.21826476163787817</v>
      </c>
      <c r="N26" s="503"/>
      <c r="S26" s="2" t="str">
        <f>indeter_MI!B20</f>
        <v>Дрейф*</v>
      </c>
      <c r="T26" s="2">
        <f>indeter_MI!C20</f>
        <v>0.1</v>
      </c>
      <c r="U26" s="2" t="str">
        <f>indeter_MI!D20</f>
        <v>Прямоугольное</v>
      </c>
      <c r="V26" s="2">
        <f>indeter_MI!E20</f>
        <v>1.73</v>
      </c>
      <c r="W26" s="59">
        <f t="shared" si="5"/>
        <v>5.7803468208092491E-2</v>
      </c>
      <c r="X26" s="59">
        <f t="shared" si="4"/>
        <v>3.3412409368839594E-3</v>
      </c>
      <c r="Y26" s="120"/>
    </row>
    <row r="27" spans="1:25" x14ac:dyDescent="0.2">
      <c r="A27" s="120"/>
      <c r="B27" s="6">
        <v>25</v>
      </c>
      <c r="C27" s="18">
        <v>99.22</v>
      </c>
      <c r="D27" s="19">
        <v>99.21</v>
      </c>
      <c r="E27" s="19">
        <v>99.2</v>
      </c>
      <c r="F27" s="19">
        <v>98.7</v>
      </c>
      <c r="G27" s="23">
        <v>99.2</v>
      </c>
      <c r="H27" s="19">
        <v>98.52</v>
      </c>
      <c r="I27" s="19">
        <v>99.2</v>
      </c>
      <c r="J27" s="19">
        <v>99.21</v>
      </c>
      <c r="K27" s="19">
        <v>99.31</v>
      </c>
      <c r="L27" s="9">
        <f t="shared" si="0"/>
        <v>99.085555555555558</v>
      </c>
      <c r="M27" s="21">
        <f t="shared" si="1"/>
        <v>0.25974821616802174</v>
      </c>
      <c r="N27" s="503"/>
      <c r="S27" s="2" t="str">
        <f>indeter_MI!B21</f>
        <v>Линейность</v>
      </c>
      <c r="T27" s="2">
        <f>indeter_MI!C21</f>
        <v>0.02</v>
      </c>
      <c r="U27" s="2" t="str">
        <f>indeter_MI!D21</f>
        <v>Прямоугольное</v>
      </c>
      <c r="V27" s="2">
        <f>indeter_MI!E21</f>
        <v>1.73</v>
      </c>
      <c r="W27" s="59">
        <f t="shared" si="5"/>
        <v>1.1560693641618498E-2</v>
      </c>
      <c r="X27" s="59">
        <f t="shared" si="4"/>
        <v>1.3364963747535837E-4</v>
      </c>
      <c r="Y27" s="120"/>
    </row>
    <row r="28" spans="1:25" ht="15" thickBot="1" x14ac:dyDescent="0.25">
      <c r="A28" s="120"/>
      <c r="B28" s="7">
        <v>26</v>
      </c>
      <c r="C28" s="18">
        <v>99.22</v>
      </c>
      <c r="D28" s="19">
        <v>99.21</v>
      </c>
      <c r="E28" s="19">
        <v>99.2</v>
      </c>
      <c r="F28" s="19">
        <v>98.59</v>
      </c>
      <c r="G28" s="23">
        <v>99.2</v>
      </c>
      <c r="H28" s="19">
        <v>98.48</v>
      </c>
      <c r="I28" s="19">
        <v>99.16</v>
      </c>
      <c r="J28" s="19">
        <v>99.21</v>
      </c>
      <c r="K28" s="19">
        <v>99.22</v>
      </c>
      <c r="L28" s="9">
        <f t="shared" si="0"/>
        <v>99.054444444444442</v>
      </c>
      <c r="M28" s="21">
        <f t="shared" si="1"/>
        <v>0.27936877703180368</v>
      </c>
      <c r="N28" s="503"/>
      <c r="S28" s="2" t="str">
        <f>indeter_MI!B22</f>
        <v>Разрешающая способность</v>
      </c>
      <c r="T28" s="2">
        <f>indeter_MI!C22</f>
        <v>0.01</v>
      </c>
      <c r="U28" s="2" t="str">
        <f>indeter_MI!D22</f>
        <v>Прямоугольное</v>
      </c>
      <c r="V28" s="2">
        <f>indeter_MI!E22</f>
        <v>1.73</v>
      </c>
      <c r="W28" s="59">
        <f t="shared" si="5"/>
        <v>5.7803468208092491E-3</v>
      </c>
      <c r="X28" s="59">
        <f t="shared" si="4"/>
        <v>3.3412409368839592E-5</v>
      </c>
      <c r="Y28" s="120"/>
    </row>
    <row r="29" spans="1:25" x14ac:dyDescent="0.2">
      <c r="A29" s="120"/>
      <c r="B29" s="6">
        <v>27</v>
      </c>
      <c r="C29" s="18">
        <v>99.22</v>
      </c>
      <c r="D29" s="19">
        <v>99.21</v>
      </c>
      <c r="E29" s="19">
        <v>99.2</v>
      </c>
      <c r="F29" s="19">
        <v>98.54</v>
      </c>
      <c r="G29" s="23">
        <v>99.2</v>
      </c>
      <c r="H29" s="19">
        <v>98.48</v>
      </c>
      <c r="I29" s="19">
        <v>99.14</v>
      </c>
      <c r="J29" s="19">
        <v>99.21</v>
      </c>
      <c r="K29" s="19">
        <v>99.22</v>
      </c>
      <c r="L29" s="9">
        <f t="shared" si="0"/>
        <v>99.046666666666681</v>
      </c>
      <c r="M29" s="21">
        <f t="shared" si="1"/>
        <v>0.288097205817756</v>
      </c>
      <c r="N29" s="503"/>
      <c r="S29" s="48" t="s">
        <v>21</v>
      </c>
      <c r="T29" s="49">
        <f>O22</f>
        <v>0.21599999999997976</v>
      </c>
      <c r="U29" s="49" t="s">
        <v>13</v>
      </c>
      <c r="V29" s="16">
        <v>1</v>
      </c>
      <c r="W29" s="60">
        <f>T29/V29</f>
        <v>0.21599999999997976</v>
      </c>
      <c r="X29" s="60">
        <f t="shared" si="4"/>
        <v>4.665599999999126E-2</v>
      </c>
      <c r="Y29" s="120"/>
    </row>
    <row r="30" spans="1:25" ht="15" thickBot="1" x14ac:dyDescent="0.25">
      <c r="A30" s="120"/>
      <c r="B30" s="7">
        <v>28</v>
      </c>
      <c r="C30" s="18">
        <v>99.21</v>
      </c>
      <c r="D30" s="19">
        <v>99.21</v>
      </c>
      <c r="E30" s="19">
        <v>99.2</v>
      </c>
      <c r="F30" s="19">
        <v>98.55</v>
      </c>
      <c r="G30" s="23">
        <v>99.18</v>
      </c>
      <c r="H30" s="19">
        <v>98.51</v>
      </c>
      <c r="I30" s="19">
        <v>99.12</v>
      </c>
      <c r="J30" s="19">
        <v>99.21</v>
      </c>
      <c r="K30" s="19">
        <v>99.23</v>
      </c>
      <c r="L30" s="9">
        <f t="shared" si="0"/>
        <v>99.046666666666681</v>
      </c>
      <c r="M30" s="21">
        <f t="shared" si="1"/>
        <v>0.27788886667555035</v>
      </c>
      <c r="N30" s="503"/>
      <c r="X30" s="56"/>
      <c r="Y30" s="120"/>
    </row>
    <row r="31" spans="1:25" ht="15" thickBot="1" x14ac:dyDescent="0.25">
      <c r="A31" s="120"/>
      <c r="B31" s="8">
        <v>29</v>
      </c>
      <c r="C31" s="18">
        <v>99.21</v>
      </c>
      <c r="D31" s="19">
        <v>99.21</v>
      </c>
      <c r="E31" s="19">
        <v>99.2</v>
      </c>
      <c r="F31" s="19">
        <v>98.55</v>
      </c>
      <c r="G31" s="23">
        <v>99.18</v>
      </c>
      <c r="H31" s="19">
        <v>98.54</v>
      </c>
      <c r="I31" s="19">
        <v>99.07</v>
      </c>
      <c r="J31" s="19">
        <v>99.21</v>
      </c>
      <c r="K31" s="19">
        <v>99.22</v>
      </c>
      <c r="L31" s="9">
        <f t="shared" si="0"/>
        <v>99.043333333333351</v>
      </c>
      <c r="M31" s="21">
        <f t="shared" si="1"/>
        <v>0.26981475126463922</v>
      </c>
      <c r="N31" s="503"/>
      <c r="S31" s="35" t="s">
        <v>22</v>
      </c>
      <c r="U31" s="41" t="s">
        <v>82</v>
      </c>
      <c r="V31" s="41"/>
      <c r="W31" s="41" t="s">
        <v>83</v>
      </c>
      <c r="X31" s="57"/>
      <c r="Y31" s="120"/>
    </row>
    <row r="32" spans="1:25" ht="15" thickBot="1" x14ac:dyDescent="0.25">
      <c r="A32" s="120"/>
      <c r="B32" s="8">
        <v>30</v>
      </c>
      <c r="C32" s="18">
        <v>99.21</v>
      </c>
      <c r="D32" s="19">
        <v>99.21</v>
      </c>
      <c r="E32" s="19">
        <v>99.2</v>
      </c>
      <c r="F32" s="19">
        <v>98.55</v>
      </c>
      <c r="G32" s="23">
        <v>99.18</v>
      </c>
      <c r="H32" s="19">
        <v>98.54</v>
      </c>
      <c r="I32" s="19">
        <v>99.07</v>
      </c>
      <c r="J32" s="19">
        <v>99.21</v>
      </c>
      <c r="K32" s="19">
        <v>99.22</v>
      </c>
      <c r="L32" s="9">
        <f t="shared" si="0"/>
        <v>99.043333333333351</v>
      </c>
      <c r="M32" s="21">
        <f t="shared" si="1"/>
        <v>0.26981475126463922</v>
      </c>
      <c r="N32" s="503"/>
      <c r="S32" s="42">
        <f>SUM(X22:X29)</f>
        <v>5.2831127802457099E-2</v>
      </c>
      <c r="V32" s="72">
        <f>SQRT(S32)</f>
        <v>0.22985022906766289</v>
      </c>
      <c r="W32" s="65"/>
      <c r="X32" s="72">
        <f>V32*2</f>
        <v>0.45970045813532578</v>
      </c>
      <c r="Y32" s="120"/>
    </row>
    <row r="33" spans="1:25" ht="19.5" thickBot="1" x14ac:dyDescent="0.4">
      <c r="A33" s="120"/>
      <c r="B33" s="93" t="s">
        <v>64</v>
      </c>
      <c r="C33" s="30">
        <f>AVERAGE(C3:C32)</f>
        <v>99.22233333333331</v>
      </c>
      <c r="D33" s="31">
        <f t="shared" ref="D33:K33" si="6">AVERAGE(D3:D32)</f>
        <v>99.215000000000018</v>
      </c>
      <c r="E33" s="31">
        <f t="shared" si="6"/>
        <v>99.206999999999951</v>
      </c>
      <c r="F33" s="31">
        <f t="shared" si="6"/>
        <v>99.057666666666691</v>
      </c>
      <c r="G33" s="31">
        <f t="shared" si="6"/>
        <v>99.204333333333295</v>
      </c>
      <c r="H33" s="31">
        <f t="shared" si="6"/>
        <v>98.994000000000014</v>
      </c>
      <c r="I33" s="31">
        <f t="shared" si="6"/>
        <v>99.191333333333333</v>
      </c>
      <c r="J33" s="31">
        <f t="shared" si="6"/>
        <v>99.215666666666692</v>
      </c>
      <c r="K33" s="31">
        <f t="shared" si="6"/>
        <v>99.236333333333292</v>
      </c>
      <c r="N33" s="503"/>
      <c r="S33" s="42">
        <f>ROUND(S32,8)</f>
        <v>5.2831129999999997E-2</v>
      </c>
      <c r="V33" s="72">
        <f>ROUND(V32,3)</f>
        <v>0.23</v>
      </c>
      <c r="W33" s="65"/>
      <c r="X33" s="72">
        <f>ROUND(X32,3)</f>
        <v>0.46</v>
      </c>
      <c r="Y33" s="120"/>
    </row>
    <row r="34" spans="1:25" ht="19.5" thickBot="1" x14ac:dyDescent="0.4">
      <c r="A34" s="120"/>
      <c r="B34" s="93" t="s">
        <v>39</v>
      </c>
      <c r="C34" s="27">
        <f>_xlfn.STDEV.P(C3:C32)</f>
        <v>6.1553951042096133E-3</v>
      </c>
      <c r="D34" s="22">
        <f t="shared" ref="D34:K34" si="7">_xlfn.STDEV.P(D3:D32)</f>
        <v>5.0000000000025562E-3</v>
      </c>
      <c r="E34" s="22">
        <f t="shared" si="7"/>
        <v>4.5825756949516719E-3</v>
      </c>
      <c r="F34" s="22">
        <f t="shared" si="7"/>
        <v>0.25321510399043728</v>
      </c>
      <c r="G34" s="22">
        <f t="shared" si="7"/>
        <v>9.1954094827512104E-3</v>
      </c>
      <c r="H34" s="22">
        <f t="shared" si="7"/>
        <v>0.29117692216245128</v>
      </c>
      <c r="I34" s="22">
        <f t="shared" si="7"/>
        <v>3.8706875645318981E-2</v>
      </c>
      <c r="J34" s="22">
        <f t="shared" si="7"/>
        <v>4.9553562491087026E-3</v>
      </c>
      <c r="K34" s="22">
        <f t="shared" si="7"/>
        <v>1.5595583420385598E-2</v>
      </c>
      <c r="N34" s="503"/>
      <c r="S34" s="66"/>
      <c r="T34" s="66"/>
      <c r="U34" s="66"/>
      <c r="V34" s="66"/>
      <c r="W34" s="66"/>
      <c r="X34" s="66"/>
      <c r="Y34" s="124"/>
    </row>
    <row r="35" spans="1:25" ht="19.5" thickBot="1" x14ac:dyDescent="0.4">
      <c r="A35" s="120"/>
      <c r="B35" s="93" t="s">
        <v>65</v>
      </c>
      <c r="C35" s="11">
        <f>MAX(C3:C32)-C33</f>
        <v>7.6666666666937999E-3</v>
      </c>
      <c r="D35" s="12">
        <f t="shared" ref="D35:K35" si="8">MAX(D3:D32)-D33</f>
        <v>4.9999999999812417E-3</v>
      </c>
      <c r="E35" s="12">
        <f t="shared" si="8"/>
        <v>3.0000000000427463E-3</v>
      </c>
      <c r="F35" s="12">
        <f t="shared" si="8"/>
        <v>0.15233333333330279</v>
      </c>
      <c r="G35" s="24">
        <f t="shared" si="8"/>
        <v>5.6666666666984611E-3</v>
      </c>
      <c r="H35" s="12">
        <f t="shared" si="8"/>
        <v>0.21599999999997976</v>
      </c>
      <c r="I35" s="12">
        <f t="shared" si="8"/>
        <v>1.8666666666661058E-2</v>
      </c>
      <c r="J35" s="12">
        <f t="shared" si="8"/>
        <v>4.3333333333066548E-3</v>
      </c>
      <c r="K35" s="12">
        <f t="shared" si="8"/>
        <v>7.3666666666710512E-2</v>
      </c>
      <c r="N35" s="503"/>
      <c r="Y35" s="120"/>
    </row>
    <row r="36" spans="1:25" ht="19.5" thickBot="1" x14ac:dyDescent="0.4">
      <c r="A36" s="120"/>
      <c r="B36" s="93" t="s">
        <v>66</v>
      </c>
      <c r="C36" s="11">
        <f>C33-MIN(C3:C32)</f>
        <v>1.2333333333316432E-2</v>
      </c>
      <c r="D36" s="12">
        <f t="shared" ref="D36:K36" si="9">D33-MIN(D3:D32)</f>
        <v>5.0000000000238742E-3</v>
      </c>
      <c r="E36" s="12">
        <f t="shared" si="9"/>
        <v>6.9999999999481588E-3</v>
      </c>
      <c r="F36" s="12">
        <f t="shared" si="9"/>
        <v>0.5176666666666847</v>
      </c>
      <c r="G36" s="24">
        <f t="shared" si="9"/>
        <v>2.4333333333288465E-2</v>
      </c>
      <c r="H36" s="12">
        <f t="shared" si="9"/>
        <v>0.51400000000001</v>
      </c>
      <c r="I36" s="12">
        <f t="shared" si="9"/>
        <v>0.12133333333333951</v>
      </c>
      <c r="J36" s="12">
        <f t="shared" si="9"/>
        <v>5.6666666666984611E-3</v>
      </c>
      <c r="K36" s="12">
        <f t="shared" si="9"/>
        <v>1.6333333333292899E-2</v>
      </c>
      <c r="N36" s="503"/>
      <c r="Y36" s="120"/>
    </row>
    <row r="37" spans="1:25" ht="15.75" thickBot="1" x14ac:dyDescent="0.25">
      <c r="A37" s="120"/>
      <c r="B37" s="94" t="s">
        <v>37</v>
      </c>
      <c r="C37" s="14">
        <f>(C35+C36)/2</f>
        <v>1.0000000000005116E-2</v>
      </c>
      <c r="D37" s="15">
        <f t="shared" ref="D37:K37" si="10">(D35+D36)/2</f>
        <v>5.000000000002558E-3</v>
      </c>
      <c r="E37" s="15">
        <f t="shared" si="10"/>
        <v>4.9999999999954525E-3</v>
      </c>
      <c r="F37" s="15">
        <f t="shared" si="10"/>
        <v>0.33499999999999375</v>
      </c>
      <c r="G37" s="15">
        <f t="shared" si="10"/>
        <v>1.4999999999993463E-2</v>
      </c>
      <c r="H37" s="15">
        <f t="shared" si="10"/>
        <v>0.36499999999999488</v>
      </c>
      <c r="I37" s="15">
        <f t="shared" si="10"/>
        <v>7.0000000000000284E-2</v>
      </c>
      <c r="J37" s="15">
        <f t="shared" si="10"/>
        <v>5.000000000002558E-3</v>
      </c>
      <c r="K37" s="15">
        <f t="shared" si="10"/>
        <v>4.5000000000001705E-2</v>
      </c>
      <c r="N37" s="503"/>
      <c r="Y37" s="120"/>
    </row>
    <row r="38" spans="1:25" ht="19.5" thickBot="1" x14ac:dyDescent="0.4">
      <c r="A38" s="120"/>
      <c r="B38" s="95" t="s">
        <v>67</v>
      </c>
      <c r="C38" s="43">
        <f>C33-$G33</f>
        <v>1.8000000000014893E-2</v>
      </c>
      <c r="D38" s="13">
        <f t="shared" ref="D38:K38" si="11">D33-$G33</f>
        <v>1.0666666666722335E-2</v>
      </c>
      <c r="E38" s="13">
        <f t="shared" si="11"/>
        <v>2.6666666666557148E-3</v>
      </c>
      <c r="F38" s="13">
        <f t="shared" si="11"/>
        <v>-0.14666666666660433</v>
      </c>
      <c r="G38" s="13">
        <f>G33-$G33</f>
        <v>0</v>
      </c>
      <c r="H38" s="13">
        <f t="shared" si="11"/>
        <v>-0.2103333333332813</v>
      </c>
      <c r="I38" s="13">
        <f t="shared" si="11"/>
        <v>-1.2999999999962597E-2</v>
      </c>
      <c r="J38" s="13">
        <f t="shared" si="11"/>
        <v>1.1333333333396922E-2</v>
      </c>
      <c r="K38" s="13">
        <f t="shared" si="11"/>
        <v>3.1999999999996476E-2</v>
      </c>
      <c r="N38" s="503"/>
      <c r="Y38" s="120"/>
    </row>
    <row r="39" spans="1:25" ht="18.75" x14ac:dyDescent="0.35">
      <c r="A39" s="120"/>
      <c r="B39" s="99" t="s">
        <v>68</v>
      </c>
      <c r="C39" s="45">
        <v>98</v>
      </c>
      <c r="N39" s="503"/>
      <c r="Y39" s="120"/>
    </row>
    <row r="40" spans="1:25" ht="18.75" x14ac:dyDescent="0.2">
      <c r="A40" s="120"/>
      <c r="B40" s="100" t="s">
        <v>69</v>
      </c>
      <c r="C40" s="44">
        <f>AVERAGE(C3:K32)</f>
        <v>99.171518518518354</v>
      </c>
      <c r="N40" s="503"/>
      <c r="Y40" s="120"/>
    </row>
    <row r="41" spans="1:25" ht="18.75" x14ac:dyDescent="0.2">
      <c r="A41" s="120"/>
      <c r="B41" s="101" t="s">
        <v>70</v>
      </c>
      <c r="C41" s="28">
        <f>C40-C39</f>
        <v>1.1715185185183543</v>
      </c>
      <c r="N41" s="503"/>
      <c r="Y41" s="120"/>
    </row>
    <row r="42" spans="1:25" ht="18.75" x14ac:dyDescent="0.2">
      <c r="A42" s="120"/>
      <c r="B42" s="102" t="s">
        <v>71</v>
      </c>
      <c r="C42" s="29">
        <f>MAX(C33:K33)-MIN(C33:K33)</f>
        <v>0.24233333333327778</v>
      </c>
      <c r="N42" s="503"/>
      <c r="Y42" s="120"/>
    </row>
    <row r="43" spans="1:25" ht="18.75" x14ac:dyDescent="0.2">
      <c r="A43" s="120"/>
      <c r="B43" s="103" t="s">
        <v>72</v>
      </c>
      <c r="C43" s="32">
        <f>MAX(C38:K38)</f>
        <v>3.1999999999996476E-2</v>
      </c>
      <c r="N43" s="503"/>
      <c r="Y43" s="120"/>
    </row>
    <row r="44" spans="1:25" x14ac:dyDescent="0.2">
      <c r="A44" s="120"/>
      <c r="B44" s="104"/>
      <c r="C44" s="32">
        <f>MIN(C38:K38)</f>
        <v>-0.2103333333332813</v>
      </c>
      <c r="D44" s="65"/>
      <c r="N44" s="503"/>
      <c r="Y44" s="120"/>
    </row>
    <row r="45" spans="1:25" ht="18.75" x14ac:dyDescent="0.2">
      <c r="A45" s="120"/>
      <c r="B45" s="105" t="s">
        <v>50</v>
      </c>
      <c r="C45" s="33">
        <f>AVERAGE(C37:K37)</f>
        <v>9.4999999999998863E-2</v>
      </c>
      <c r="N45" s="503"/>
      <c r="Y45" s="120"/>
    </row>
    <row r="46" spans="1:25" ht="18.75" x14ac:dyDescent="0.35">
      <c r="A46" s="120"/>
      <c r="B46" s="180" t="s">
        <v>259</v>
      </c>
      <c r="C46" s="181">
        <f>_xlfn.STDEV.P(C3:K32)</f>
        <v>0.15226533137436651</v>
      </c>
      <c r="N46" s="503"/>
      <c r="Y46" s="120"/>
    </row>
    <row r="47" spans="1:25" x14ac:dyDescent="0.2">
      <c r="A47" s="120"/>
      <c r="B47" s="120"/>
      <c r="C47" s="120"/>
      <c r="D47" s="120"/>
      <c r="E47" s="120"/>
      <c r="F47" s="120"/>
      <c r="G47" s="120"/>
      <c r="H47" s="120"/>
      <c r="I47" s="120"/>
      <c r="J47" s="120"/>
      <c r="K47" s="120"/>
      <c r="L47" s="120"/>
      <c r="M47" s="120"/>
      <c r="N47" s="120"/>
      <c r="O47" s="120"/>
      <c r="P47" s="120"/>
      <c r="Q47" s="120"/>
      <c r="R47" s="120"/>
      <c r="S47" s="120"/>
      <c r="T47" s="120"/>
      <c r="U47" s="120"/>
      <c r="V47" s="120"/>
      <c r="W47" s="120"/>
      <c r="X47" s="120"/>
      <c r="Y47" s="120"/>
    </row>
    <row r="48" spans="1:25" ht="15" thickBot="1" x14ac:dyDescent="0.25">
      <c r="A48" s="123"/>
      <c r="B48" s="123"/>
      <c r="C48" s="123"/>
      <c r="D48" s="123"/>
      <c r="E48" s="123"/>
      <c r="F48" s="123"/>
      <c r="G48" s="123"/>
      <c r="H48" s="123"/>
      <c r="I48" s="123"/>
      <c r="J48" s="123"/>
      <c r="K48" s="123"/>
      <c r="L48" s="123"/>
      <c r="M48" s="123"/>
      <c r="N48" s="123"/>
      <c r="O48" s="123" t="s">
        <v>6</v>
      </c>
      <c r="P48" s="123"/>
      <c r="Q48" s="123"/>
      <c r="R48" s="123"/>
      <c r="S48" s="123"/>
      <c r="T48" s="123"/>
      <c r="U48" s="123"/>
      <c r="V48" s="123"/>
      <c r="W48" s="123"/>
      <c r="X48" s="123"/>
      <c r="Y48" s="123"/>
    </row>
    <row r="49" spans="1:25" ht="19.5" thickBot="1" x14ac:dyDescent="0.3">
      <c r="A49" s="123"/>
      <c r="B49" s="121" t="s">
        <v>31</v>
      </c>
      <c r="C49" s="3">
        <v>1</v>
      </c>
      <c r="D49" s="3">
        <v>2</v>
      </c>
      <c r="E49" s="3">
        <v>3</v>
      </c>
      <c r="F49" s="3">
        <v>4</v>
      </c>
      <c r="G49" s="4">
        <v>5</v>
      </c>
      <c r="H49" s="3">
        <v>6</v>
      </c>
      <c r="I49" s="3">
        <v>7</v>
      </c>
      <c r="J49" s="3">
        <v>8</v>
      </c>
      <c r="K49" s="5">
        <v>9</v>
      </c>
      <c r="L49" s="1" t="s">
        <v>1</v>
      </c>
      <c r="M49" s="183" t="s">
        <v>260</v>
      </c>
      <c r="N49" s="501" t="s">
        <v>85</v>
      </c>
      <c r="O49" s="293" t="s">
        <v>24</v>
      </c>
      <c r="Y49" s="123"/>
    </row>
    <row r="50" spans="1:25" x14ac:dyDescent="0.2">
      <c r="A50" s="123"/>
      <c r="B50" s="6">
        <v>1</v>
      </c>
      <c r="C50" s="68">
        <v>39.69003</v>
      </c>
      <c r="D50" s="9">
        <v>39.890059999999998</v>
      </c>
      <c r="E50" s="9">
        <v>39.800939999999997</v>
      </c>
      <c r="F50" s="9">
        <v>40.029969999999999</v>
      </c>
      <c r="G50" s="67">
        <v>39.7866</v>
      </c>
      <c r="H50" s="9">
        <v>39.702770000000001</v>
      </c>
      <c r="I50" s="9">
        <v>39.728859999999997</v>
      </c>
      <c r="J50" s="9">
        <v>39.519660000000002</v>
      </c>
      <c r="K50" s="9">
        <v>39.863959999999999</v>
      </c>
      <c r="L50" s="9">
        <f>AVERAGE(C50:K50)</f>
        <v>39.779205555555556</v>
      </c>
      <c r="M50" s="73">
        <f>_xlfn.STDEV.P(C50:K50)</f>
        <v>0.13604539210711991</v>
      </c>
      <c r="N50" s="502"/>
      <c r="O50" s="292" t="s">
        <v>4</v>
      </c>
      <c r="S50" s="2" t="s">
        <v>7</v>
      </c>
      <c r="T50" s="2" t="s">
        <v>8</v>
      </c>
      <c r="U50" s="2" t="s">
        <v>9</v>
      </c>
      <c r="V50" s="2" t="s">
        <v>10</v>
      </c>
      <c r="W50" s="41" t="s">
        <v>11</v>
      </c>
      <c r="X50" s="46" t="s">
        <v>12</v>
      </c>
      <c r="Y50" s="123"/>
    </row>
    <row r="51" spans="1:25" ht="15" thickBot="1" x14ac:dyDescent="0.25">
      <c r="A51" s="123"/>
      <c r="B51" s="7">
        <v>2</v>
      </c>
      <c r="C51" s="68">
        <v>39.681750000000001</v>
      </c>
      <c r="D51" s="9">
        <v>39.884929999999997</v>
      </c>
      <c r="E51" s="9">
        <v>39.797649999999997</v>
      </c>
      <c r="F51" s="9">
        <v>40.025069999999999</v>
      </c>
      <c r="G51" s="67">
        <v>39.777160000000002</v>
      </c>
      <c r="H51" s="9">
        <v>39.693420000000003</v>
      </c>
      <c r="I51" s="9">
        <v>39.72146</v>
      </c>
      <c r="J51" s="9">
        <v>39.514279999999999</v>
      </c>
      <c r="K51" s="9">
        <v>39.856560000000002</v>
      </c>
      <c r="L51" s="9">
        <f t="shared" ref="L51:L79" si="12">AVERAGE(C51:K51)</f>
        <v>39.772475555555552</v>
      </c>
      <c r="M51" s="21">
        <f t="shared" ref="M51:M79" si="13">_xlfn.STDEV.P(C51:K51)</f>
        <v>0.13659521913799874</v>
      </c>
      <c r="N51" s="502"/>
      <c r="O51" s="17">
        <f>AVERAGE(C81:K81)</f>
        <v>6.2514709150153147E-3</v>
      </c>
      <c r="S51" s="2" t="str">
        <f>indeter_MI!B16</f>
        <v>Поверка</v>
      </c>
      <c r="T51" s="2">
        <f>indeter_MI!C16</f>
        <v>0.1</v>
      </c>
      <c r="U51" s="2" t="str">
        <f>indeter_MI!D16</f>
        <v>Нормальное</v>
      </c>
      <c r="V51" s="2">
        <f>indeter_MI!E16</f>
        <v>2</v>
      </c>
      <c r="W51" s="59">
        <f>T51/V51</f>
        <v>0.05</v>
      </c>
      <c r="X51" s="52">
        <f t="shared" ref="X51:X56" si="14">W51*W51</f>
        <v>2.5000000000000005E-3</v>
      </c>
      <c r="Y51" s="123"/>
    </row>
    <row r="52" spans="1:25" x14ac:dyDescent="0.2">
      <c r="A52" s="123"/>
      <c r="B52" s="6">
        <v>3</v>
      </c>
      <c r="C52" s="68">
        <v>39.674460000000003</v>
      </c>
      <c r="D52" s="9">
        <v>39.876220000000004</v>
      </c>
      <c r="E52" s="9">
        <v>39.790990000000001</v>
      </c>
      <c r="F52" s="9">
        <v>40.015439999999998</v>
      </c>
      <c r="G52" s="67">
        <v>39.765549999999998</v>
      </c>
      <c r="H52" s="9">
        <v>39.684570000000001</v>
      </c>
      <c r="I52" s="9">
        <v>39.711449999999999</v>
      </c>
      <c r="J52" s="9">
        <v>39.508580000000002</v>
      </c>
      <c r="K52" s="9">
        <v>39.849730000000001</v>
      </c>
      <c r="L52" s="9">
        <f t="shared" si="12"/>
        <v>39.764109999999995</v>
      </c>
      <c r="M52" s="21">
        <f t="shared" si="13"/>
        <v>0.13590160002328416</v>
      </c>
      <c r="N52" s="502"/>
      <c r="O52" s="292" t="s">
        <v>5</v>
      </c>
      <c r="S52" s="2" t="str">
        <f>indeter_MI!B17</f>
        <v>Повторяемость*</v>
      </c>
      <c r="T52" s="2">
        <f>indeter_MI!C17</f>
        <v>0.01</v>
      </c>
      <c r="U52" s="2" t="str">
        <f>indeter_MI!D17</f>
        <v>Нормальное</v>
      </c>
      <c r="V52" s="2">
        <f>indeter_MI!E17</f>
        <v>1</v>
      </c>
      <c r="W52" s="59">
        <f t="shared" ref="W52:W60" si="15">T52/V52</f>
        <v>0.01</v>
      </c>
      <c r="X52" s="52">
        <f t="shared" si="14"/>
        <v>1E-4</v>
      </c>
      <c r="Y52" s="123"/>
    </row>
    <row r="53" spans="1:25" ht="15" thickBot="1" x14ac:dyDescent="0.25">
      <c r="A53" s="123"/>
      <c r="B53" s="7">
        <v>4</v>
      </c>
      <c r="C53" s="68">
        <v>39.672179999999997</v>
      </c>
      <c r="D53" s="9">
        <v>39.870190000000001</v>
      </c>
      <c r="E53" s="9">
        <v>39.786540000000002</v>
      </c>
      <c r="F53" s="9">
        <v>40.011139999999997</v>
      </c>
      <c r="G53" s="67">
        <v>39.761249999999997</v>
      </c>
      <c r="H53" s="9">
        <v>39.679839999999999</v>
      </c>
      <c r="I53" s="9">
        <v>39.706609999999998</v>
      </c>
      <c r="J53" s="9">
        <v>39.504309999999997</v>
      </c>
      <c r="K53" s="9">
        <v>39.84554</v>
      </c>
      <c r="L53" s="9">
        <f t="shared" si="12"/>
        <v>39.75973333333333</v>
      </c>
      <c r="M53" s="21">
        <f t="shared" si="13"/>
        <v>0.1356471597769586</v>
      </c>
      <c r="N53" s="502"/>
      <c r="O53" s="17">
        <f>O51/(SQRT(270))</f>
        <v>3.8045240419348324E-4</v>
      </c>
      <c r="S53" s="2" t="str">
        <f>indeter_MI!B18</f>
        <v>Гистерезис</v>
      </c>
      <c r="T53" s="2">
        <f>indeter_MI!C18</f>
        <v>0.01</v>
      </c>
      <c r="U53" s="2" t="str">
        <f>indeter_MI!D18</f>
        <v>Прямоугольное</v>
      </c>
      <c r="V53" s="2">
        <f>indeter_MI!E18</f>
        <v>1.73</v>
      </c>
      <c r="W53" s="59">
        <f t="shared" si="15"/>
        <v>5.7803468208092491E-3</v>
      </c>
      <c r="X53" s="52">
        <f t="shared" si="14"/>
        <v>3.3412409368839592E-5</v>
      </c>
      <c r="Y53" s="123"/>
    </row>
    <row r="54" spans="1:25" x14ac:dyDescent="0.2">
      <c r="A54" s="123"/>
      <c r="B54" s="6">
        <v>5</v>
      </c>
      <c r="C54" s="68">
        <v>39.670569999999998</v>
      </c>
      <c r="D54" s="9">
        <v>39.868899999999996</v>
      </c>
      <c r="E54" s="9">
        <v>39.783459999999998</v>
      </c>
      <c r="F54" s="9">
        <v>40.008620000000001</v>
      </c>
      <c r="G54" s="67">
        <v>39.760420000000003</v>
      </c>
      <c r="H54" s="9">
        <v>39.680489999999999</v>
      </c>
      <c r="I54" s="9">
        <v>39.70449</v>
      </c>
      <c r="J54" s="9">
        <v>39.502130000000001</v>
      </c>
      <c r="K54" s="9">
        <v>39.844569999999997</v>
      </c>
      <c r="L54" s="9">
        <f t="shared" si="12"/>
        <v>39.758183333333335</v>
      </c>
      <c r="M54" s="21">
        <f t="shared" si="13"/>
        <v>0.13549985928651936</v>
      </c>
      <c r="N54" s="502"/>
      <c r="S54" s="2" t="str">
        <f>indeter_MI!B19</f>
        <v>Влияние температуры</v>
      </c>
      <c r="T54" s="2">
        <f>indeter_MI!C19</f>
        <v>0.01</v>
      </c>
      <c r="U54" s="2" t="str">
        <f>indeter_MI!D19</f>
        <v>Прямоугольное</v>
      </c>
      <c r="V54" s="2">
        <f>indeter_MI!E19</f>
        <v>1.73</v>
      </c>
      <c r="W54" s="59">
        <f t="shared" si="15"/>
        <v>5.7803468208092491E-3</v>
      </c>
      <c r="X54" s="52">
        <f t="shared" si="14"/>
        <v>3.3412409368839592E-5</v>
      </c>
      <c r="Y54" s="123"/>
    </row>
    <row r="55" spans="1:25" ht="15" thickBot="1" x14ac:dyDescent="0.25">
      <c r="A55" s="123"/>
      <c r="B55" s="7">
        <v>6</v>
      </c>
      <c r="C55" s="68">
        <v>39.669589999999999</v>
      </c>
      <c r="D55" s="9">
        <v>39.870109999999997</v>
      </c>
      <c r="E55" s="9">
        <v>39.783029999999997</v>
      </c>
      <c r="F55" s="9">
        <v>40.005470000000003</v>
      </c>
      <c r="G55" s="67">
        <v>39.760249999999999</v>
      </c>
      <c r="H55" s="9">
        <v>39.679079999999999</v>
      </c>
      <c r="I55" s="9">
        <v>39.703200000000002</v>
      </c>
      <c r="J55" s="9">
        <v>39.500999999999998</v>
      </c>
      <c r="K55" s="9">
        <v>39.843069999999997</v>
      </c>
      <c r="L55" s="9">
        <f t="shared" si="12"/>
        <v>39.75719999999999</v>
      </c>
      <c r="M55" s="21">
        <f t="shared" si="13"/>
        <v>0.13530603000441507</v>
      </c>
      <c r="N55" s="502"/>
      <c r="S55" s="2" t="str">
        <f>indeter_MI!B20</f>
        <v>Дрейф*</v>
      </c>
      <c r="T55" s="2">
        <f>indeter_MI!C20</f>
        <v>0.1</v>
      </c>
      <c r="U55" s="2" t="str">
        <f>indeter_MI!D20</f>
        <v>Прямоугольное</v>
      </c>
      <c r="V55" s="2">
        <f>indeter_MI!E20</f>
        <v>1.73</v>
      </c>
      <c r="W55" s="59">
        <f t="shared" si="15"/>
        <v>5.7803468208092491E-2</v>
      </c>
      <c r="X55" s="52">
        <f t="shared" si="14"/>
        <v>3.3412409368839594E-3</v>
      </c>
      <c r="Y55" s="123"/>
    </row>
    <row r="56" spans="1:25" x14ac:dyDescent="0.2">
      <c r="A56" s="123"/>
      <c r="B56" s="6">
        <v>7</v>
      </c>
      <c r="C56" s="68">
        <v>39.673169999999999</v>
      </c>
      <c r="D56" s="9">
        <v>39.873399999999997</v>
      </c>
      <c r="E56" s="9">
        <v>39.782539999999997</v>
      </c>
      <c r="F56" s="9">
        <v>40.00703</v>
      </c>
      <c r="G56" s="67">
        <v>39.76238</v>
      </c>
      <c r="H56" s="9">
        <v>39.683059999999998</v>
      </c>
      <c r="I56" s="9">
        <v>39.708100000000002</v>
      </c>
      <c r="J56" s="9">
        <v>39.504710000000003</v>
      </c>
      <c r="K56" s="9">
        <v>39.846530000000001</v>
      </c>
      <c r="L56" s="9">
        <f t="shared" si="12"/>
        <v>39.760102222222223</v>
      </c>
      <c r="M56" s="21">
        <f t="shared" si="13"/>
        <v>0.13466429468024632</v>
      </c>
      <c r="N56" s="502"/>
      <c r="O56" s="2" t="s">
        <v>0</v>
      </c>
      <c r="P56" s="2" t="s">
        <v>2</v>
      </c>
      <c r="Q56" s="2" t="s">
        <v>3</v>
      </c>
      <c r="S56" s="2" t="str">
        <f>indeter_MI!B21</f>
        <v>Линейность</v>
      </c>
      <c r="T56" s="2">
        <f>indeter_MI!C21</f>
        <v>0.02</v>
      </c>
      <c r="U56" s="2" t="str">
        <f>indeter_MI!D21</f>
        <v>Прямоугольное</v>
      </c>
      <c r="V56" s="2">
        <f>indeter_MI!E21</f>
        <v>1.73</v>
      </c>
      <c r="W56" s="59">
        <f t="shared" si="15"/>
        <v>1.1560693641618498E-2</v>
      </c>
      <c r="X56" s="52">
        <f t="shared" si="14"/>
        <v>1.3364963747535837E-4</v>
      </c>
      <c r="Y56" s="123"/>
    </row>
    <row r="57" spans="1:25" ht="15" thickBot="1" x14ac:dyDescent="0.25">
      <c r="A57" s="123"/>
      <c r="B57" s="7">
        <v>8</v>
      </c>
      <c r="C57" s="68">
        <v>39.676960000000001</v>
      </c>
      <c r="D57" s="9">
        <v>39.87426</v>
      </c>
      <c r="E57" s="9">
        <v>39.785069999999997</v>
      </c>
      <c r="F57" s="9">
        <v>40.015099999999997</v>
      </c>
      <c r="G57" s="67">
        <v>39.768030000000003</v>
      </c>
      <c r="H57" s="9">
        <v>39.687869999999997</v>
      </c>
      <c r="I57" s="9">
        <v>39.712510000000002</v>
      </c>
      <c r="J57" s="9">
        <v>39.506239999999998</v>
      </c>
      <c r="K57" s="9">
        <v>39.849550000000001</v>
      </c>
      <c r="L57" s="9">
        <f t="shared" si="12"/>
        <v>39.763954444444444</v>
      </c>
      <c r="M57" s="21">
        <f t="shared" si="13"/>
        <v>0.13558540704098307</v>
      </c>
      <c r="N57" s="502"/>
      <c r="O57" s="38">
        <f>MAX(M50:M79)</f>
        <v>0.13765721558447</v>
      </c>
      <c r="P57" s="51">
        <f>MAX(C81:K81)</f>
        <v>9.2428604338699646E-3</v>
      </c>
      <c r="Q57" s="50">
        <f>O53</f>
        <v>3.8045240419348324E-4</v>
      </c>
      <c r="S57" s="2" t="str">
        <f>indeter_MI!B22</f>
        <v>Разрешающая способность</v>
      </c>
      <c r="T57" s="2">
        <f>indeter_MI!C22</f>
        <v>0.01</v>
      </c>
      <c r="U57" s="2" t="str">
        <f>indeter_MI!D22</f>
        <v>Прямоугольное</v>
      </c>
      <c r="V57" s="2">
        <f>indeter_MI!E22</f>
        <v>1.73</v>
      </c>
      <c r="W57" s="59">
        <f t="shared" si="15"/>
        <v>5.7803468208092491E-3</v>
      </c>
      <c r="X57" s="52">
        <f>W57*W57</f>
        <v>3.3412409368839592E-5</v>
      </c>
      <c r="Y57" s="123"/>
    </row>
    <row r="58" spans="1:25" x14ac:dyDescent="0.2">
      <c r="A58" s="123"/>
      <c r="B58" s="6">
        <v>9</v>
      </c>
      <c r="C58" s="68">
        <v>39.677930000000003</v>
      </c>
      <c r="D58" s="9">
        <v>39.87574</v>
      </c>
      <c r="E58" s="9">
        <v>39.787039999999998</v>
      </c>
      <c r="F58" s="9">
        <v>40.018030000000003</v>
      </c>
      <c r="G58" s="67">
        <v>39.770040000000002</v>
      </c>
      <c r="H58" s="9">
        <v>39.689169999999997</v>
      </c>
      <c r="I58" s="9">
        <v>39.711649999999999</v>
      </c>
      <c r="J58" s="9">
        <v>39.508800000000001</v>
      </c>
      <c r="K58" s="9">
        <v>39.849629999999998</v>
      </c>
      <c r="L58" s="9">
        <f t="shared" si="12"/>
        <v>39.76533666666667</v>
      </c>
      <c r="M58" s="21">
        <f t="shared" si="13"/>
        <v>0.13571864065861514</v>
      </c>
      <c r="N58" s="502"/>
      <c r="S58" s="36" t="s">
        <v>0</v>
      </c>
      <c r="T58" s="37">
        <f>O57</f>
        <v>0.13765721558447</v>
      </c>
      <c r="U58" s="36" t="s">
        <v>13</v>
      </c>
      <c r="V58" s="21">
        <v>1</v>
      </c>
      <c r="W58" s="61">
        <f t="shared" si="15"/>
        <v>0.13765721558447</v>
      </c>
      <c r="X58" s="53">
        <f>W58*W58</f>
        <v>1.894950900246925E-2</v>
      </c>
      <c r="Y58" s="123"/>
    </row>
    <row r="59" spans="1:25" ht="15" thickBot="1" x14ac:dyDescent="0.25">
      <c r="A59" s="123"/>
      <c r="B59" s="7">
        <v>10</v>
      </c>
      <c r="C59" s="68">
        <v>39.677720000000001</v>
      </c>
      <c r="D59" s="9">
        <v>39.877400000000002</v>
      </c>
      <c r="E59" s="9">
        <v>39.79</v>
      </c>
      <c r="F59" s="9">
        <v>40.020339999999997</v>
      </c>
      <c r="G59" s="67">
        <v>39.769390000000001</v>
      </c>
      <c r="H59" s="9">
        <v>39.69126</v>
      </c>
      <c r="I59" s="9">
        <v>39.715809999999998</v>
      </c>
      <c r="J59" s="9">
        <v>39.509979999999999</v>
      </c>
      <c r="K59" s="9">
        <v>39.852119999999999</v>
      </c>
      <c r="L59" s="9">
        <f t="shared" si="12"/>
        <v>39.767113333333334</v>
      </c>
      <c r="M59" s="21">
        <f t="shared" si="13"/>
        <v>0.13602960829662522</v>
      </c>
      <c r="N59" s="502"/>
      <c r="S59" s="26" t="s">
        <v>21</v>
      </c>
      <c r="T59" s="39">
        <f>P57</f>
        <v>9.2428604338699646E-3</v>
      </c>
      <c r="U59" s="26" t="s">
        <v>13</v>
      </c>
      <c r="V59" s="22">
        <v>1</v>
      </c>
      <c r="W59" s="60">
        <f t="shared" si="15"/>
        <v>9.2428604338699646E-3</v>
      </c>
      <c r="X59" s="54">
        <f>W59*W59</f>
        <v>8.5430468999998872E-5</v>
      </c>
      <c r="Y59" s="123"/>
    </row>
    <row r="60" spans="1:25" x14ac:dyDescent="0.2">
      <c r="A60" s="123"/>
      <c r="B60" s="6">
        <v>11</v>
      </c>
      <c r="C60" s="68">
        <v>39.672899999999998</v>
      </c>
      <c r="D60" s="9">
        <v>39.873179999999998</v>
      </c>
      <c r="E60" s="9">
        <v>39.788400000000003</v>
      </c>
      <c r="F60" s="9">
        <v>40.019829999999999</v>
      </c>
      <c r="G60" s="67">
        <v>39.764180000000003</v>
      </c>
      <c r="H60" s="9">
        <v>39.687390000000001</v>
      </c>
      <c r="I60" s="9">
        <v>39.713039999999999</v>
      </c>
      <c r="J60" s="9">
        <v>39.506</v>
      </c>
      <c r="K60" s="9">
        <v>39.847990000000003</v>
      </c>
      <c r="L60" s="9">
        <f t="shared" si="12"/>
        <v>39.763656666666662</v>
      </c>
      <c r="M60" s="21">
        <f t="shared" si="13"/>
        <v>0.1367670918020851</v>
      </c>
      <c r="N60" s="502"/>
      <c r="S60" s="25" t="s">
        <v>3</v>
      </c>
      <c r="T60" s="40">
        <f>Q57</f>
        <v>3.8045240419348324E-4</v>
      </c>
      <c r="U60" s="25" t="s">
        <v>13</v>
      </c>
      <c r="V60" s="17">
        <v>1</v>
      </c>
      <c r="W60" s="62">
        <f t="shared" si="15"/>
        <v>3.8045240419348324E-4</v>
      </c>
      <c r="X60" s="55">
        <f>W60*W60</f>
        <v>1.4474403185660156E-7</v>
      </c>
      <c r="Y60" s="123"/>
    </row>
    <row r="61" spans="1:25" ht="15" thickBot="1" x14ac:dyDescent="0.25">
      <c r="A61" s="123"/>
      <c r="B61" s="7">
        <v>12</v>
      </c>
      <c r="C61" s="68">
        <v>39.667740000000002</v>
      </c>
      <c r="D61" s="9">
        <v>39.870519999999999</v>
      </c>
      <c r="E61" s="9">
        <v>39.78434</v>
      </c>
      <c r="F61" s="9">
        <v>40.013300000000001</v>
      </c>
      <c r="G61" s="67">
        <v>39.752510000000001</v>
      </c>
      <c r="H61" s="9">
        <v>39.681019999999997</v>
      </c>
      <c r="I61" s="9">
        <v>39.703629999999997</v>
      </c>
      <c r="J61" s="9">
        <v>39.50047</v>
      </c>
      <c r="K61" s="9">
        <v>39.844889999999999</v>
      </c>
      <c r="L61" s="9">
        <f t="shared" si="12"/>
        <v>39.757602222222225</v>
      </c>
      <c r="M61" s="21">
        <f t="shared" si="13"/>
        <v>0.13721913130122129</v>
      </c>
      <c r="N61" s="502"/>
      <c r="W61" s="56"/>
      <c r="X61" s="56"/>
      <c r="Y61" s="123"/>
    </row>
    <row r="62" spans="1:25" x14ac:dyDescent="0.2">
      <c r="A62" s="123"/>
      <c r="B62" s="6">
        <v>13</v>
      </c>
      <c r="C62" s="68">
        <v>39.674410000000002</v>
      </c>
      <c r="D62" s="9">
        <v>39.87697</v>
      </c>
      <c r="E62" s="9">
        <v>39.78031</v>
      </c>
      <c r="F62" s="9">
        <v>40.012999999999998</v>
      </c>
      <c r="G62" s="67">
        <v>39.751730000000002</v>
      </c>
      <c r="H62" s="9">
        <v>39.683219999999999</v>
      </c>
      <c r="I62" s="9">
        <v>39.707880000000003</v>
      </c>
      <c r="J62" s="9">
        <v>39.503399999999999</v>
      </c>
      <c r="K62" s="9">
        <v>39.850299999999997</v>
      </c>
      <c r="L62" s="9">
        <f t="shared" si="12"/>
        <v>39.760135555555557</v>
      </c>
      <c r="M62" s="21">
        <f t="shared" si="13"/>
        <v>0.13666937616103597</v>
      </c>
      <c r="N62" s="502"/>
      <c r="S62" s="35" t="s">
        <v>22</v>
      </c>
      <c r="U62" s="41" t="s">
        <v>82</v>
      </c>
      <c r="V62" s="41"/>
      <c r="W62" s="57" t="s">
        <v>83</v>
      </c>
      <c r="X62" s="57"/>
      <c r="Y62" s="123"/>
    </row>
    <row r="63" spans="1:25" ht="15" thickBot="1" x14ac:dyDescent="0.25">
      <c r="A63" s="123"/>
      <c r="B63" s="7">
        <v>14</v>
      </c>
      <c r="C63" s="68">
        <v>39.679380000000002</v>
      </c>
      <c r="D63" s="9">
        <v>39.882129999999997</v>
      </c>
      <c r="E63" s="9">
        <v>39.786169999999998</v>
      </c>
      <c r="F63" s="9">
        <v>40.019390000000001</v>
      </c>
      <c r="G63" s="67">
        <v>39.765659999999997</v>
      </c>
      <c r="H63" s="9">
        <v>39.692070000000001</v>
      </c>
      <c r="I63" s="9">
        <v>39.714840000000002</v>
      </c>
      <c r="J63" s="9">
        <v>39.509169999999997</v>
      </c>
      <c r="K63" s="9">
        <v>39.852939999999997</v>
      </c>
      <c r="L63" s="9">
        <f t="shared" si="12"/>
        <v>39.766861111111112</v>
      </c>
      <c r="M63" s="21">
        <f t="shared" si="13"/>
        <v>0.13629998259105158</v>
      </c>
      <c r="N63" s="502"/>
      <c r="S63" s="42">
        <f>SUM(X51:X60)</f>
        <v>2.5210212017966943E-2</v>
      </c>
      <c r="V63" s="72">
        <f>SQRT(S63)</f>
        <v>0.1587772402391695</v>
      </c>
      <c r="W63" s="65"/>
      <c r="X63" s="72">
        <f>V63*2</f>
        <v>0.31755448047833901</v>
      </c>
      <c r="Y63" s="123"/>
    </row>
    <row r="64" spans="1:25" x14ac:dyDescent="0.2">
      <c r="A64" s="123"/>
      <c r="B64" s="6">
        <v>15</v>
      </c>
      <c r="C64" s="68">
        <v>39.685670000000002</v>
      </c>
      <c r="D64" s="9">
        <v>39.887729999999998</v>
      </c>
      <c r="E64" s="9">
        <v>39.790019999999998</v>
      </c>
      <c r="F64" s="9">
        <v>40.023159999999997</v>
      </c>
      <c r="G64" s="67">
        <v>39.777250000000002</v>
      </c>
      <c r="H64" s="9">
        <v>39.698569999999997</v>
      </c>
      <c r="I64" s="9">
        <v>39.720739999999999</v>
      </c>
      <c r="J64" s="9">
        <v>39.514740000000003</v>
      </c>
      <c r="K64" s="9">
        <v>39.85839</v>
      </c>
      <c r="L64" s="9">
        <f t="shared" si="12"/>
        <v>39.772918888888881</v>
      </c>
      <c r="M64" s="21">
        <f t="shared" si="13"/>
        <v>0.13578488841173481</v>
      </c>
      <c r="N64" s="502"/>
      <c r="S64" s="42">
        <f>ROUND(S63,8)</f>
        <v>2.521021E-2</v>
      </c>
      <c r="V64" s="72">
        <f>ROUND(V63,3)</f>
        <v>0.159</v>
      </c>
      <c r="W64" s="65"/>
      <c r="X64" s="72">
        <f>ROUND(X63,3)</f>
        <v>0.318</v>
      </c>
      <c r="Y64" s="123"/>
    </row>
    <row r="65" spans="1:25" ht="15" thickBot="1" x14ac:dyDescent="0.25">
      <c r="A65" s="123"/>
      <c r="B65" s="7">
        <v>16</v>
      </c>
      <c r="C65" s="68">
        <v>39.681669999999997</v>
      </c>
      <c r="D65" s="9">
        <v>39.880740000000003</v>
      </c>
      <c r="E65" s="9">
        <v>39.79419</v>
      </c>
      <c r="F65" s="9">
        <v>40.025069999999999</v>
      </c>
      <c r="G65" s="67">
        <v>39.771419999999999</v>
      </c>
      <c r="H65" s="9">
        <v>39.694389999999999</v>
      </c>
      <c r="I65" s="9">
        <v>39.715299999999999</v>
      </c>
      <c r="J65" s="9">
        <v>39.513689999999997</v>
      </c>
      <c r="K65" s="9">
        <v>39.852800000000002</v>
      </c>
      <c r="L65" s="9">
        <f t="shared" si="12"/>
        <v>39.769918888888888</v>
      </c>
      <c r="M65" s="21">
        <f t="shared" si="13"/>
        <v>0.13620775507734584</v>
      </c>
      <c r="N65" s="502"/>
      <c r="W65" s="56"/>
      <c r="X65" s="56"/>
      <c r="Y65" s="123"/>
    </row>
    <row r="66" spans="1:25" x14ac:dyDescent="0.2">
      <c r="A66" s="123"/>
      <c r="B66" s="6">
        <v>17</v>
      </c>
      <c r="C66" s="68">
        <v>39.673409999999997</v>
      </c>
      <c r="D66" s="9">
        <v>39.872459999999997</v>
      </c>
      <c r="E66" s="9">
        <v>39.790950000000002</v>
      </c>
      <c r="F66" s="9">
        <v>40.015439999999998</v>
      </c>
      <c r="G66" s="67">
        <v>39.759450000000001</v>
      </c>
      <c r="H66" s="9">
        <v>39.679920000000003</v>
      </c>
      <c r="I66" s="9">
        <v>39.70608</v>
      </c>
      <c r="J66" s="9">
        <v>39.50656</v>
      </c>
      <c r="K66" s="9">
        <v>39.844329999999999</v>
      </c>
      <c r="L66" s="9">
        <f t="shared" si="12"/>
        <v>39.760955555555562</v>
      </c>
      <c r="M66" s="21">
        <f t="shared" si="13"/>
        <v>0.1362221289831104</v>
      </c>
      <c r="N66" s="502"/>
      <c r="O66" s="292" t="s">
        <v>36</v>
      </c>
      <c r="W66" s="56"/>
      <c r="X66" s="56"/>
      <c r="Y66" s="123"/>
    </row>
    <row r="67" spans="1:25" ht="15" thickBot="1" x14ac:dyDescent="0.25">
      <c r="A67" s="123"/>
      <c r="B67" s="7">
        <v>18</v>
      </c>
      <c r="C67" s="68">
        <v>39.670250000000003</v>
      </c>
      <c r="D67" s="9">
        <v>39.873289999999997</v>
      </c>
      <c r="E67" s="9">
        <v>39.785769999999999</v>
      </c>
      <c r="F67" s="9">
        <v>40.01155</v>
      </c>
      <c r="G67" s="67">
        <v>39.754710000000003</v>
      </c>
      <c r="H67" s="9">
        <v>39.675379999999997</v>
      </c>
      <c r="I67" s="9">
        <v>39.701970000000003</v>
      </c>
      <c r="J67" s="9">
        <v>39.504600000000003</v>
      </c>
      <c r="K67" s="9">
        <v>39.842559999999999</v>
      </c>
      <c r="L67" s="9">
        <f t="shared" si="12"/>
        <v>39.757786666666661</v>
      </c>
      <c r="M67" s="21">
        <f t="shared" si="13"/>
        <v>0.13637709786552094</v>
      </c>
      <c r="N67" s="502"/>
      <c r="W67" s="56"/>
      <c r="X67" s="56"/>
      <c r="Y67" s="123"/>
    </row>
    <row r="68" spans="1:25" x14ac:dyDescent="0.2">
      <c r="A68" s="123"/>
      <c r="B68" s="6">
        <v>19</v>
      </c>
      <c r="C68" s="68">
        <v>39.667119999999997</v>
      </c>
      <c r="D68" s="9">
        <v>39.872369999999997</v>
      </c>
      <c r="E68" s="9">
        <v>39.78389</v>
      </c>
      <c r="F68" s="9">
        <v>40.010440000000003</v>
      </c>
      <c r="G68" s="67">
        <v>39.748690000000003</v>
      </c>
      <c r="H68" s="9">
        <v>39.672580000000004</v>
      </c>
      <c r="I68" s="9">
        <v>39.697719999999997</v>
      </c>
      <c r="J68" s="9">
        <v>39.501080000000002</v>
      </c>
      <c r="K68" s="9">
        <v>39.840000000000003</v>
      </c>
      <c r="L68" s="9">
        <f t="shared" si="12"/>
        <v>39.754876666666668</v>
      </c>
      <c r="M68" s="21">
        <f t="shared" si="13"/>
        <v>0.1371928640029553</v>
      </c>
      <c r="N68" s="502"/>
      <c r="O68" s="63" t="s">
        <v>23</v>
      </c>
      <c r="S68" s="2" t="s">
        <v>7</v>
      </c>
      <c r="T68" s="2" t="s">
        <v>8</v>
      </c>
      <c r="U68" s="2" t="s">
        <v>9</v>
      </c>
      <c r="V68" s="2" t="s">
        <v>10</v>
      </c>
      <c r="W68" s="57" t="s">
        <v>11</v>
      </c>
      <c r="X68" s="58" t="s">
        <v>12</v>
      </c>
      <c r="Y68" s="123"/>
    </row>
    <row r="69" spans="1:25" ht="15" thickBot="1" x14ac:dyDescent="0.25">
      <c r="A69" s="123"/>
      <c r="B69" s="7">
        <v>20</v>
      </c>
      <c r="C69" s="68">
        <v>39.66769</v>
      </c>
      <c r="D69" s="9">
        <v>39.874899999999997</v>
      </c>
      <c r="E69" s="9">
        <v>39.782359999999997</v>
      </c>
      <c r="F69" s="9">
        <v>40.009099999999997</v>
      </c>
      <c r="G69" s="67">
        <v>39.748049999999999</v>
      </c>
      <c r="H69" s="9">
        <v>39.673189999999998</v>
      </c>
      <c r="I69" s="9">
        <v>39.700319999999998</v>
      </c>
      <c r="J69" s="9">
        <v>39.499250000000004</v>
      </c>
      <c r="K69" s="9">
        <v>39.841769999999997</v>
      </c>
      <c r="L69" s="9">
        <f t="shared" si="12"/>
        <v>39.755181111111114</v>
      </c>
      <c r="M69" s="21">
        <f t="shared" si="13"/>
        <v>0.13742970198488319</v>
      </c>
      <c r="N69" s="502"/>
      <c r="O69" s="64">
        <f>MAX(C81:K81)</f>
        <v>9.2428604338699646E-3</v>
      </c>
      <c r="S69" s="2" t="str">
        <f>indeter_MI!B5</f>
        <v>Поверка</v>
      </c>
      <c r="T69" s="2">
        <f>indeter_MI!C5</f>
        <v>0.1</v>
      </c>
      <c r="U69" s="2" t="str">
        <f>indeter_MI!D5</f>
        <v>Нормальное</v>
      </c>
      <c r="V69" s="2">
        <f>indeter_MI!E5</f>
        <v>2</v>
      </c>
      <c r="W69" s="59">
        <f>T69/V69</f>
        <v>0.05</v>
      </c>
      <c r="X69" s="59">
        <f t="shared" ref="X69:X76" si="16">W69*W69</f>
        <v>2.5000000000000005E-3</v>
      </c>
      <c r="Y69" s="123"/>
    </row>
    <row r="70" spans="1:25" x14ac:dyDescent="0.2">
      <c r="A70" s="123"/>
      <c r="B70" s="6">
        <v>21</v>
      </c>
      <c r="C70" s="68">
        <v>39.669029999999999</v>
      </c>
      <c r="D70" s="9">
        <v>39.877400000000002</v>
      </c>
      <c r="E70" s="9">
        <v>39.785339999999998</v>
      </c>
      <c r="F70" s="9">
        <v>40.014420000000001</v>
      </c>
      <c r="G70" s="67">
        <v>39.751710000000003</v>
      </c>
      <c r="H70" s="9">
        <v>39.678870000000003</v>
      </c>
      <c r="I70" s="9">
        <v>39.704700000000003</v>
      </c>
      <c r="J70" s="9">
        <v>39.502099999999999</v>
      </c>
      <c r="K70" s="9">
        <v>39.843150000000001</v>
      </c>
      <c r="L70" s="9">
        <f t="shared" si="12"/>
        <v>39.75852444444444</v>
      </c>
      <c r="M70" s="21">
        <f t="shared" si="13"/>
        <v>0.13765721558447</v>
      </c>
      <c r="N70" s="502"/>
      <c r="S70" s="2" t="str">
        <f>indeter_MI!B6</f>
        <v>Повторяемость*</v>
      </c>
      <c r="T70" s="2">
        <f>indeter_MI!C6</f>
        <v>0.01</v>
      </c>
      <c r="U70" s="2" t="str">
        <f>indeter_MI!D6</f>
        <v>Нормальное</v>
      </c>
      <c r="V70" s="2">
        <f>indeter_MI!E6</f>
        <v>1</v>
      </c>
      <c r="W70" s="59">
        <f t="shared" ref="W70:W75" si="17">T70/V70</f>
        <v>0.01</v>
      </c>
      <c r="X70" s="59">
        <f t="shared" si="16"/>
        <v>1E-4</v>
      </c>
      <c r="Y70" s="123"/>
    </row>
    <row r="71" spans="1:25" ht="15" thickBot="1" x14ac:dyDescent="0.25">
      <c r="A71" s="123"/>
      <c r="B71" s="7">
        <v>22</v>
      </c>
      <c r="C71" s="68">
        <v>39.673070000000003</v>
      </c>
      <c r="D71" s="9">
        <v>39.87697</v>
      </c>
      <c r="E71" s="9">
        <v>39.786009999999997</v>
      </c>
      <c r="F71" s="9">
        <v>40.016959999999997</v>
      </c>
      <c r="G71" s="67">
        <v>39.753419999999998</v>
      </c>
      <c r="H71" s="9">
        <v>39.681080000000001</v>
      </c>
      <c r="I71" s="9">
        <v>39.706699999999998</v>
      </c>
      <c r="J71" s="9">
        <v>39.503979999999999</v>
      </c>
      <c r="K71" s="9">
        <v>39.843600000000002</v>
      </c>
      <c r="L71" s="9">
        <f t="shared" si="12"/>
        <v>39.760198888888887</v>
      </c>
      <c r="M71" s="21">
        <f t="shared" si="13"/>
        <v>0.13727149282793491</v>
      </c>
      <c r="N71" s="502"/>
      <c r="S71" s="2" t="str">
        <f>indeter_MI!B7</f>
        <v>Гистерезис</v>
      </c>
      <c r="T71" s="2">
        <f>indeter_MI!C7</f>
        <v>0.01</v>
      </c>
      <c r="U71" s="2" t="str">
        <f>indeter_MI!D7</f>
        <v>Прямоугольное</v>
      </c>
      <c r="V71" s="2">
        <f>indeter_MI!E7</f>
        <v>1.73</v>
      </c>
      <c r="W71" s="59">
        <f t="shared" si="17"/>
        <v>5.7803468208092491E-3</v>
      </c>
      <c r="X71" s="59">
        <f t="shared" si="16"/>
        <v>3.3412409368839592E-5</v>
      </c>
      <c r="Y71" s="123"/>
    </row>
    <row r="72" spans="1:25" x14ac:dyDescent="0.2">
      <c r="A72" s="123"/>
      <c r="B72" s="6">
        <v>23</v>
      </c>
      <c r="C72" s="68">
        <v>39.671390000000002</v>
      </c>
      <c r="D72" s="9">
        <v>39.872329999999998</v>
      </c>
      <c r="E72" s="9">
        <v>39.788319999999999</v>
      </c>
      <c r="F72" s="9">
        <v>40.016930000000002</v>
      </c>
      <c r="G72" s="67">
        <v>39.753369999999997</v>
      </c>
      <c r="H72" s="9">
        <v>39.680320000000002</v>
      </c>
      <c r="I72" s="9">
        <v>39.705919999999999</v>
      </c>
      <c r="J72" s="9">
        <v>39.504440000000002</v>
      </c>
      <c r="K72" s="9">
        <v>39.842750000000002</v>
      </c>
      <c r="L72" s="9">
        <f t="shared" si="12"/>
        <v>39.759530000000005</v>
      </c>
      <c r="M72" s="21">
        <f t="shared" si="13"/>
        <v>0.13693421048079951</v>
      </c>
      <c r="N72" s="502"/>
      <c r="S72" s="2" t="str">
        <f>indeter_MI!B8</f>
        <v>Влияние температуры</v>
      </c>
      <c r="T72" s="2">
        <f>indeter_MI!C8</f>
        <v>0.01</v>
      </c>
      <c r="U72" s="2" t="str">
        <f>indeter_MI!D8</f>
        <v>Прямоугольное</v>
      </c>
      <c r="V72" s="2">
        <f>indeter_MI!E8</f>
        <v>1.73</v>
      </c>
      <c r="W72" s="59">
        <f t="shared" si="17"/>
        <v>5.7803468208092491E-3</v>
      </c>
      <c r="X72" s="59">
        <f t="shared" si="16"/>
        <v>3.3412409368839592E-5</v>
      </c>
      <c r="Y72" s="123"/>
    </row>
    <row r="73" spans="1:25" ht="15" thickBot="1" x14ac:dyDescent="0.25">
      <c r="A73" s="123"/>
      <c r="B73" s="7">
        <v>24</v>
      </c>
      <c r="C73" s="68">
        <v>39.676960000000001</v>
      </c>
      <c r="D73" s="9">
        <v>39.880710000000001</v>
      </c>
      <c r="E73" s="9">
        <v>39.786630000000002</v>
      </c>
      <c r="F73" s="9">
        <v>40.013840000000002</v>
      </c>
      <c r="G73" s="67">
        <v>39.754100000000001</v>
      </c>
      <c r="H73" s="9">
        <v>39.67653</v>
      </c>
      <c r="I73" s="9">
        <v>39.706960000000002</v>
      </c>
      <c r="J73" s="9">
        <v>39.50667</v>
      </c>
      <c r="K73" s="9">
        <v>39.8461</v>
      </c>
      <c r="L73" s="9">
        <f t="shared" si="12"/>
        <v>39.760944444444441</v>
      </c>
      <c r="M73" s="21">
        <f t="shared" si="13"/>
        <v>0.13662886136546989</v>
      </c>
      <c r="N73" s="502"/>
      <c r="S73" s="2" t="str">
        <f>indeter_MI!B9</f>
        <v>Дрейф*</v>
      </c>
      <c r="T73" s="2">
        <f>indeter_MI!C9</f>
        <v>0.1</v>
      </c>
      <c r="U73" s="2" t="str">
        <f>indeter_MI!D9</f>
        <v>Прямоугольное</v>
      </c>
      <c r="V73" s="2">
        <f>indeter_MI!E9</f>
        <v>1.73</v>
      </c>
      <c r="W73" s="59">
        <f t="shared" si="17"/>
        <v>5.7803468208092491E-2</v>
      </c>
      <c r="X73" s="59">
        <f t="shared" si="16"/>
        <v>3.3412409368839594E-3</v>
      </c>
      <c r="Y73" s="123"/>
    </row>
    <row r="74" spans="1:25" x14ac:dyDescent="0.2">
      <c r="A74" s="123"/>
      <c r="B74" s="6">
        <v>25</v>
      </c>
      <c r="C74" s="68">
        <v>39.684930000000001</v>
      </c>
      <c r="D74" s="9">
        <v>39.885010000000001</v>
      </c>
      <c r="E74" s="9">
        <v>39.790599999999998</v>
      </c>
      <c r="F74" s="9">
        <v>40.020659999999999</v>
      </c>
      <c r="G74" s="67">
        <v>39.767859999999999</v>
      </c>
      <c r="H74" s="9">
        <v>39.687130000000003</v>
      </c>
      <c r="I74" s="9">
        <v>39.716189999999997</v>
      </c>
      <c r="J74" s="9">
        <v>39.513019999999997</v>
      </c>
      <c r="K74" s="9">
        <v>39.852849999999997</v>
      </c>
      <c r="L74" s="9">
        <f t="shared" si="12"/>
        <v>39.768694444444442</v>
      </c>
      <c r="M74" s="21">
        <f t="shared" si="13"/>
        <v>0.1359632449607133</v>
      </c>
      <c r="N74" s="502"/>
      <c r="S74" s="2" t="str">
        <f>indeter_MI!B10</f>
        <v>Линейность</v>
      </c>
      <c r="T74" s="2">
        <f>indeter_MI!C10</f>
        <v>0.02</v>
      </c>
      <c r="U74" s="2" t="str">
        <f>indeter_MI!D10</f>
        <v>Прямоугольное</v>
      </c>
      <c r="V74" s="2">
        <f>indeter_MI!E10</f>
        <v>1.73</v>
      </c>
      <c r="W74" s="59">
        <f t="shared" si="17"/>
        <v>1.1560693641618498E-2</v>
      </c>
      <c r="X74" s="59">
        <f t="shared" si="16"/>
        <v>1.3364963747535837E-4</v>
      </c>
      <c r="Y74" s="123"/>
    </row>
    <row r="75" spans="1:25" ht="15" thickBot="1" x14ac:dyDescent="0.25">
      <c r="A75" s="123"/>
      <c r="B75" s="7">
        <v>26</v>
      </c>
      <c r="C75" s="68">
        <v>39.686160000000001</v>
      </c>
      <c r="D75" s="9">
        <v>39.878369999999997</v>
      </c>
      <c r="E75" s="9">
        <v>39.797249999999998</v>
      </c>
      <c r="F75" s="9">
        <v>40.025419999999997</v>
      </c>
      <c r="G75" s="67">
        <v>39.774799999999999</v>
      </c>
      <c r="H75" s="9">
        <v>39.690460000000002</v>
      </c>
      <c r="I75" s="9">
        <v>39.718690000000002</v>
      </c>
      <c r="J75" s="9">
        <v>39.514679999999998</v>
      </c>
      <c r="K75" s="9">
        <v>39.8521</v>
      </c>
      <c r="L75" s="9">
        <f t="shared" si="12"/>
        <v>39.770881111111109</v>
      </c>
      <c r="M75" s="21">
        <f t="shared" si="13"/>
        <v>0.13567085754742642</v>
      </c>
      <c r="N75" s="502"/>
      <c r="S75" s="2" t="str">
        <f>indeter_MI!B11</f>
        <v>Разрешающая способность</v>
      </c>
      <c r="T75" s="2">
        <f>indeter_MI!C11</f>
        <v>0.01</v>
      </c>
      <c r="U75" s="2" t="str">
        <f>indeter_MI!D11</f>
        <v>Прямоугольное</v>
      </c>
      <c r="V75" s="2">
        <f>indeter_MI!E11</f>
        <v>1.73</v>
      </c>
      <c r="W75" s="59">
        <f t="shared" si="17"/>
        <v>5.7803468208092491E-3</v>
      </c>
      <c r="X75" s="59">
        <f t="shared" si="16"/>
        <v>3.3412409368839592E-5</v>
      </c>
      <c r="Y75" s="123"/>
    </row>
    <row r="76" spans="1:25" x14ac:dyDescent="0.2">
      <c r="A76" s="123"/>
      <c r="B76" s="6">
        <v>27</v>
      </c>
      <c r="C76" s="68">
        <v>39.682899999999997</v>
      </c>
      <c r="D76" s="9">
        <v>39.872590000000002</v>
      </c>
      <c r="E76" s="9">
        <v>39.797280000000001</v>
      </c>
      <c r="F76" s="9">
        <v>40.023069999999997</v>
      </c>
      <c r="G76" s="67">
        <v>39.769970000000001</v>
      </c>
      <c r="H76" s="9">
        <v>39.685459999999999</v>
      </c>
      <c r="I76" s="9">
        <v>39.716610000000003</v>
      </c>
      <c r="J76" s="9">
        <v>39.513420000000004</v>
      </c>
      <c r="K76" s="9">
        <v>39.850700000000003</v>
      </c>
      <c r="L76" s="9">
        <f t="shared" si="12"/>
        <v>39.768000000000001</v>
      </c>
      <c r="M76" s="21">
        <f t="shared" si="13"/>
        <v>0.13548555987016897</v>
      </c>
      <c r="N76" s="502"/>
      <c r="S76" s="48" t="s">
        <v>21</v>
      </c>
      <c r="T76" s="49">
        <f>O69</f>
        <v>9.2428604338699646E-3</v>
      </c>
      <c r="U76" s="49" t="s">
        <v>13</v>
      </c>
      <c r="V76" s="16">
        <v>1</v>
      </c>
      <c r="W76" s="60">
        <f>T76/V76</f>
        <v>9.2428604338699646E-3</v>
      </c>
      <c r="X76" s="60">
        <f t="shared" si="16"/>
        <v>8.5430468999998872E-5</v>
      </c>
      <c r="Y76" s="123"/>
    </row>
    <row r="77" spans="1:25" ht="15" thickBot="1" x14ac:dyDescent="0.25">
      <c r="A77" s="123"/>
      <c r="B77" s="7">
        <v>28</v>
      </c>
      <c r="C77" s="68">
        <v>39.677500000000002</v>
      </c>
      <c r="D77" s="9">
        <v>39.868070000000003</v>
      </c>
      <c r="E77" s="9">
        <v>39.797080000000001</v>
      </c>
      <c r="F77" s="9">
        <v>40.018590000000003</v>
      </c>
      <c r="G77" s="67">
        <v>39.763269999999999</v>
      </c>
      <c r="H77" s="9">
        <v>39.681150000000002</v>
      </c>
      <c r="I77" s="9">
        <v>39.711239999999997</v>
      </c>
      <c r="J77" s="9">
        <v>39.509059999999998</v>
      </c>
      <c r="K77" s="9">
        <v>39.846429999999998</v>
      </c>
      <c r="L77" s="68">
        <f t="shared" si="12"/>
        <v>39.763598888888886</v>
      </c>
      <c r="M77" s="21">
        <f t="shared" si="13"/>
        <v>0.13567080374072607</v>
      </c>
      <c r="N77" s="502"/>
      <c r="X77" s="56"/>
      <c r="Y77" s="123"/>
    </row>
    <row r="78" spans="1:25" ht="15" thickBot="1" x14ac:dyDescent="0.25">
      <c r="A78" s="123"/>
      <c r="B78" s="8">
        <v>29</v>
      </c>
      <c r="C78" s="68">
        <v>39.680079999999997</v>
      </c>
      <c r="D78" s="9">
        <v>39.873420000000003</v>
      </c>
      <c r="E78" s="9">
        <v>39.793869999999998</v>
      </c>
      <c r="F78" s="9">
        <v>40.016039999999997</v>
      </c>
      <c r="G78" s="67">
        <v>39.759990000000002</v>
      </c>
      <c r="H78" s="9">
        <v>39.685540000000003</v>
      </c>
      <c r="I78" s="9">
        <v>39.71275</v>
      </c>
      <c r="J78" s="9">
        <v>39.51108</v>
      </c>
      <c r="K78" s="9">
        <v>39.850700000000003</v>
      </c>
      <c r="L78" s="68">
        <f t="shared" si="12"/>
        <v>39.764830000000003</v>
      </c>
      <c r="M78" s="21">
        <f t="shared" si="13"/>
        <v>0.13487010697539881</v>
      </c>
      <c r="N78" s="502"/>
      <c r="S78" s="35" t="s">
        <v>22</v>
      </c>
      <c r="U78" s="41" t="s">
        <v>82</v>
      </c>
      <c r="V78" s="41"/>
      <c r="W78" s="41" t="s">
        <v>83</v>
      </c>
      <c r="X78" s="57"/>
      <c r="Y78" s="123"/>
    </row>
    <row r="79" spans="1:25" ht="15" thickBot="1" x14ac:dyDescent="0.25">
      <c r="A79" s="123"/>
      <c r="B79" s="8">
        <v>30</v>
      </c>
      <c r="C79" s="68">
        <v>39.675669999999997</v>
      </c>
      <c r="D79" s="9">
        <v>39.868630000000003</v>
      </c>
      <c r="E79" s="9">
        <v>39.795090000000002</v>
      </c>
      <c r="F79" s="9">
        <v>40.020099999999999</v>
      </c>
      <c r="G79" s="67">
        <v>39.757759999999998</v>
      </c>
      <c r="H79" s="9">
        <v>39.680669999999999</v>
      </c>
      <c r="I79" s="9">
        <v>39.707369999999997</v>
      </c>
      <c r="J79" s="9">
        <v>39.506990000000002</v>
      </c>
      <c r="K79" s="9">
        <v>39.846429999999998</v>
      </c>
      <c r="L79" s="68">
        <f t="shared" si="12"/>
        <v>39.76207888888888</v>
      </c>
      <c r="M79" s="21">
        <f t="shared" si="13"/>
        <v>0.13675153311709731</v>
      </c>
      <c r="N79" s="502"/>
      <c r="S79" s="42">
        <f>SUM(X69:X76)</f>
        <v>6.2605582714658353E-3</v>
      </c>
      <c r="V79" s="72">
        <f>SQRT(S79)</f>
        <v>7.9123689698255575E-2</v>
      </c>
      <c r="W79" s="65"/>
      <c r="X79" s="72">
        <f>V79*2</f>
        <v>0.15824737939651115</v>
      </c>
      <c r="Y79" s="123"/>
    </row>
    <row r="80" spans="1:25" ht="19.5" thickBot="1" x14ac:dyDescent="0.4">
      <c r="A80" s="123"/>
      <c r="B80" s="93" t="s">
        <v>40</v>
      </c>
      <c r="C80" s="30">
        <f>AVERAGE(C50:C79)</f>
        <v>39.676076333333334</v>
      </c>
      <c r="D80" s="31">
        <f t="shared" ref="D80:K80" si="18">AVERAGE(D50:D79)</f>
        <v>39.875966666666663</v>
      </c>
      <c r="E80" s="31">
        <f t="shared" si="18"/>
        <v>39.789037666666673</v>
      </c>
      <c r="F80" s="31">
        <f t="shared" si="18"/>
        <v>40.016750666666667</v>
      </c>
      <c r="G80" s="31">
        <f t="shared" si="18"/>
        <v>39.762699000000005</v>
      </c>
      <c r="H80" s="31">
        <f t="shared" si="18"/>
        <v>39.68454899999999</v>
      </c>
      <c r="I80" s="31">
        <f t="shared" si="18"/>
        <v>39.710426333333331</v>
      </c>
      <c r="J80" s="31">
        <f t="shared" si="18"/>
        <v>39.507469666666672</v>
      </c>
      <c r="K80" s="31">
        <f t="shared" si="18"/>
        <v>39.848401333333335</v>
      </c>
      <c r="N80" s="502"/>
      <c r="S80" s="42">
        <f>ROUND(S79,8)</f>
        <v>6.2605600000000001E-3</v>
      </c>
      <c r="V80" s="72">
        <f>ROUND(V79,3)</f>
        <v>7.9000000000000001E-2</v>
      </c>
      <c r="W80" s="65"/>
      <c r="X80" s="72">
        <f>ROUND(X79,3)</f>
        <v>0.158</v>
      </c>
      <c r="Y80" s="123"/>
    </row>
    <row r="81" spans="1:25" ht="19.5" thickBot="1" x14ac:dyDescent="0.4">
      <c r="A81" s="123"/>
      <c r="B81" s="93" t="s">
        <v>39</v>
      </c>
      <c r="C81" s="27">
        <f>_xlfn.STDEV.P(C50:C79)</f>
        <v>5.9635942648336611E-3</v>
      </c>
      <c r="D81" s="22">
        <f t="shared" ref="D81:K81" si="19">_xlfn.STDEV.P(D50:D79)</f>
        <v>5.596957109795157E-3</v>
      </c>
      <c r="E81" s="22">
        <f t="shared" si="19"/>
        <v>5.3771347285419199E-3</v>
      </c>
      <c r="F81" s="22">
        <f t="shared" si="19"/>
        <v>5.8353891234617606E-3</v>
      </c>
      <c r="G81" s="22">
        <f t="shared" si="19"/>
        <v>9.2428604338699646E-3</v>
      </c>
      <c r="H81" s="22">
        <f t="shared" si="19"/>
        <v>7.0839185719015815E-3</v>
      </c>
      <c r="I81" s="22">
        <f t="shared" si="19"/>
        <v>6.8364105997876399E-3</v>
      </c>
      <c r="J81" s="22">
        <f t="shared" si="19"/>
        <v>5.0272792398626783E-3</v>
      </c>
      <c r="K81" s="22">
        <f t="shared" si="19"/>
        <v>5.2996941630834736E-3</v>
      </c>
      <c r="N81" s="502"/>
      <c r="Y81" s="123"/>
    </row>
    <row r="82" spans="1:25" ht="19.5" thickBot="1" x14ac:dyDescent="0.4">
      <c r="A82" s="123"/>
      <c r="B82" s="93" t="s">
        <v>52</v>
      </c>
      <c r="C82" s="11">
        <f>MAX(C50:C79)-C80</f>
        <v>1.3953666666665754E-2</v>
      </c>
      <c r="D82" s="12">
        <f t="shared" ref="D82:K82" si="20">MAX(D50:D79)-D80</f>
        <v>1.4093333333335067E-2</v>
      </c>
      <c r="E82" s="12">
        <f t="shared" si="20"/>
        <v>1.1902333333324577E-2</v>
      </c>
      <c r="F82" s="12">
        <f t="shared" si="20"/>
        <v>1.3219333333331917E-2</v>
      </c>
      <c r="G82" s="24">
        <f t="shared" si="20"/>
        <v>2.3900999999995065E-2</v>
      </c>
      <c r="H82" s="12">
        <f t="shared" si="20"/>
        <v>1.8221000000011145E-2</v>
      </c>
      <c r="I82" s="12">
        <f t="shared" si="20"/>
        <v>1.8433666666666682E-2</v>
      </c>
      <c r="J82" s="12">
        <f t="shared" si="20"/>
        <v>1.2190333333329306E-2</v>
      </c>
      <c r="K82" s="12">
        <f t="shared" si="20"/>
        <v>1.5558666666663612E-2</v>
      </c>
      <c r="N82" s="502"/>
      <c r="Y82" s="123"/>
    </row>
    <row r="83" spans="1:25" ht="19.5" thickBot="1" x14ac:dyDescent="0.4">
      <c r="A83" s="123"/>
      <c r="B83" s="93" t="s">
        <v>51</v>
      </c>
      <c r="C83" s="11">
        <f>C80-MIN(C50:C79)</f>
        <v>8.9563333333373407E-3</v>
      </c>
      <c r="D83" s="12">
        <f t="shared" ref="D83:K83" si="21">D80-MIN(D50:D79)</f>
        <v>7.8966666666602237E-3</v>
      </c>
      <c r="E83" s="12">
        <f t="shared" si="21"/>
        <v>8.7276666666724623E-3</v>
      </c>
      <c r="F83" s="12">
        <f t="shared" si="21"/>
        <v>1.1280666666664274E-2</v>
      </c>
      <c r="G83" s="24">
        <f t="shared" si="21"/>
        <v>1.4649000000005685E-2</v>
      </c>
      <c r="H83" s="12">
        <f t="shared" si="21"/>
        <v>1.1968999999986352E-2</v>
      </c>
      <c r="I83" s="12">
        <f t="shared" si="21"/>
        <v>1.270633333333393E-2</v>
      </c>
      <c r="J83" s="12">
        <f t="shared" si="21"/>
        <v>8.2196666666689566E-3</v>
      </c>
      <c r="K83" s="12">
        <f t="shared" si="21"/>
        <v>8.4013333333317064E-3</v>
      </c>
      <c r="N83" s="502"/>
      <c r="Y83" s="123"/>
    </row>
    <row r="84" spans="1:25" ht="20.25" thickBot="1" x14ac:dyDescent="0.4">
      <c r="A84" s="123"/>
      <c r="B84" s="94" t="s">
        <v>44</v>
      </c>
      <c r="C84" s="14">
        <f>(C82+C83)/2</f>
        <v>1.1455000000001547E-2</v>
      </c>
      <c r="D84" s="15">
        <f t="shared" ref="D84:K84" si="22">(D82+D83)/2</f>
        <v>1.0994999999997646E-2</v>
      </c>
      <c r="E84" s="15">
        <f t="shared" si="22"/>
        <v>1.031499999999852E-2</v>
      </c>
      <c r="F84" s="15">
        <f t="shared" si="22"/>
        <v>1.2249999999998096E-2</v>
      </c>
      <c r="G84" s="15">
        <f t="shared" si="22"/>
        <v>1.9275000000000375E-2</v>
      </c>
      <c r="H84" s="15">
        <f t="shared" si="22"/>
        <v>1.5094999999998748E-2</v>
      </c>
      <c r="I84" s="15">
        <f t="shared" si="22"/>
        <v>1.5570000000000306E-2</v>
      </c>
      <c r="J84" s="15">
        <f t="shared" si="22"/>
        <v>1.0204999999999131E-2</v>
      </c>
      <c r="K84" s="15">
        <f t="shared" si="22"/>
        <v>1.1979999999997659E-2</v>
      </c>
      <c r="N84" s="502"/>
      <c r="Y84" s="123"/>
    </row>
    <row r="85" spans="1:25" ht="19.5" thickBot="1" x14ac:dyDescent="0.4">
      <c r="A85" s="123"/>
      <c r="B85" s="95" t="s">
        <v>43</v>
      </c>
      <c r="C85" s="43">
        <f>C80-$G80</f>
        <v>-8.6622666666670511E-2</v>
      </c>
      <c r="D85" s="13">
        <f t="shared" ref="D85:K85" si="23">D80-$G80</f>
        <v>0.11326766666665833</v>
      </c>
      <c r="E85" s="13">
        <f t="shared" si="23"/>
        <v>2.6338666666667621E-2</v>
      </c>
      <c r="F85" s="13">
        <f t="shared" si="23"/>
        <v>0.2540516666666619</v>
      </c>
      <c r="G85" s="13">
        <f>G80-$G80</f>
        <v>0</v>
      </c>
      <c r="H85" s="13">
        <f t="shared" si="23"/>
        <v>-7.8150000000015041E-2</v>
      </c>
      <c r="I85" s="13">
        <f t="shared" si="23"/>
        <v>-5.2272666666674183E-2</v>
      </c>
      <c r="J85" s="13">
        <f t="shared" si="23"/>
        <v>-0.25522933333333242</v>
      </c>
      <c r="K85" s="13">
        <f t="shared" si="23"/>
        <v>8.5702333333330216E-2</v>
      </c>
      <c r="N85" s="502"/>
      <c r="Y85" s="123"/>
    </row>
    <row r="86" spans="1:25" ht="18.75" x14ac:dyDescent="0.35">
      <c r="A86" s="123"/>
      <c r="B86" s="99" t="s">
        <v>45</v>
      </c>
      <c r="C86" s="45">
        <v>40</v>
      </c>
      <c r="N86" s="502"/>
      <c r="Y86" s="123"/>
    </row>
    <row r="87" spans="1:25" ht="18.75" x14ac:dyDescent="0.2">
      <c r="A87" s="123"/>
      <c r="B87" s="100" t="s">
        <v>46</v>
      </c>
      <c r="C87" s="44">
        <f>AVERAGE(C50:K79)</f>
        <v>39.763486296296307</v>
      </c>
      <c r="N87" s="502"/>
      <c r="Y87" s="123"/>
    </row>
    <row r="88" spans="1:25" ht="18.75" x14ac:dyDescent="0.2">
      <c r="A88" s="123"/>
      <c r="B88" s="101" t="s">
        <v>47</v>
      </c>
      <c r="C88" s="28">
        <f>C87-C86</f>
        <v>-0.23651370370369307</v>
      </c>
      <c r="N88" s="502"/>
      <c r="Y88" s="123"/>
    </row>
    <row r="89" spans="1:25" ht="18.75" x14ac:dyDescent="0.2">
      <c r="A89" s="123"/>
      <c r="B89" s="102" t="s">
        <v>48</v>
      </c>
      <c r="C89" s="29">
        <f>MAX(C80:K80)-MIN(C80:K80)</f>
        <v>0.50928099999999432</v>
      </c>
      <c r="N89" s="502"/>
      <c r="Y89" s="123"/>
    </row>
    <row r="90" spans="1:25" ht="18.75" x14ac:dyDescent="0.2">
      <c r="A90" s="123"/>
      <c r="B90" s="103" t="s">
        <v>49</v>
      </c>
      <c r="C90" s="32">
        <f>MAX(C85:K85)</f>
        <v>0.2540516666666619</v>
      </c>
      <c r="N90" s="502"/>
      <c r="Y90" s="123"/>
    </row>
    <row r="91" spans="1:25" x14ac:dyDescent="0.2">
      <c r="A91" s="123"/>
      <c r="B91" s="104"/>
      <c r="C91" s="32">
        <f>MIN(C85:K85)</f>
        <v>-0.25522933333333242</v>
      </c>
      <c r="D91" s="65"/>
      <c r="N91" s="502"/>
      <c r="Y91" s="123"/>
    </row>
    <row r="92" spans="1:25" ht="18.75" x14ac:dyDescent="0.2">
      <c r="A92" s="123"/>
      <c r="B92" s="105" t="s">
        <v>50</v>
      </c>
      <c r="C92" s="33">
        <f>AVERAGE(C84:K84)</f>
        <v>1.301555555555467E-2</v>
      </c>
      <c r="N92" s="502"/>
      <c r="Y92" s="123"/>
    </row>
    <row r="93" spans="1:25" ht="18.75" x14ac:dyDescent="0.35">
      <c r="A93" s="123"/>
      <c r="B93" s="180" t="s">
        <v>259</v>
      </c>
      <c r="C93" s="181">
        <f>_xlfn.STDEV.P(C50:K79)</f>
        <v>0.13632305115662899</v>
      </c>
      <c r="N93" s="502"/>
      <c r="Y93" s="123"/>
    </row>
    <row r="94" spans="1:25" x14ac:dyDescent="0.2">
      <c r="A94" s="123"/>
      <c r="B94" s="123"/>
      <c r="C94" s="123"/>
      <c r="D94" s="123"/>
      <c r="E94" s="123"/>
      <c r="F94" s="123"/>
      <c r="G94" s="123"/>
      <c r="H94" s="123"/>
      <c r="I94" s="123"/>
      <c r="J94" s="123"/>
      <c r="K94" s="123"/>
      <c r="L94" s="123"/>
      <c r="M94" s="123"/>
      <c r="N94" s="123"/>
      <c r="O94" s="123"/>
      <c r="P94" s="123"/>
      <c r="Q94" s="123"/>
      <c r="R94" s="123"/>
      <c r="S94" s="123"/>
      <c r="T94" s="123"/>
      <c r="U94" s="123"/>
      <c r="V94" s="123"/>
      <c r="W94" s="123"/>
      <c r="X94" s="123"/>
      <c r="Y94" s="123"/>
    </row>
  </sheetData>
  <mergeCells count="2">
    <mergeCell ref="N2:N46"/>
    <mergeCell ref="N49:N93"/>
  </mergeCells>
  <pageMargins left="0.7" right="0.7" top="0.75" bottom="0.75" header="0.3" footer="0.3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</vt:i4>
      </vt:variant>
    </vt:vector>
  </HeadingPairs>
  <TitlesOfParts>
    <vt:vector size="26" baseType="lpstr">
      <vt:lpstr>document</vt:lpstr>
      <vt:lpstr>list_t</vt:lpstr>
      <vt:lpstr>indeter_t</vt:lpstr>
      <vt:lpstr>list_rh</vt:lpstr>
      <vt:lpstr>indeter_rh</vt:lpstr>
      <vt:lpstr>list_pr</vt:lpstr>
      <vt:lpstr>result_t</vt:lpstr>
      <vt:lpstr>result_rh</vt:lpstr>
      <vt:lpstr>result_pr</vt:lpstr>
      <vt:lpstr>info</vt:lpstr>
      <vt:lpstr>equip</vt:lpstr>
      <vt:lpstr>tool</vt:lpstr>
      <vt:lpstr>indeter_MI</vt:lpstr>
      <vt:lpstr>t1</vt:lpstr>
      <vt:lpstr>t2</vt:lpstr>
      <vt:lpstr>t3</vt:lpstr>
      <vt:lpstr>t4</vt:lpstr>
      <vt:lpstr>t5</vt:lpstr>
      <vt:lpstr>t6</vt:lpstr>
      <vt:lpstr>t7</vt:lpstr>
      <vt:lpstr>t8</vt:lpstr>
      <vt:lpstr>rh_t1</vt:lpstr>
      <vt:lpstr>rh_t2</vt:lpstr>
      <vt:lpstr>rh_t3</vt:lpstr>
      <vt:lpstr>rh_t4</vt:lpstr>
      <vt:lpstr>rh_t5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2020-08-29T10:30:43Z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45413d94-e08d-4529-b8f1-9c49fe6d4aa2</vt:lpwstr>
  </property>
</Properties>
</file>